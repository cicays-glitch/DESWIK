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"/>
    </mc:Choice>
  </mc:AlternateContent>
  <xr:revisionPtr revIDLastSave="450" documentId="8_{D5335ED7-3A65-48D6-B53E-B040CCECF75B}" xr6:coauthVersionLast="47" xr6:coauthVersionMax="47" xr10:uidLastSave="{7121A51D-88D8-458D-82C0-44DF2AA2D7C9}"/>
  <bookViews>
    <workbookView xWindow="20558" yWindow="64" windowWidth="20783" windowHeight="5030" tabRatio="795" activeTab="5" xr2:uid="{6D0370F1-D15D-451B-9DC6-4FC8CA8E6C64}"/>
  </bookViews>
  <sheets>
    <sheet name="TDC" sheetId="1" r:id="rId1"/>
    <sheet name="06102025" sheetId="10" r:id="rId2"/>
    <sheet name="07102025" sheetId="11" r:id="rId3"/>
    <sheet name="a sep" sheetId="12" r:id="rId4"/>
    <sheet name="9" sheetId="2" r:id="rId5"/>
    <sheet name="9_x" sheetId="13" r:id="rId6"/>
    <sheet name="10" sheetId="3" r:id="rId7"/>
    <sheet name="10_X" sheetId="14" r:id="rId8"/>
    <sheet name="11" sheetId="4" r:id="rId9"/>
    <sheet name="11_X" sheetId="15" r:id="rId10"/>
    <sheet name="12" sheetId="5" r:id="rId11"/>
    <sheet name="12_x" sheetId="16" r:id="rId12"/>
    <sheet name="13" sheetId="6" r:id="rId13"/>
    <sheet name="13_x" sheetId="17" r:id="rId14"/>
    <sheet name="14" sheetId="7" r:id="rId15"/>
    <sheet name="14_X" sheetId="18" r:id="rId16"/>
    <sheet name="15" sheetId="8" r:id="rId17"/>
    <sheet name="15_x" sheetId="19" r:id="rId18"/>
    <sheet name="54" sheetId="9" r:id="rId19"/>
    <sheet name="54_x" sheetId="20" r:id="rId20"/>
  </sheets>
  <definedNames>
    <definedName name="_xlnm._FilterDatabase" localSheetId="1" hidden="1">'06102025'!$A$1:$H$176</definedName>
    <definedName name="_xlnm._FilterDatabase" localSheetId="2" hidden="1">'07102025'!$A$1:$I$107</definedName>
    <definedName name="_xlnm._FilterDatabase" localSheetId="3" hidden="1">'a sep'!$A$1:$I$49</definedName>
    <definedName name="_xlnm._FilterDatabase" localSheetId="0" hidden="1">TDC!$A$1:$I$96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5" i="20" l="1"/>
  <c r="N235" i="20"/>
  <c r="O234" i="20"/>
  <c r="J234" i="20"/>
  <c r="J107" i="17"/>
  <c r="J44" i="16"/>
  <c r="J401" i="13"/>
  <c r="L243" i="20"/>
  <c r="H235" i="20"/>
  <c r="I235" i="20" s="1"/>
  <c r="G235" i="20"/>
  <c r="H16" i="19"/>
  <c r="G16" i="19"/>
  <c r="I16" i="19"/>
  <c r="H107" i="18"/>
  <c r="G107" i="18"/>
  <c r="I107" i="18" s="1"/>
  <c r="H108" i="17"/>
  <c r="I108" i="17" s="1"/>
  <c r="G108" i="17"/>
  <c r="H45" i="16"/>
  <c r="G45" i="16"/>
  <c r="H73" i="15"/>
  <c r="G73" i="15"/>
  <c r="H270" i="14"/>
  <c r="G270" i="14"/>
  <c r="H402" i="13"/>
  <c r="G402" i="13"/>
  <c r="I4" i="13"/>
  <c r="I5" i="13"/>
  <c r="I6" i="13"/>
  <c r="I7" i="13" s="1"/>
  <c r="I8" i="13"/>
  <c r="I9" i="13"/>
  <c r="I10" i="13"/>
  <c r="I11" i="13"/>
  <c r="I12" i="13"/>
  <c r="I13" i="13"/>
  <c r="I14" i="13"/>
  <c r="I15" i="13"/>
  <c r="I16" i="13" s="1"/>
  <c r="I17" i="13" s="1"/>
  <c r="I18" i="13" s="1"/>
  <c r="I19" i="13" s="1"/>
  <c r="I20" i="13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I194" i="13" s="1"/>
  <c r="I195" i="13" s="1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I290" i="13" s="1"/>
  <c r="I291" i="13" s="1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I386" i="13" s="1"/>
  <c r="I387" i="13" s="1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3" i="13"/>
  <c r="I2" i="13"/>
  <c r="J407" i="13"/>
  <c r="J79" i="15"/>
  <c r="J53" i="16"/>
  <c r="J113" i="17"/>
  <c r="J113" i="18"/>
  <c r="J26" i="19"/>
  <c r="I45" i="16" l="1"/>
  <c r="I402" i="13"/>
  <c r="I73" i="15"/>
  <c r="I270" i="14"/>
  <c r="J245" i="20"/>
  <c r="I4" i="20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I26" i="20" s="1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I38" i="20" s="1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I50" i="20" s="1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I84" i="20" s="1"/>
  <c r="I85" i="20" s="1"/>
  <c r="I86" i="20" s="1"/>
  <c r="I87" i="20" s="1"/>
  <c r="I88" i="20" s="1"/>
  <c r="I89" i="20" s="1"/>
  <c r="I90" i="20" s="1"/>
  <c r="I91" i="20" s="1"/>
  <c r="I92" i="20" s="1"/>
  <c r="I93" i="20" s="1"/>
  <c r="I94" i="20" s="1"/>
  <c r="I95" i="20" s="1"/>
  <c r="I96" i="20" s="1"/>
  <c r="I97" i="20" s="1"/>
  <c r="I98" i="20" s="1"/>
  <c r="I99" i="20" s="1"/>
  <c r="I100" i="20" s="1"/>
  <c r="I101" i="20" s="1"/>
  <c r="I102" i="20" s="1"/>
  <c r="I103" i="20" s="1"/>
  <c r="I104" i="20" s="1"/>
  <c r="I105" i="20" s="1"/>
  <c r="I106" i="20" s="1"/>
  <c r="I107" i="20" s="1"/>
  <c r="I108" i="20" s="1"/>
  <c r="I109" i="20" s="1"/>
  <c r="I110" i="20" s="1"/>
  <c r="I111" i="20" s="1"/>
  <c r="I112" i="20" s="1"/>
  <c r="I113" i="20" s="1"/>
  <c r="I114" i="20" s="1"/>
  <c r="I115" i="20" s="1"/>
  <c r="I116" i="20" s="1"/>
  <c r="I117" i="20" s="1"/>
  <c r="I118" i="20" s="1"/>
  <c r="I119" i="20" s="1"/>
  <c r="I120" i="20" s="1"/>
  <c r="I121" i="20" s="1"/>
  <c r="I122" i="20" s="1"/>
  <c r="I123" i="20" s="1"/>
  <c r="I124" i="20" s="1"/>
  <c r="I125" i="20" s="1"/>
  <c r="I126" i="20" s="1"/>
  <c r="I127" i="20" s="1"/>
  <c r="I128" i="20" s="1"/>
  <c r="I129" i="20" s="1"/>
  <c r="I130" i="20" s="1"/>
  <c r="I131" i="20" s="1"/>
  <c r="I132" i="20" s="1"/>
  <c r="I133" i="20" s="1"/>
  <c r="I134" i="20" s="1"/>
  <c r="I135" i="20" s="1"/>
  <c r="I136" i="20" s="1"/>
  <c r="I137" i="20" s="1"/>
  <c r="I138" i="20" s="1"/>
  <c r="I139" i="20" s="1"/>
  <c r="I140" i="20" s="1"/>
  <c r="I141" i="20" s="1"/>
  <c r="I142" i="20" s="1"/>
  <c r="I143" i="20" s="1"/>
  <c r="I144" i="20" s="1"/>
  <c r="I145" i="20" s="1"/>
  <c r="I146" i="20" s="1"/>
  <c r="I147" i="20" s="1"/>
  <c r="I148" i="20" s="1"/>
  <c r="I149" i="20" s="1"/>
  <c r="I150" i="20" s="1"/>
  <c r="I151" i="20" s="1"/>
  <c r="I152" i="20" s="1"/>
  <c r="I153" i="20" s="1"/>
  <c r="I154" i="20" s="1"/>
  <c r="I155" i="20" s="1"/>
  <c r="I156" i="20" s="1"/>
  <c r="I157" i="20" s="1"/>
  <c r="I158" i="20" s="1"/>
  <c r="I159" i="20" s="1"/>
  <c r="I160" i="20" s="1"/>
  <c r="I161" i="20" s="1"/>
  <c r="I162" i="20" s="1"/>
  <c r="I163" i="20" s="1"/>
  <c r="I164" i="20" s="1"/>
  <c r="I165" i="20" s="1"/>
  <c r="I166" i="20" s="1"/>
  <c r="I167" i="20" s="1"/>
  <c r="I168" i="20" s="1"/>
  <c r="I169" i="20" s="1"/>
  <c r="I170" i="20" s="1"/>
  <c r="I171" i="20" s="1"/>
  <c r="I172" i="20" s="1"/>
  <c r="I173" i="20" s="1"/>
  <c r="I174" i="20" s="1"/>
  <c r="I175" i="20" s="1"/>
  <c r="I176" i="20" s="1"/>
  <c r="I177" i="20" s="1"/>
  <c r="I178" i="20" s="1"/>
  <c r="I179" i="20" s="1"/>
  <c r="I180" i="20" s="1"/>
  <c r="I181" i="20" s="1"/>
  <c r="I182" i="20" s="1"/>
  <c r="I183" i="20" s="1"/>
  <c r="I184" i="20" s="1"/>
  <c r="I185" i="20" s="1"/>
  <c r="I186" i="20" s="1"/>
  <c r="I187" i="20" s="1"/>
  <c r="I188" i="20" s="1"/>
  <c r="I189" i="20" s="1"/>
  <c r="I190" i="20" s="1"/>
  <c r="I191" i="20" s="1"/>
  <c r="I192" i="20" s="1"/>
  <c r="I193" i="20" s="1"/>
  <c r="I194" i="20" s="1"/>
  <c r="I195" i="20" s="1"/>
  <c r="I196" i="20" s="1"/>
  <c r="I197" i="20" s="1"/>
  <c r="I198" i="20" s="1"/>
  <c r="I199" i="20" s="1"/>
  <c r="I200" i="20" s="1"/>
  <c r="I201" i="20" s="1"/>
  <c r="I202" i="20" s="1"/>
  <c r="I203" i="20" s="1"/>
  <c r="I204" i="20" s="1"/>
  <c r="I205" i="20" s="1"/>
  <c r="I206" i="20" s="1"/>
  <c r="I207" i="20" s="1"/>
  <c r="I208" i="20" s="1"/>
  <c r="I209" i="20" s="1"/>
  <c r="I210" i="20" s="1"/>
  <c r="I211" i="20" s="1"/>
  <c r="I212" i="20" s="1"/>
  <c r="I213" i="20" s="1"/>
  <c r="I214" i="20" s="1"/>
  <c r="I215" i="20" s="1"/>
  <c r="I216" i="20" s="1"/>
  <c r="I217" i="20" s="1"/>
  <c r="I218" i="20" s="1"/>
  <c r="I219" i="20" s="1"/>
  <c r="I220" i="20" s="1"/>
  <c r="I221" i="20" s="1"/>
  <c r="I222" i="20" s="1"/>
  <c r="I223" i="20" s="1"/>
  <c r="I224" i="20" s="1"/>
  <c r="I225" i="20" s="1"/>
  <c r="I226" i="20" s="1"/>
  <c r="I227" i="20" s="1"/>
  <c r="I228" i="20" s="1"/>
  <c r="I229" i="20" s="1"/>
  <c r="I230" i="20" s="1"/>
  <c r="I231" i="20" s="1"/>
  <c r="I232" i="20" s="1"/>
  <c r="I233" i="20" s="1"/>
  <c r="I234" i="20" s="1"/>
  <c r="I3" i="20"/>
  <c r="I2" i="20"/>
  <c r="I4" i="19"/>
  <c r="I5" i="19"/>
  <c r="I6" i="19"/>
  <c r="I7" i="19"/>
  <c r="I8" i="19"/>
  <c r="I9" i="19" s="1"/>
  <c r="I10" i="19" s="1"/>
  <c r="I11" i="19" s="1"/>
  <c r="I12" i="19" s="1"/>
  <c r="I13" i="19" s="1"/>
  <c r="I14" i="19" s="1"/>
  <c r="I15" i="19" s="1"/>
  <c r="I3" i="19"/>
  <c r="I2" i="19"/>
  <c r="I4" i="18"/>
  <c r="I5" i="18"/>
  <c r="I6" i="18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I84" i="18" s="1"/>
  <c r="I85" i="18" s="1"/>
  <c r="I86" i="18" s="1"/>
  <c r="I87" i="18" s="1"/>
  <c r="I88" i="18" s="1"/>
  <c r="I89" i="18" s="1"/>
  <c r="I90" i="18" s="1"/>
  <c r="I91" i="18" s="1"/>
  <c r="I92" i="18" s="1"/>
  <c r="I93" i="18" s="1"/>
  <c r="I94" i="18" s="1"/>
  <c r="I95" i="18" s="1"/>
  <c r="I96" i="18" s="1"/>
  <c r="I97" i="18" s="1"/>
  <c r="I98" i="18" s="1"/>
  <c r="I99" i="18" s="1"/>
  <c r="I100" i="18" s="1"/>
  <c r="I101" i="18" s="1"/>
  <c r="I102" i="18" s="1"/>
  <c r="I103" i="18" s="1"/>
  <c r="I104" i="18" s="1"/>
  <c r="I105" i="18" s="1"/>
  <c r="I106" i="18" s="1"/>
  <c r="I3" i="18"/>
  <c r="I2" i="18"/>
  <c r="I4" i="17"/>
  <c r="I5" i="17" s="1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I24" i="17" s="1"/>
  <c r="I25" i="17" s="1"/>
  <c r="I26" i="17" s="1"/>
  <c r="I27" i="17" s="1"/>
  <c r="I28" i="17" s="1"/>
  <c r="I29" i="17" s="1"/>
  <c r="I30" i="17" s="1"/>
  <c r="I31" i="17" s="1"/>
  <c r="I32" i="17" s="1"/>
  <c r="I33" i="17" s="1"/>
  <c r="I34" i="17" s="1"/>
  <c r="I35" i="17" s="1"/>
  <c r="I36" i="17" s="1"/>
  <c r="I37" i="17" s="1"/>
  <c r="I38" i="17" s="1"/>
  <c r="I39" i="17" s="1"/>
  <c r="I40" i="17" s="1"/>
  <c r="I41" i="17" s="1"/>
  <c r="I42" i="17" s="1"/>
  <c r="I43" i="17" s="1"/>
  <c r="I44" i="17" s="1"/>
  <c r="I45" i="17" s="1"/>
  <c r="I46" i="17" s="1"/>
  <c r="I47" i="17" s="1"/>
  <c r="I48" i="17" s="1"/>
  <c r="I49" i="17" s="1"/>
  <c r="I50" i="17" s="1"/>
  <c r="I51" i="17" s="1"/>
  <c r="I52" i="17" s="1"/>
  <c r="I53" i="17" s="1"/>
  <c r="I54" i="17" s="1"/>
  <c r="I55" i="17" s="1"/>
  <c r="I56" i="17" s="1"/>
  <c r="I57" i="17" s="1"/>
  <c r="I58" i="17" s="1"/>
  <c r="I59" i="17" s="1"/>
  <c r="I60" i="17" s="1"/>
  <c r="I61" i="17" s="1"/>
  <c r="I62" i="17" s="1"/>
  <c r="I63" i="17" s="1"/>
  <c r="I64" i="17" s="1"/>
  <c r="I65" i="17" s="1"/>
  <c r="I66" i="17" s="1"/>
  <c r="I67" i="17" s="1"/>
  <c r="I68" i="17" s="1"/>
  <c r="I69" i="17" s="1"/>
  <c r="I70" i="17" s="1"/>
  <c r="I71" i="17" s="1"/>
  <c r="I72" i="17" s="1"/>
  <c r="I73" i="17" s="1"/>
  <c r="I74" i="17" s="1"/>
  <c r="I75" i="17" s="1"/>
  <c r="I76" i="17" s="1"/>
  <c r="I77" i="17" s="1"/>
  <c r="I78" i="17" s="1"/>
  <c r="I79" i="17" s="1"/>
  <c r="I80" i="17" s="1"/>
  <c r="I81" i="17" s="1"/>
  <c r="I82" i="17" s="1"/>
  <c r="I83" i="17" s="1"/>
  <c r="I84" i="17" s="1"/>
  <c r="I85" i="17" s="1"/>
  <c r="I86" i="17" s="1"/>
  <c r="I87" i="17" s="1"/>
  <c r="I88" i="17" s="1"/>
  <c r="I89" i="17" s="1"/>
  <c r="I90" i="17" s="1"/>
  <c r="I91" i="17" s="1"/>
  <c r="I92" i="17" s="1"/>
  <c r="I93" i="17" s="1"/>
  <c r="I94" i="17" s="1"/>
  <c r="I95" i="17" s="1"/>
  <c r="I96" i="17" s="1"/>
  <c r="I97" i="17" s="1"/>
  <c r="I98" i="17" s="1"/>
  <c r="I99" i="17" s="1"/>
  <c r="I100" i="17" s="1"/>
  <c r="I101" i="17" s="1"/>
  <c r="I102" i="17" s="1"/>
  <c r="I103" i="17" s="1"/>
  <c r="I104" i="17" s="1"/>
  <c r="I105" i="17" s="1"/>
  <c r="I106" i="17" s="1"/>
  <c r="I107" i="17" s="1"/>
  <c r="I3" i="17"/>
  <c r="I2" i="17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3" i="16"/>
  <c r="I2" i="16"/>
  <c r="I4" i="15"/>
  <c r="I5" i="15"/>
  <c r="I6" i="15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3" i="15"/>
  <c r="I2" i="15"/>
  <c r="I4" i="14"/>
  <c r="I5" i="14" s="1"/>
  <c r="I6" i="14" s="1"/>
  <c r="I7" i="14" s="1"/>
  <c r="I8" i="14" s="1"/>
  <c r="I9" i="14" s="1"/>
  <c r="I10" i="14" s="1"/>
  <c r="I11" i="14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I88" i="14" s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08" i="14" s="1"/>
  <c r="I109" i="14" s="1"/>
  <c r="I110" i="14" s="1"/>
  <c r="I111" i="14" s="1"/>
  <c r="I112" i="14" s="1"/>
  <c r="I113" i="14" s="1"/>
  <c r="I114" i="14" s="1"/>
  <c r="I115" i="14" s="1"/>
  <c r="I116" i="14" s="1"/>
  <c r="I117" i="14" s="1"/>
  <c r="I118" i="14" s="1"/>
  <c r="I119" i="14" s="1"/>
  <c r="I120" i="14" s="1"/>
  <c r="I121" i="14" s="1"/>
  <c r="I122" i="14" s="1"/>
  <c r="I123" i="14" s="1"/>
  <c r="I124" i="14" s="1"/>
  <c r="I125" i="14" s="1"/>
  <c r="I126" i="14" s="1"/>
  <c r="I127" i="14" s="1"/>
  <c r="I128" i="14" s="1"/>
  <c r="I129" i="14" s="1"/>
  <c r="I130" i="14" s="1"/>
  <c r="I131" i="14" s="1"/>
  <c r="I132" i="14" s="1"/>
  <c r="I133" i="14" s="1"/>
  <c r="I134" i="14" s="1"/>
  <c r="I135" i="14" s="1"/>
  <c r="I136" i="14" s="1"/>
  <c r="I137" i="14" s="1"/>
  <c r="I138" i="14" s="1"/>
  <c r="I139" i="14" s="1"/>
  <c r="I140" i="14" s="1"/>
  <c r="I141" i="14" s="1"/>
  <c r="I142" i="14" s="1"/>
  <c r="I143" i="14" s="1"/>
  <c r="I144" i="14" s="1"/>
  <c r="I145" i="14" s="1"/>
  <c r="I146" i="14" s="1"/>
  <c r="I147" i="14" s="1"/>
  <c r="I148" i="14" s="1"/>
  <c r="I149" i="14" s="1"/>
  <c r="I150" i="14" s="1"/>
  <c r="I151" i="14" s="1"/>
  <c r="I152" i="14" s="1"/>
  <c r="I153" i="14" s="1"/>
  <c r="I154" i="14" s="1"/>
  <c r="I155" i="14" s="1"/>
  <c r="I156" i="14" s="1"/>
  <c r="I157" i="14" s="1"/>
  <c r="I158" i="14" s="1"/>
  <c r="I159" i="14" s="1"/>
  <c r="I160" i="14" s="1"/>
  <c r="I161" i="14" s="1"/>
  <c r="I162" i="14" s="1"/>
  <c r="I163" i="14" s="1"/>
  <c r="I164" i="14" s="1"/>
  <c r="I165" i="14" s="1"/>
  <c r="I166" i="14" s="1"/>
  <c r="I167" i="14" s="1"/>
  <c r="I168" i="14" s="1"/>
  <c r="I169" i="14" s="1"/>
  <c r="I170" i="14" s="1"/>
  <c r="I171" i="14" s="1"/>
  <c r="I172" i="14" s="1"/>
  <c r="I173" i="14" s="1"/>
  <c r="I174" i="14" s="1"/>
  <c r="I175" i="14" s="1"/>
  <c r="I176" i="14" s="1"/>
  <c r="I177" i="14" s="1"/>
  <c r="I178" i="14" s="1"/>
  <c r="I179" i="14" s="1"/>
  <c r="I180" i="14" s="1"/>
  <c r="I181" i="14" s="1"/>
  <c r="I182" i="14" s="1"/>
  <c r="I183" i="14" s="1"/>
  <c r="I184" i="14" s="1"/>
  <c r="I185" i="14" s="1"/>
  <c r="I186" i="14" s="1"/>
  <c r="I187" i="14" s="1"/>
  <c r="I188" i="14" s="1"/>
  <c r="I189" i="14" s="1"/>
  <c r="I190" i="14" s="1"/>
  <c r="I191" i="14" s="1"/>
  <c r="I192" i="14" s="1"/>
  <c r="I193" i="14" s="1"/>
  <c r="I194" i="14" s="1"/>
  <c r="I195" i="14" s="1"/>
  <c r="I196" i="14" s="1"/>
  <c r="I197" i="14" s="1"/>
  <c r="I198" i="14" s="1"/>
  <c r="I199" i="14" s="1"/>
  <c r="I200" i="14" s="1"/>
  <c r="I201" i="14" s="1"/>
  <c r="I202" i="14" s="1"/>
  <c r="I203" i="14" s="1"/>
  <c r="I204" i="14" s="1"/>
  <c r="I205" i="14" s="1"/>
  <c r="I206" i="14" s="1"/>
  <c r="I207" i="14" s="1"/>
  <c r="I208" i="14" s="1"/>
  <c r="I209" i="14" s="1"/>
  <c r="I210" i="14" s="1"/>
  <c r="I211" i="14" s="1"/>
  <c r="I212" i="14" s="1"/>
  <c r="I213" i="14" s="1"/>
  <c r="I214" i="14" s="1"/>
  <c r="I215" i="14" s="1"/>
  <c r="I216" i="14" s="1"/>
  <c r="I217" i="14" s="1"/>
  <c r="I218" i="14" s="1"/>
  <c r="I219" i="14" s="1"/>
  <c r="I220" i="14" s="1"/>
  <c r="I221" i="14" s="1"/>
  <c r="I222" i="14" s="1"/>
  <c r="I223" i="14" s="1"/>
  <c r="I224" i="14" s="1"/>
  <c r="I225" i="14" s="1"/>
  <c r="I226" i="14" s="1"/>
  <c r="I227" i="14" s="1"/>
  <c r="I228" i="14" s="1"/>
  <c r="I229" i="14" s="1"/>
  <c r="I230" i="14" s="1"/>
  <c r="I231" i="14" s="1"/>
  <c r="I232" i="14" s="1"/>
  <c r="I233" i="14" s="1"/>
  <c r="I234" i="14" s="1"/>
  <c r="I235" i="14" s="1"/>
  <c r="I236" i="14" s="1"/>
  <c r="I237" i="14" s="1"/>
  <c r="I238" i="14" s="1"/>
  <c r="I239" i="14" s="1"/>
  <c r="I240" i="14" s="1"/>
  <c r="I241" i="14" s="1"/>
  <c r="I242" i="14" s="1"/>
  <c r="I243" i="14" s="1"/>
  <c r="I244" i="14" s="1"/>
  <c r="I245" i="14" s="1"/>
  <c r="I246" i="14" s="1"/>
  <c r="I247" i="14" s="1"/>
  <c r="I248" i="14" s="1"/>
  <c r="I249" i="14" s="1"/>
  <c r="I250" i="14" s="1"/>
  <c r="I251" i="14" s="1"/>
  <c r="I252" i="14" s="1"/>
  <c r="I253" i="14" s="1"/>
  <c r="I254" i="14" s="1"/>
  <c r="I255" i="14" s="1"/>
  <c r="I256" i="14" s="1"/>
  <c r="I257" i="14" s="1"/>
  <c r="I258" i="14" s="1"/>
  <c r="I259" i="14" s="1"/>
  <c r="I260" i="14" s="1"/>
  <c r="I261" i="14" s="1"/>
  <c r="I262" i="14" s="1"/>
  <c r="I263" i="14" s="1"/>
  <c r="I264" i="14" s="1"/>
  <c r="I265" i="14" s="1"/>
  <c r="I266" i="14" s="1"/>
  <c r="I267" i="14" s="1"/>
  <c r="I268" i="14" s="1"/>
  <c r="I269" i="14" s="1"/>
  <c r="I3" i="14"/>
  <c r="I2" i="14"/>
  <c r="L67" i="9"/>
  <c r="M67" i="9"/>
  <c r="K68" i="9"/>
  <c r="J68" i="9"/>
  <c r="I68" i="9"/>
  <c r="I62" i="9"/>
  <c r="I63" i="9" s="1"/>
  <c r="I64" i="9" s="1"/>
  <c r="I28" i="8"/>
  <c r="K58" i="7"/>
  <c r="J58" i="7"/>
  <c r="I57" i="7"/>
  <c r="I58" i="7" s="1"/>
  <c r="I47" i="7"/>
  <c r="I48" i="7"/>
  <c r="J73" i="6"/>
  <c r="I73" i="6"/>
  <c r="K49" i="5"/>
  <c r="I49" i="5"/>
  <c r="J49" i="5"/>
  <c r="I46" i="5"/>
  <c r="I47" i="5"/>
  <c r="J59" i="4"/>
  <c r="I59" i="4"/>
  <c r="I51" i="4"/>
  <c r="I52" i="4" s="1"/>
  <c r="K59" i="4" s="1"/>
  <c r="K75" i="2"/>
  <c r="J75" i="2"/>
  <c r="K71" i="2"/>
  <c r="I74" i="2"/>
  <c r="I75" i="2" s="1"/>
  <c r="I62" i="2"/>
  <c r="I63" i="2" s="1"/>
  <c r="I64" i="2" s="1"/>
  <c r="J71" i="2"/>
  <c r="P235" i="20" l="1"/>
  <c r="I45" i="5"/>
  <c r="D67" i="9" l="1"/>
  <c r="D62" i="9"/>
  <c r="D61" i="9"/>
  <c r="D56" i="7"/>
  <c r="D46" i="7"/>
  <c r="D45" i="7"/>
  <c r="D65" i="6"/>
  <c r="D64" i="6"/>
  <c r="D63" i="6"/>
  <c r="D45" i="5"/>
  <c r="D50" i="4"/>
  <c r="D72" i="2"/>
  <c r="D62" i="2"/>
  <c r="I59" i="3"/>
  <c r="I60" i="3" s="1"/>
  <c r="I58" i="3"/>
  <c r="H56" i="2"/>
  <c r="J56" i="4"/>
  <c r="J55" i="4"/>
  <c r="I25" i="8"/>
  <c r="I26" i="8" s="1"/>
  <c r="I27" i="8" s="1"/>
  <c r="I50" i="7"/>
  <c r="I51" i="7" s="1"/>
  <c r="I52" i="7" s="1"/>
  <c r="I53" i="7" s="1"/>
  <c r="I54" i="7" s="1"/>
  <c r="I55" i="7" s="1"/>
  <c r="I56" i="7" s="1"/>
  <c r="I67" i="2"/>
  <c r="I68" i="2" s="1"/>
  <c r="I69" i="2" s="1"/>
  <c r="I70" i="2" s="1"/>
  <c r="I71" i="2" s="1"/>
  <c r="I72" i="2" s="1"/>
  <c r="I73" i="2" s="1"/>
  <c r="I55" i="4"/>
  <c r="I56" i="4" s="1"/>
  <c r="I57" i="4" s="1"/>
  <c r="J57" i="4" s="1"/>
  <c r="I58" i="4" l="1"/>
  <c r="I40" i="9"/>
  <c r="I41" i="9" s="1"/>
  <c r="I42" i="9" s="1"/>
  <c r="I43" i="9" s="1"/>
  <c r="I44" i="9" s="1"/>
  <c r="I45" i="9" s="1"/>
  <c r="I46" i="9" s="1"/>
  <c r="I47" i="9" s="1"/>
  <c r="I48" i="9" s="1"/>
  <c r="I49" i="9" s="1"/>
  <c r="I50" i="9" s="1"/>
  <c r="I51" i="9" s="1"/>
  <c r="I52" i="9" s="1"/>
  <c r="I53" i="9" s="1"/>
  <c r="I54" i="9" s="1"/>
  <c r="I55" i="9" s="1"/>
  <c r="I56" i="9" s="1"/>
  <c r="I57" i="9" s="1"/>
  <c r="I58" i="9" s="1"/>
  <c r="I59" i="9" s="1"/>
  <c r="I19" i="8"/>
  <c r="I20" i="8" s="1"/>
  <c r="I21" i="8" s="1"/>
  <c r="I22" i="8" s="1"/>
  <c r="I23" i="8" s="1"/>
  <c r="I24" i="8" s="1"/>
  <c r="I35" i="7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K56" i="7" s="1"/>
  <c r="I37" i="6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31" i="5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29" i="4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3"/>
  <c r="I44" i="3"/>
  <c r="I45" i="3"/>
  <c r="I46" i="3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I57" i="3" s="1"/>
  <c r="I42" i="3"/>
  <c r="I41" i="3"/>
  <c r="I38" i="2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J35" i="9"/>
  <c r="I58" i="2" l="1"/>
  <c r="I59" i="2" s="1"/>
  <c r="I60" i="2" s="1"/>
  <c r="I61" i="2" s="1"/>
  <c r="L71" i="2" s="1"/>
  <c r="I66" i="9"/>
  <c r="I67" i="9" s="1"/>
  <c r="I60" i="9"/>
  <c r="I57" i="6"/>
  <c r="I58" i="6" s="1"/>
  <c r="I59" i="6" s="1"/>
  <c r="I60" i="6" s="1"/>
  <c r="I61" i="6" s="1"/>
  <c r="I62" i="6" s="1"/>
  <c r="I43" i="4"/>
  <c r="I44" i="4" s="1"/>
  <c r="I45" i="4" s="1"/>
  <c r="I46" i="4" s="1"/>
  <c r="I47" i="4" s="1"/>
  <c r="I48" i="4" s="1"/>
  <c r="I49" i="4" s="1"/>
  <c r="I50" i="4" s="1"/>
  <c r="I15" i="4"/>
  <c r="I16" i="4" s="1"/>
  <c r="I17" i="4" s="1"/>
  <c r="I18" i="4" s="1"/>
  <c r="I19" i="4" s="1"/>
  <c r="I20" i="4" s="1"/>
  <c r="J62" i="6" l="1"/>
  <c r="I63" i="6"/>
  <c r="I61" i="9"/>
  <c r="K67" i="9" s="1"/>
  <c r="J5" i="7"/>
  <c r="I12" i="3"/>
  <c r="I11" i="3"/>
  <c r="I10" i="3"/>
  <c r="I9" i="3"/>
  <c r="I8" i="3"/>
  <c r="I6" i="3"/>
  <c r="I7" i="3" s="1"/>
  <c r="I4" i="3"/>
  <c r="I5" i="3" s="1"/>
  <c r="I2" i="3"/>
  <c r="I3" i="3" s="1"/>
  <c r="I64" i="6" l="1"/>
  <c r="I65" i="6" s="1"/>
  <c r="I66" i="6" s="1"/>
  <c r="I67" i="6" s="1"/>
  <c r="I68" i="6" s="1"/>
  <c r="I69" i="6" s="1"/>
  <c r="I70" i="6" s="1"/>
  <c r="J16" i="2"/>
  <c r="M66" i="9" l="1"/>
  <c r="K73" i="6"/>
  <c r="M68" i="9" s="1"/>
  <c r="I10" i="2"/>
  <c r="I11" i="2" s="1"/>
  <c r="I7" i="2"/>
  <c r="I16" i="2" s="1"/>
  <c r="I6" i="2"/>
  <c r="I8" i="2" s="1"/>
  <c r="I4" i="2"/>
  <c r="I5" i="2" s="1"/>
  <c r="I2" i="2"/>
  <c r="I3" i="2" s="1"/>
  <c r="I12" i="2"/>
  <c r="I13" i="2" s="1"/>
  <c r="I14" i="2" s="1"/>
  <c r="I15" i="2" s="1"/>
  <c r="H18" i="2"/>
  <c r="G18" i="2"/>
  <c r="I9" i="2" l="1"/>
  <c r="I17" i="2" s="1"/>
  <c r="I18" i="2"/>
</calcChain>
</file>

<file path=xl/sharedStrings.xml><?xml version="1.0" encoding="utf-8"?>
<sst xmlns="http://schemas.openxmlformats.org/spreadsheetml/2006/main" count="7587" uniqueCount="897">
  <si>
    <t>DESWIK CHILE SPA</t>
  </si>
  <si>
    <t>Comprobante</t>
  </si>
  <si>
    <t>Fec. Doc.</t>
  </si>
  <si>
    <t>Voucher</t>
  </si>
  <si>
    <t>Titular</t>
  </si>
  <si>
    <t>T.Doc/Nro</t>
  </si>
  <si>
    <t>Debe</t>
  </si>
  <si>
    <t>Haber</t>
  </si>
  <si>
    <t>Acumulado</t>
  </si>
  <si>
    <t>adig/1114</t>
  </si>
  <si>
    <t>CAROL TATIANA CONTRERAS MUÑOZ</t>
  </si>
  <si>
    <t>Glosa : TDC CLP_USD C.Contreras</t>
  </si>
  <si>
    <t>adig/1115</t>
  </si>
  <si>
    <t>MARCELO PENNA SANTOS</t>
  </si>
  <si>
    <t>Glosa : TDC CLP Marcelo PENNA</t>
  </si>
  <si>
    <t>adig/1116</t>
  </si>
  <si>
    <t>JUAN CARVALLO JIMÉNEZ</t>
  </si>
  <si>
    <t>Glosa : TDC CLP JUAN CARVALLO</t>
  </si>
  <si>
    <t>adig/1117</t>
  </si>
  <si>
    <t>CAITLIN JOY WHEAT</t>
  </si>
  <si>
    <t>Glosa : TDC CLP-USD CAITLIN WHEAT</t>
  </si>
  <si>
    <t>adig/1122</t>
  </si>
  <si>
    <t>KATHERINNE SILVANA ALARCON ESCOBAR</t>
  </si>
  <si>
    <t>Glosa : TDC CLP-USD CAtherine alaracon</t>
  </si>
  <si>
    <t>adig/1283</t>
  </si>
  <si>
    <t>FRANCISCO MIRANDA RIADI</t>
  </si>
  <si>
    <t>Glosa : TDC CLP/USD FRANCISCO MIRANDA</t>
  </si>
  <si>
    <t>adig/1170</t>
  </si>
  <si>
    <t>Glosa : Bank Transfer to CC Caitlin Wheat.</t>
  </si>
  <si>
    <t>adig/1171</t>
  </si>
  <si>
    <t>Glosa : Bank Transfer to CC Carol Contreras.</t>
  </si>
  <si>
    <t>adig/1172</t>
  </si>
  <si>
    <t>Glosa : Bank Transfer to CC Katherinne Alarcon.</t>
  </si>
  <si>
    <t>adig/1173</t>
  </si>
  <si>
    <t>Glosa : Bank Transfer to CC Francisco Miranda.</t>
  </si>
  <si>
    <t>adig/1174</t>
  </si>
  <si>
    <t>Glosa : Bank Transfer to CC Sebastián Carvallo.</t>
  </si>
  <si>
    <t>adig/1175</t>
  </si>
  <si>
    <t>Glosa : Bank Transfer to CC Marcelo Penna.</t>
  </si>
  <si>
    <t>adig/1250</t>
  </si>
  <si>
    <t>adig/1251</t>
  </si>
  <si>
    <t>adig/1252</t>
  </si>
  <si>
    <t>Glosa : Tarjeta de Credito F.Miranda</t>
  </si>
  <si>
    <t>adig/1253</t>
  </si>
  <si>
    <t>Glosa : TDC pesos USD Katherine Alarcon</t>
  </si>
  <si>
    <t>adig/1254</t>
  </si>
  <si>
    <t>Glosa : TDC CLP/USD  Marcelo PENNA</t>
  </si>
  <si>
    <t>adig/1255</t>
  </si>
  <si>
    <t>Glosa : TDC CLP JUAN sebastian CARVALLO</t>
  </si>
  <si>
    <t>adig/1284</t>
  </si>
  <si>
    <t>CESAR FELIPE MACHADO RIBEIRO LOPES</t>
  </si>
  <si>
    <t>Glosa : TDC CLP/USD CESAR MACHADO</t>
  </si>
  <si>
    <t>adig/1553</t>
  </si>
  <si>
    <t>adig/1196</t>
  </si>
  <si>
    <t>DEMO MAGNUS ERP</t>
  </si>
  <si>
    <t>Glosa : Prepaid PPE seguridad</t>
  </si>
  <si>
    <t>adig/1202</t>
  </si>
  <si>
    <t>adig/1203</t>
  </si>
  <si>
    <t>adig/1204</t>
  </si>
  <si>
    <t>adig/1205</t>
  </si>
  <si>
    <t>adig/1206</t>
  </si>
  <si>
    <t>adig/1207</t>
  </si>
  <si>
    <t>adig/1256</t>
  </si>
  <si>
    <t>Glosa : TDC CLP/USD CARLO CONTRERAS</t>
  </si>
  <si>
    <t>adig/1257</t>
  </si>
  <si>
    <t>adig/1258</t>
  </si>
  <si>
    <t>adig/1259</t>
  </si>
  <si>
    <t>JORGE MORIS JORDÁN</t>
  </si>
  <si>
    <t>Glosa : TDC CLP/USD JORGE MORIS</t>
  </si>
  <si>
    <t>adig/1260</t>
  </si>
  <si>
    <t>Glosa : TDC CLP/USD KATHERINE ALARCON</t>
  </si>
  <si>
    <t>adig/1261</t>
  </si>
  <si>
    <t>Glosa : TDC CLP/USD MARCELO PENNA</t>
  </si>
  <si>
    <t>adig/1311</t>
  </si>
  <si>
    <t>Glosa : Payment: ER - Carol Contreras 25.7 - Reimbursable Expense - compra cervezas happ... | 25.7 - Reimbursable Expense - compra cervezas happ...</t>
  </si>
  <si>
    <t>adig/1312</t>
  </si>
  <si>
    <t>adig/1313</t>
  </si>
  <si>
    <t>adig/1314</t>
  </si>
  <si>
    <t>adig/1315</t>
  </si>
  <si>
    <t>adig/1333</t>
  </si>
  <si>
    <t>Glosa : TDC CLP/USD CAROl CONTRERAS</t>
  </si>
  <si>
    <t>adig/1334</t>
  </si>
  <si>
    <t>adig/1335</t>
  </si>
  <si>
    <t>adig/1382</t>
  </si>
  <si>
    <t>Glosa : RECLASIFICA GASTOS RENDICION Carol contreras</t>
  </si>
  <si>
    <t>adig/1383</t>
  </si>
  <si>
    <t>Glosa : RECLASIFICA GASTOS RENDICION Carol contreras feb</t>
  </si>
  <si>
    <t>adig/1384</t>
  </si>
  <si>
    <t>Glosa : RECLASIFICA GASTOS RENDICION Carol contreras mar</t>
  </si>
  <si>
    <t>adig/1386</t>
  </si>
  <si>
    <t>Glosa : reclasifica tdc enero</t>
  </si>
  <si>
    <t>adig/1387</t>
  </si>
  <si>
    <t>Glosa : RECLASIFICA TDC K. ALARCON ENERO</t>
  </si>
  <si>
    <t>adig/1395</t>
  </si>
  <si>
    <t>Glosa : apertura TDC F. MIRANDA ENERO</t>
  </si>
  <si>
    <t>adig/1397</t>
  </si>
  <si>
    <t>Glosa : APERTURA TDC J. SEBASTIAN C. ENERO</t>
  </si>
  <si>
    <t>adig/1398</t>
  </si>
  <si>
    <t>Glosa : APERTURA TDC M. PENNA ENERO</t>
  </si>
  <si>
    <t>adig/1410</t>
  </si>
  <si>
    <t>Glosa : APERTURA TDC C. W FEB</t>
  </si>
  <si>
    <t>adig/1411</t>
  </si>
  <si>
    <t>Glosa : APERTURA TDC F. MIRANDA FEB</t>
  </si>
  <si>
    <t>adig/1412</t>
  </si>
  <si>
    <t>Glosa : APERTURA TDC K. ALARCON FEB</t>
  </si>
  <si>
    <t>adig/1413</t>
  </si>
  <si>
    <t>Glosa : APERTURA TDC M. PENNA FEB</t>
  </si>
  <si>
    <t>adig/1414</t>
  </si>
  <si>
    <t>Glosa : APERTURA TDC JS. CARVALLO FEB</t>
  </si>
  <si>
    <t>adig/1415</t>
  </si>
  <si>
    <t>Glosa : APERTURA TDC C. WEATH MARZO</t>
  </si>
  <si>
    <t>adig/1416</t>
  </si>
  <si>
    <t>Glosa : APERTURA TDC F. MIRANDA MARZO</t>
  </si>
  <si>
    <t>adig/1417</t>
  </si>
  <si>
    <t>Glosa : APERTURA TDC K. ALARCON MARZO</t>
  </si>
  <si>
    <t>adig/1418</t>
  </si>
  <si>
    <t>Glosa : APERTURA TDC M. PENNA MARZO</t>
  </si>
  <si>
    <t>adig/1533</t>
  </si>
  <si>
    <t>Glosa : ER - Marcelo Penna - Taxis / Trains / Buses - 25-04 Reimbursable Expense - Apr 2025 - Reimbursable</t>
  </si>
  <si>
    <t>Totales:</t>
  </si>
  <si>
    <t xml:space="preserve">Saldo Final Al 31/07/2025: </t>
  </si>
  <si>
    <t>Cuenta:  2114 TARJETAS DE CREDITO USD</t>
  </si>
  <si>
    <t>Moneda de la Cta: Dólares Americanos</t>
  </si>
  <si>
    <t xml:space="preserve"> </t>
  </si>
  <si>
    <t>MGMayorContableOF_CtaRel</t>
  </si>
  <si>
    <t>CONTRERAS</t>
  </si>
  <si>
    <t>2114-09 - CC Katherinne Alarcon</t>
  </si>
  <si>
    <t>2114-10 - CC Carol Contreras</t>
  </si>
  <si>
    <t>2114-11 - CC Sebastián Carvallo</t>
  </si>
  <si>
    <t>2114-14 - CC Cesar Machado</t>
  </si>
  <si>
    <t>2114-15 - CC Jorge Moris</t>
  </si>
  <si>
    <t>2114-54 - CC Marcelo Penna</t>
  </si>
  <si>
    <t>2114-12 - CC Francisco Miranda</t>
  </si>
  <si>
    <t>2114-13 - CC Caitlin Wheat</t>
  </si>
  <si>
    <t>plib/8</t>
  </si>
  <si>
    <t>Glosa : reembolso Marcelo Penna</t>
  </si>
  <si>
    <t>adig/1161</t>
  </si>
  <si>
    <t>Glosa : Payment: ER - Marcelo Penna25.4 - Reimbursable Expense - Apr 2025 - Reimbursa...</t>
  </si>
  <si>
    <t>adig/1163</t>
  </si>
  <si>
    <t>Glosa : Payment: ER - Katherinne Alarcon25.3 - Reimbursable Expense - Viaje Lima | 25.3 - Reimbursable Expense - Viaje Lima</t>
  </si>
  <si>
    <t>adig/1187</t>
  </si>
  <si>
    <t>Glosa : Payment: multiple itemsReembolsos Caroline Zorzi</t>
  </si>
  <si>
    <t>adig/1189</t>
  </si>
  <si>
    <t>Glosa : Payment: ER - Jorge Moris25.4 - Reimbursable Expense - Vacuna Influenza | 25.4 - Reimbursable Expense - Vacuna Influenza</t>
  </si>
  <si>
    <t>adig/1190</t>
  </si>
  <si>
    <t>Glosa : Payment: ER - Caitlin Wheat25.5 - Reimbursable Expense - Reimbursement May 20... | 25.5 - Reimbursable Expense - Reimbursement May 20...</t>
  </si>
  <si>
    <t>adig/1191</t>
  </si>
  <si>
    <t>Glosa : Payment: ER - Sebastián Carvallo25.5 - Reimbursable Expense - Lundin Mining - Cand... | 25.5 - Reimbursable Expense - Lundin Mining - Cand...</t>
  </si>
  <si>
    <t>adig/1192</t>
  </si>
  <si>
    <t>Glosa : Payment: ER - Marcelo Penna25.5 - Reimbursable Expense - Candelaria Site Visi... | 25.5 - Reimbursable Expense - Candelaria Site Visi...</t>
  </si>
  <si>
    <t>adig/1194</t>
  </si>
  <si>
    <t>Glosa : Payment: ER - Jorge Moris25.6 - Reimbursable Expense - Estacionamiento Mine...</t>
  </si>
  <si>
    <t>adig/1310</t>
  </si>
  <si>
    <t>Glosa : Payment: multiple items Reembolsos Caroline Zorzi</t>
  </si>
  <si>
    <t>adig/1604</t>
  </si>
  <si>
    <t>adig/1524</t>
  </si>
  <si>
    <t>Glosa : reclasifica CC Expense</t>
  </si>
  <si>
    <t>plib/74</t>
  </si>
  <si>
    <t>adig/1526</t>
  </si>
  <si>
    <t>Glosa : FONDO POR RENDIR Antonieta Gonzalez</t>
  </si>
  <si>
    <t>adig/1530</t>
  </si>
  <si>
    <t>Glosa : Spend Money CC Expense  ABRIL-MAYO-JUNIO-JULIO</t>
  </si>
  <si>
    <t>adig/1531</t>
  </si>
  <si>
    <t>Glosa : Spend Money CC  Expense ABRIL-JULIO 2114-11</t>
  </si>
  <si>
    <t>adig/1532</t>
  </si>
  <si>
    <t>Glosa : Spend Money CC  Expense ABRIL-JULIO 2114-54</t>
  </si>
  <si>
    <t>adig/1534</t>
  </si>
  <si>
    <t>Glosa : Spend Money CC Expense - Estacionamiento Mine Planning 2114-15</t>
  </si>
  <si>
    <t>adig/1537</t>
  </si>
  <si>
    <t>Glosa : FONDO POR RENDIR VISA Francisco Miranda</t>
  </si>
  <si>
    <t>?</t>
  </si>
  <si>
    <t>carolina zorzi</t>
  </si>
  <si>
    <t>adig/991</t>
  </si>
  <si>
    <t>Glosa : Pago Tarjeta de Credito</t>
  </si>
  <si>
    <t>adig/993</t>
  </si>
  <si>
    <t>adig/994</t>
  </si>
  <si>
    <t>adig/995</t>
  </si>
  <si>
    <t>adig/996</t>
  </si>
  <si>
    <t>adig/997</t>
  </si>
  <si>
    <t>adig/1053</t>
  </si>
  <si>
    <t>Glosa : Pago tarjeta de Credito</t>
  </si>
  <si>
    <t>adig/1054</t>
  </si>
  <si>
    <t>adig/1055</t>
  </si>
  <si>
    <t>plib/22</t>
  </si>
  <si>
    <t>Glosa : Pago tarjeta de credio Francisco Miranda</t>
  </si>
  <si>
    <t>plib/23</t>
  </si>
  <si>
    <t>Glosa : Pago tarjeta de credito Katherinne Alarcon</t>
  </si>
  <si>
    <t>plib/24</t>
  </si>
  <si>
    <t>Glosa : Pago tarjeta de credito Carol Contreras</t>
  </si>
  <si>
    <t>plib/25</t>
  </si>
  <si>
    <t>Glosa : Pago tarjeta de credito Caitlin Wheat</t>
  </si>
  <si>
    <t>plib/26</t>
  </si>
  <si>
    <t>Glosa : Pago Tarjeta de credito Marcelo Penna</t>
  </si>
  <si>
    <t>adig/1602</t>
  </si>
  <si>
    <t>Glosa : compensa prov</t>
  </si>
  <si>
    <t>Glosa : compensa prov caroline zorzi</t>
  </si>
  <si>
    <t>adig/1372</t>
  </si>
  <si>
    <t>Glosa : Reembolsos Sebastian Carvallo</t>
  </si>
  <si>
    <t>JUAN SEBASTIAN CARVALLO JIMÉNEZ</t>
  </si>
  <si>
    <t>adig/1373</t>
  </si>
  <si>
    <t>Glosa : MP´s credit card payment</t>
  </si>
  <si>
    <t>adig/1374</t>
  </si>
  <si>
    <t>Glosa : Carol's cc payment</t>
  </si>
  <si>
    <t>adig/1375</t>
  </si>
  <si>
    <t>Glosa : Sebastian´s cc payment</t>
  </si>
  <si>
    <t>adig/1376</t>
  </si>
  <si>
    <t>Glosa : KA´s credit card payment</t>
  </si>
  <si>
    <t>adig/1377</t>
  </si>
  <si>
    <t>Glosa : CM´s credit card payment</t>
  </si>
  <si>
    <t>adig/1378</t>
  </si>
  <si>
    <t>Glosa : JM´s credit card payment</t>
  </si>
  <si>
    <t>adig/1551</t>
  </si>
  <si>
    <t>adig/1552</t>
  </si>
  <si>
    <t>adig/1554</t>
  </si>
  <si>
    <t>adig/1555</t>
  </si>
  <si>
    <t>adig/1550</t>
  </si>
  <si>
    <t>adig/1565</t>
  </si>
  <si>
    <t>Glosa : 25.8 - Reimbursable Expense - Reimbursements Augus... | 25.8 - Reimbursable Expense - Reimbursements Augus...</t>
  </si>
  <si>
    <t>adig/1597</t>
  </si>
  <si>
    <t>Glosa : 25.8 - Reimbursable Expense - Viaje BHP Assistenci...</t>
  </si>
  <si>
    <t>adig/1566</t>
  </si>
  <si>
    <t>Glosa : 25.9 - Reimbursable Expense - Reimbursement - Empa... | 25.9 - Reimbursable Expense - Reimbursement - Empa...</t>
  </si>
  <si>
    <t>adig/1567</t>
  </si>
  <si>
    <t>adig/1568</t>
  </si>
  <si>
    <t>adig/1569</t>
  </si>
  <si>
    <t>adig/1570</t>
  </si>
  <si>
    <t>Glosa : SEBASTIAN CARVALLO</t>
  </si>
  <si>
    <t>adig/1571</t>
  </si>
  <si>
    <t>Glosa : Katherinnes credit card payment</t>
  </si>
  <si>
    <t>adig/1572</t>
  </si>
  <si>
    <t>adig/1599</t>
  </si>
  <si>
    <t>Glosa : Reserva seminario COL</t>
  </si>
  <si>
    <t>adig/1574</t>
  </si>
  <si>
    <t>Glosa : 25.8 - Reimbursable Expense - Taxi de hotel Atacam... | 25.8 - Reimbursable Expense - Taxi de hotel Atacam...</t>
  </si>
  <si>
    <t>ANTONIETA GONZALEZ OLIVEROS</t>
  </si>
  <si>
    <t>adig/1576</t>
  </si>
  <si>
    <t>Glosa : 25.8 - Reimbursable Expense - Agosto - Implementac... | 25.8 - Reimbursable Expense - Agosto - Implementac...</t>
  </si>
  <si>
    <t>adig/1607</t>
  </si>
  <si>
    <t>adig/1608</t>
  </si>
  <si>
    <t>adig/1609</t>
  </si>
  <si>
    <t>adig/1610</t>
  </si>
  <si>
    <t xml:space="preserve">Saldo Final Al 30/09/2025: </t>
  </si>
  <si>
    <t>provision</t>
  </si>
  <si>
    <t>Provision Expenses CC - Provision CC KA Viaje Peru</t>
  </si>
  <si>
    <t>adig/1684</t>
  </si>
  <si>
    <t>adig/1699</t>
  </si>
  <si>
    <t>adig/1683</t>
  </si>
  <si>
    <t>adig/1698</t>
  </si>
  <si>
    <t>adig/1696</t>
  </si>
  <si>
    <t>adig/1685</t>
  </si>
  <si>
    <t>adig/1686</t>
  </si>
  <si>
    <t>adig/1697</t>
  </si>
  <si>
    <t>adig/1700</t>
  </si>
  <si>
    <t>xero</t>
  </si>
  <si>
    <t>adig/1739</t>
  </si>
  <si>
    <t>adig/1766</t>
  </si>
  <si>
    <t>adig/1740</t>
  </si>
  <si>
    <t>adig/1768</t>
  </si>
  <si>
    <t>adig/1741</t>
  </si>
  <si>
    <t>adig/1765</t>
  </si>
  <si>
    <t>adig/1771</t>
  </si>
  <si>
    <t>adig/1742</t>
  </si>
  <si>
    <t>adig/1769</t>
  </si>
  <si>
    <t>adig/1743</t>
  </si>
  <si>
    <t>adig/1767</t>
  </si>
  <si>
    <t>adig/1809</t>
  </si>
  <si>
    <t>adig/1836</t>
  </si>
  <si>
    <t>Glosa : TDC K. ALARCON</t>
  </si>
  <si>
    <t>adig/1838</t>
  </si>
  <si>
    <t>Glosa : TDC JS CARVALLO</t>
  </si>
  <si>
    <t>adig/1827</t>
  </si>
  <si>
    <t>Glosa : Visa Arg Sebastian Carvallo</t>
  </si>
  <si>
    <t>adig/1808</t>
  </si>
  <si>
    <t>adig/1835</t>
  </si>
  <si>
    <t>adig/1842</t>
  </si>
  <si>
    <t>Glosa : Travel expenses Brazil  - Nov2025 - Latam 6960411</t>
  </si>
  <si>
    <t>adig/1806</t>
  </si>
  <si>
    <t>Glosa : Credit card payment CW</t>
  </si>
  <si>
    <t>adig/1810</t>
  </si>
  <si>
    <t>adig/1812</t>
  </si>
  <si>
    <t>adig/1833</t>
  </si>
  <si>
    <t>Glosa : TDC CAITLYN WEAT</t>
  </si>
  <si>
    <t>adig/1811</t>
  </si>
  <si>
    <t>Glosa : Credit Card payment CM</t>
  </si>
  <si>
    <t>adig/1834</t>
  </si>
  <si>
    <t>Glosa : TDC CESAR MACHADO</t>
  </si>
  <si>
    <t>adig/1813</t>
  </si>
  <si>
    <t>Glosa : 25.12 - Reimbursable Expense - Gastos Frigobar Hot... | 25.12 - Reimbursable Expense - Gastos Frigobar Hot...</t>
  </si>
  <si>
    <t>adig/1807</t>
  </si>
  <si>
    <t>Glosa : Credit Card payment MP</t>
  </si>
  <si>
    <t>adig/1837</t>
  </si>
  <si>
    <t>Glosa : TDC M. PENNA</t>
  </si>
  <si>
    <t>total</t>
  </si>
  <si>
    <t>dólar</t>
  </si>
  <si>
    <t>pesos</t>
  </si>
  <si>
    <t>Account Code</t>
  </si>
  <si>
    <t>Account</t>
  </si>
  <si>
    <t>Date</t>
  </si>
  <si>
    <t>Source</t>
  </si>
  <si>
    <t>Description</t>
  </si>
  <si>
    <t>Reference</t>
  </si>
  <si>
    <t>Debit</t>
  </si>
  <si>
    <t>Credit</t>
  </si>
  <si>
    <t>2114-09</t>
  </si>
  <si>
    <t>CC Katherinne Alarcon</t>
  </si>
  <si>
    <t>Spend Money</t>
  </si>
  <si>
    <t>CC Expense</t>
  </si>
  <si>
    <t>Dinner and drinks</t>
  </si>
  <si>
    <t>Bank Transfer</t>
  </si>
  <si>
    <t>Bank Transfer from Citibank - CLP to CC Katherinne Alarcon</t>
  </si>
  <si>
    <t>CC Automatic Payment</t>
  </si>
  <si>
    <t>Banco De Chile</t>
  </si>
  <si>
    <t>Payable Payment</t>
  </si>
  <si>
    <t>Payment: LATAM</t>
  </si>
  <si>
    <t>F/6268133</t>
  </si>
  <si>
    <t>Taxi aeropuerto domicilio</t>
  </si>
  <si>
    <t>Snack Aeropuerto</t>
  </si>
  <si>
    <t>Cafe aeropuerto</t>
  </si>
  <si>
    <t>Adjustment</t>
  </si>
  <si>
    <t>Reconciliation adjustment</t>
  </si>
  <si>
    <t>F/6281525</t>
  </si>
  <si>
    <t>F/6282508</t>
  </si>
  <si>
    <t>Taxi aeropuerto Hotel</t>
  </si>
  <si>
    <t>Cenas</t>
  </si>
  <si>
    <t>Patente comercial</t>
  </si>
  <si>
    <t>Pasaje Sebastian</t>
  </si>
  <si>
    <t>Dif pasjae Katherinne BH</t>
  </si>
  <si>
    <t>Almuerzo con el equipo</t>
  </si>
  <si>
    <t>KA CC payment</t>
  </si>
  <si>
    <t>Cena con Equipo</t>
  </si>
  <si>
    <t xml:space="preserve">Almuerzo </t>
  </si>
  <si>
    <t>Almuerzo</t>
  </si>
  <si>
    <t>almuerzo</t>
  </si>
  <si>
    <t>CC payment Katherinne</t>
  </si>
  <si>
    <t>Payment: PROD - RED DE TRANSPORTES COMERCIALES LTDA</t>
  </si>
  <si>
    <t>F/62420</t>
  </si>
  <si>
    <t>Fruta semana 24 feb</t>
  </si>
  <si>
    <t>Receive Money</t>
  </si>
  <si>
    <t>Katherinne A CC payment</t>
  </si>
  <si>
    <t>Provision Expenses CC</t>
  </si>
  <si>
    <t>Agua</t>
  </si>
  <si>
    <t>Cafe con el equipo</t>
  </si>
  <si>
    <t>Llegada Lima</t>
  </si>
  <si>
    <t>Cena Equipo Fzas mas Mateus</t>
  </si>
  <si>
    <t>Cena Equipo</t>
  </si>
  <si>
    <t>Taxi regreso Stgo</t>
  </si>
  <si>
    <t>Cena con Equipo en Lima</t>
  </si>
  <si>
    <t>KA´s credit card payment</t>
  </si>
  <si>
    <t>Aguas snacks</t>
  </si>
  <si>
    <t>Comida Katty y Caro</t>
  </si>
  <si>
    <t>Cena Katty</t>
  </si>
  <si>
    <t>Aguas y Snack Caro y Katty</t>
  </si>
  <si>
    <t>Cena Caro y Katty</t>
  </si>
  <si>
    <t>Almuerzo aeropuerto Sao Paulo</t>
  </si>
  <si>
    <t>Comidas Katty y Caro en el hotel</t>
  </si>
  <si>
    <t>Agua aeropuerto Stgo</t>
  </si>
  <si>
    <t>Agua Aeropuerto NZ</t>
  </si>
  <si>
    <t>Agua y Bebida Aeropuerto Brisbane</t>
  </si>
  <si>
    <t>Taxi aeropuerto Hotel Brisbane</t>
  </si>
  <si>
    <t>Desayuno</t>
  </si>
  <si>
    <t>Aguas Snacks</t>
  </si>
  <si>
    <t>Cena</t>
  </si>
  <si>
    <t>Uber Cena Rest-Hotel</t>
  </si>
  <si>
    <t>Almuerzo con Kylie</t>
  </si>
  <si>
    <t>Uber hotel aeropuerto</t>
  </si>
  <si>
    <t>Agua bebida viaje</t>
  </si>
  <si>
    <t>Room service cena 17-05</t>
  </si>
  <si>
    <t>Hospedaje</t>
  </si>
  <si>
    <t>Cargo Qantas</t>
  </si>
  <si>
    <t>Katherinne Alarcon´s credit card payment</t>
  </si>
  <si>
    <t>Payment: Cafe Diario Encomenderos Spa</t>
  </si>
  <si>
    <t>4441</t>
  </si>
  <si>
    <t>4452</t>
  </si>
  <si>
    <t>Cafe Diario Encomenderos Spa</t>
  </si>
  <si>
    <t>4620</t>
  </si>
  <si>
    <t>KAs credit card payment</t>
  </si>
  <si>
    <t>Payment: LATAM AIRLINES GROUP SA</t>
  </si>
  <si>
    <t>6740015</t>
  </si>
  <si>
    <t>4942</t>
  </si>
  <si>
    <t>Provision</t>
  </si>
  <si>
    <t>Katherinnes credit card payment</t>
  </si>
  <si>
    <t>Almuerzo team</t>
  </si>
  <si>
    <t>Almuerzo Team</t>
  </si>
  <si>
    <t>Snack</t>
  </si>
  <si>
    <t>Cena Team</t>
  </si>
  <si>
    <t>Patinaje</t>
  </si>
  <si>
    <t>Snacks</t>
  </si>
  <si>
    <t>Bar Oficina</t>
  </si>
  <si>
    <t>Tour Via/Almuerzo</t>
  </si>
  <si>
    <t>6834027</t>
  </si>
  <si>
    <t>6833985</t>
  </si>
  <si>
    <t>6840357</t>
  </si>
  <si>
    <t>Credit Card payment KA</t>
  </si>
  <si>
    <t>2114-10</t>
  </si>
  <si>
    <t>CC Carol Contreras</t>
  </si>
  <si>
    <t>F/60232</t>
  </si>
  <si>
    <t>Payment: Telefonica Chile S.A (Movistar)</t>
  </si>
  <si>
    <t>F/52229965</t>
  </si>
  <si>
    <t>F/50708669</t>
  </si>
  <si>
    <t xml:space="preserve">tortas cumpleaos la danesa </t>
  </si>
  <si>
    <t>Payment: BECKER PADRUNO GRATTINI Y COMPANIA LTDA</t>
  </si>
  <si>
    <t>1044458</t>
  </si>
  <si>
    <t xml:space="preserve">almuerzo oficina Black Chiken </t>
  </si>
  <si>
    <t xml:space="preserve">black Chiken happy hour cesar </t>
  </si>
  <si>
    <t xml:space="preserve">OXXO happy Hour cesar </t>
  </si>
  <si>
    <t xml:space="preserve">uber happy hour cesar marcelo </t>
  </si>
  <si>
    <t xml:space="preserve">choripanes cesar unimarc </t>
  </si>
  <si>
    <t>Bank Transfer from Citibank - CLP to CC Carol Contreras</t>
  </si>
  <si>
    <t xml:space="preserve">torta cumpleaos carol </t>
  </si>
  <si>
    <t xml:space="preserve">uber dennisse cena Cesar y andrew </t>
  </si>
  <si>
    <t xml:space="preserve">uber Carol Cena Cesar y andrew </t>
  </si>
  <si>
    <t>Payment: Soc. Gast Las Vacas Gordas Ltda</t>
  </si>
  <si>
    <t>B/344113</t>
  </si>
  <si>
    <t>Payment: CHILEXPRESS S.A.</t>
  </si>
  <si>
    <t>F/12425067</t>
  </si>
  <si>
    <t>F/6269557</t>
  </si>
  <si>
    <t xml:space="preserve">fruta oficina </t>
  </si>
  <si>
    <t>uber</t>
  </si>
  <si>
    <t xml:space="preserve">audifonos carol </t>
  </si>
  <si>
    <t>Payment: CVH STORE SPA</t>
  </si>
  <si>
    <t>F/1604</t>
  </si>
  <si>
    <t xml:space="preserve">uber despedida Marcelo Siro </t>
  </si>
  <si>
    <t>uber denisse despedida Marcelo siro</t>
  </si>
  <si>
    <t xml:space="preserve">uber carol despedida marcelo siro </t>
  </si>
  <si>
    <t xml:space="preserve">almuerzo staff Brazil </t>
  </si>
  <si>
    <t xml:space="preserve">uber fruta oficina </t>
  </si>
  <si>
    <t xml:space="preserve">Cambio de pasaje francisco Balmaceda </t>
  </si>
  <si>
    <t xml:space="preserve">uber tramites bancarios </t>
  </si>
  <si>
    <t xml:space="preserve">uber tramites Bancarios </t>
  </si>
  <si>
    <t>F/61615</t>
  </si>
  <si>
    <t>Payment: PRODUCOTS TECNOLOGICOS B&amp;V SPA</t>
  </si>
  <si>
    <t>F/6379</t>
  </si>
  <si>
    <t xml:space="preserve">franui  oficina </t>
  </si>
  <si>
    <t>Carol CC payment</t>
  </si>
  <si>
    <t>Payment: INVERSIONES Y ASESORIAS RA SPA</t>
  </si>
  <si>
    <t>F/325</t>
  </si>
  <si>
    <t>F/52597895</t>
  </si>
  <si>
    <t>F/6302257</t>
  </si>
  <si>
    <t xml:space="preserve">medias lunas staff brasil </t>
  </si>
  <si>
    <t xml:space="preserve">uber happy hour staff brasil </t>
  </si>
  <si>
    <t xml:space="preserve">happy hour staff brasil Malva loca </t>
  </si>
  <si>
    <t xml:space="preserve">uber happy hour carol </t>
  </si>
  <si>
    <t>uber fruta oficina martes 12</t>
  </si>
  <si>
    <t>F/6322529</t>
  </si>
  <si>
    <t xml:space="preserve">parlante oficina </t>
  </si>
  <si>
    <t>F1045340</t>
  </si>
  <si>
    <t xml:space="preserve">traslado documentos bancarios </t>
  </si>
  <si>
    <t xml:space="preserve">traslado documentos Bancarios </t>
  </si>
  <si>
    <t xml:space="preserve">celebracion dia de la mujer </t>
  </si>
  <si>
    <t>Carol CC Payment</t>
  </si>
  <si>
    <t xml:space="preserve">cafe de grano </t>
  </si>
  <si>
    <t xml:space="preserve">tramites bancarios </t>
  </si>
  <si>
    <t xml:space="preserve">Tramites Bancarios </t>
  </si>
  <si>
    <t>Payment: Comercializadora Sur del Mundo Limitada</t>
  </si>
  <si>
    <t>18847</t>
  </si>
  <si>
    <t>F/52606207</t>
  </si>
  <si>
    <t xml:space="preserve">torta cumpleaos Caroline </t>
  </si>
  <si>
    <t>Brocha y cinta para para laptop</t>
  </si>
  <si>
    <t>Payment: Comercializadora SP Digital Ltda</t>
  </si>
  <si>
    <t>267727</t>
  </si>
  <si>
    <t>0000063157</t>
  </si>
  <si>
    <t xml:space="preserve">adaptadores de vuelos para peru </t>
  </si>
  <si>
    <t xml:space="preserve">snack oficina peru regalos </t>
  </si>
  <si>
    <t xml:space="preserve">snack katherinne y Carol Aeropuerto </t>
  </si>
  <si>
    <t xml:space="preserve">Cinta doble Contacto y no mas clavo </t>
  </si>
  <si>
    <t>almuerzo carolina,katherinne y carol  (pen168.30)</t>
  </si>
  <si>
    <t>cena aeropuerto en efectivo con dinero girado desde el cajero (200.00 pen)</t>
  </si>
  <si>
    <t>Almuerzo admin mas raul Abogado lima (287.00 pen)</t>
  </si>
  <si>
    <t>Salida staff peru (181.00 Pen)</t>
  </si>
  <si>
    <t>snack regalo oficina chile (46.20 pen)</t>
  </si>
  <si>
    <t>Bebestible Carol (7.10 pen)</t>
  </si>
  <si>
    <t>almuerzo staff admin (176.00 pen)</t>
  </si>
  <si>
    <t>salida staff admin y staff peru (370.00 pen)</t>
  </si>
  <si>
    <t>cabify vuelta visitas hoteles (24.02 pen)</t>
  </si>
  <si>
    <t>cena equipo peru (1111.55 pen)</t>
  </si>
  <si>
    <t>almuerzo equipo peru (512.00</t>
  </si>
  <si>
    <t>postres oficina peru (54.50 pen)</t>
  </si>
  <si>
    <t>cabify visita hoteles miraflores (20.65 pen)</t>
  </si>
  <si>
    <t>cabify salida a cenar (23.34 pen)</t>
  </si>
  <si>
    <t>almuerzo staff admin (207.00 pen)</t>
  </si>
  <si>
    <t xml:space="preserve">taxi aeropuerto casa Carol </t>
  </si>
  <si>
    <t xml:space="preserve">cabify Jorge tramite bancario ida </t>
  </si>
  <si>
    <t xml:space="preserve">Cabify Jorge tramite BAncario vuelta </t>
  </si>
  <si>
    <t xml:space="preserve">cabiy Jorge Visita a cliente en codelco </t>
  </si>
  <si>
    <t xml:space="preserve">cafe de grano y molido </t>
  </si>
  <si>
    <t>coffee break curso anto</t>
  </si>
  <si>
    <t xml:space="preserve">coffee break curso anto </t>
  </si>
  <si>
    <t>Asesorias e Inversiones PAGA SPA</t>
  </si>
  <si>
    <t xml:space="preserve">F40975 pizarra para entrenamiento </t>
  </si>
  <si>
    <t xml:space="preserve">snack oficina </t>
  </si>
  <si>
    <t xml:space="preserve">F3868 / coffee Break curso anto </t>
  </si>
  <si>
    <t>EMPRESAS DE CORREOS DE CHILE</t>
  </si>
  <si>
    <t>F2842298 / Documentos para-Ecuador correos chile</t>
  </si>
  <si>
    <t xml:space="preserve">coffee reunion Marcelo con clientes </t>
  </si>
  <si>
    <t xml:space="preserve">F3881 / coffee Break curso anto </t>
  </si>
  <si>
    <t>EMERGENCY AND RESCUE TRAINING CENTER SPA</t>
  </si>
  <si>
    <t xml:space="preserve">curso capacitacion primeros auxilio carol </t>
  </si>
  <si>
    <t>52814223</t>
  </si>
  <si>
    <t>F3897 / entrenamiento anto EPSA</t>
  </si>
  <si>
    <t>F3908 / entrenamiento anto EPSA</t>
  </si>
  <si>
    <t>F3919 / entrenamiento anto EPSA</t>
  </si>
  <si>
    <t>F3930 / entrenamiento anto EPSA</t>
  </si>
  <si>
    <t>PROD - RED DE TRANSPORTES COMERCIALES LTDA</t>
  </si>
  <si>
    <t xml:space="preserve">F64338 / pedido de coca Cola </t>
  </si>
  <si>
    <t>F3951 / entrenamiento anto EPSA</t>
  </si>
  <si>
    <t xml:space="preserve">F3957 / entrenamiento anto EPSA segunda semana </t>
  </si>
  <si>
    <t>CC´s credit card payment</t>
  </si>
  <si>
    <t xml:space="preserve">torta cumpleaos Sebastian </t>
  </si>
  <si>
    <t>F3963 / entrenamiento anto EPSA 15 abril</t>
  </si>
  <si>
    <t xml:space="preserve">cafe Molido Oficina Curso anto </t>
  </si>
  <si>
    <t xml:space="preserve">F3971 / entrenamiento anto EPSA 16 abril </t>
  </si>
  <si>
    <t xml:space="preserve">F3978 / entrenamiento anto EPSA 17 abril </t>
  </si>
  <si>
    <t xml:space="preserve">cabify merchandising expomin ida </t>
  </si>
  <si>
    <t xml:space="preserve">cabify merchandising expomin vuelta </t>
  </si>
  <si>
    <t>cabify expomin seba dia 1</t>
  </si>
  <si>
    <t>cabify expomin seba vuelta 1</t>
  </si>
  <si>
    <t>cabify expomin kathy vuelta 1</t>
  </si>
  <si>
    <t xml:space="preserve">reunion kathe clientes Cafe diario </t>
  </si>
  <si>
    <t>cabify expominh marcelo ida dia 2</t>
  </si>
  <si>
    <t>cabify expomin kathy vuelta 23 abril</t>
  </si>
  <si>
    <t>cabify expomin seba vuelta 23 abril</t>
  </si>
  <si>
    <t xml:space="preserve">happy hour staff brasil y cesar pizza tiramisu </t>
  </si>
  <si>
    <t xml:space="preserve">happy hour staff brasil y cesar pizza Dadino </t>
  </si>
  <si>
    <t xml:space="preserve">cabify happy hour carol 24 abril </t>
  </si>
  <si>
    <t xml:space="preserve">cabify happy hour sebastian  24 abril </t>
  </si>
  <si>
    <t xml:space="preserve">cabify happy hour Kathy 24 abril </t>
  </si>
  <si>
    <t xml:space="preserve">uber pedido unimarc happy hour </t>
  </si>
  <si>
    <t xml:space="preserve">Cabify anto casa oficina para ir a expomin 24 abril </t>
  </si>
  <si>
    <t>cabify expomin marcelo ida 24</t>
  </si>
  <si>
    <t>cabify expomin Anto ida  24 abril</t>
  </si>
  <si>
    <t xml:space="preserve">cabify marcelo expomin ida 25 abril </t>
  </si>
  <si>
    <t xml:space="preserve">cabify Sebastian expomin ida 25 abril </t>
  </si>
  <si>
    <t xml:space="preserve">cabify Kathy expomin ida 25 abril </t>
  </si>
  <si>
    <t xml:space="preserve">cabify Anto expomin ida 25 abril </t>
  </si>
  <si>
    <t xml:space="preserve">Cabify Sebastian Vuelta expomin ultimo dia </t>
  </si>
  <si>
    <t xml:space="preserve">Cabify Marcelo Vuelta expomin ultimo dia </t>
  </si>
  <si>
    <t xml:space="preserve">snack oficina La Mundial </t>
  </si>
  <si>
    <t xml:space="preserve">insumos oficina lavavajilla </t>
  </si>
  <si>
    <t xml:space="preserve">bebestibles oficina coca cola </t>
  </si>
  <si>
    <t>52822609</t>
  </si>
  <si>
    <t>CC¨s credit card payment</t>
  </si>
  <si>
    <t xml:space="preserve">cabify retiro de cascos y articulos ppe </t>
  </si>
  <si>
    <t xml:space="preserve">cabify kathy reunion cliente Reunin Andes Iron ida </t>
  </si>
  <si>
    <t xml:space="preserve">cabify kathy reunion cliente Reunin Andes Iron  vuelta </t>
  </si>
  <si>
    <t>Tarjetas Digitales Chile SpA</t>
  </si>
  <si>
    <t xml:space="preserve">825 / tarjeta con codigo QR paea katherine Bollmann </t>
  </si>
  <si>
    <t>Falabella</t>
  </si>
  <si>
    <t xml:space="preserve">328336 / carro de arrastre para merchandising oficina </t>
  </si>
  <si>
    <t>cabify  marcelo Meeting in Brazil</t>
  </si>
  <si>
    <t xml:space="preserve">almuerzo con alexandre </t>
  </si>
  <si>
    <t>BECKER PADRUNO GRATTINI Y COMPANIA LTDA</t>
  </si>
  <si>
    <t>1057152 Snacls</t>
  </si>
  <si>
    <t xml:space="preserve">coffe Brack reunion Jorge y Denisse </t>
  </si>
  <si>
    <t xml:space="preserve">almuero carol ,anto y kathe </t>
  </si>
  <si>
    <t xml:space="preserve">cabify ida a dejar material puplicitario mineplanning </t>
  </si>
  <si>
    <t xml:space="preserve">cabify regreso Joel y stephanie material publicitario mineplanning </t>
  </si>
  <si>
    <t xml:space="preserve">cabify kathy regreso material publicitario mineplanning </t>
  </si>
  <si>
    <t>53134218</t>
  </si>
  <si>
    <t xml:space="preserve">cabify kathy ida participacion mineplanning dia 1 </t>
  </si>
  <si>
    <t>cabify Marcelo regreso mineplanning dia 1</t>
  </si>
  <si>
    <t>cabify Kathy regreso mineplanning dia 1</t>
  </si>
  <si>
    <t>Carol Contreras´ credit card payment</t>
  </si>
  <si>
    <t>cabify Joel y stephanie ida mineplanning dia 2</t>
  </si>
  <si>
    <t>cabify marcelo mineplanning ida dia 2</t>
  </si>
  <si>
    <t>cabify kathy regreso mineplanning dia 2</t>
  </si>
  <si>
    <t>cabify marcelo regreso mineplanning dia 2</t>
  </si>
  <si>
    <t>cabify kathy ida mineplanning dia 3</t>
  </si>
  <si>
    <t>cabify marcelo ida mineplanning dia 3</t>
  </si>
  <si>
    <t>cabify marcelo regreso mineplanning dia 3</t>
  </si>
  <si>
    <t>cabify kathy regreso mineplanning dia 3</t>
  </si>
  <si>
    <t xml:space="preserve">pedido gaceosas y agua coca cola </t>
  </si>
  <si>
    <t>maletas Chile Spa</t>
  </si>
  <si>
    <t xml:space="preserve">mochila para jhair herrera </t>
  </si>
  <si>
    <t xml:space="preserve">Almuerzo Jhair Herrera </t>
  </si>
  <si>
    <t xml:space="preserve">almuerzo Jhair </t>
  </si>
  <si>
    <t>Jose Vargas - ROICLAU SPA</t>
  </si>
  <si>
    <t xml:space="preserve">F1120 / snack frutos secos </t>
  </si>
  <si>
    <t xml:space="preserve">torta cumpleaos Jorge </t>
  </si>
  <si>
    <t>Almuerzo Jhair Herrera 19 junio</t>
  </si>
  <si>
    <t>servilletas e infusiones</t>
  </si>
  <si>
    <t xml:space="preserve">F5333425 / hervidor oficina </t>
  </si>
  <si>
    <t>almuerso staff admin</t>
  </si>
  <si>
    <t xml:space="preserve">coffee staff admin  </t>
  </si>
  <si>
    <t xml:space="preserve">F347854 &amp; F140866748 /  calefactores y dispensador de nova </t>
  </si>
  <si>
    <t xml:space="preserve">sopaipillas staff oficina </t>
  </si>
  <si>
    <t xml:space="preserve">almuerzo staff admin </t>
  </si>
  <si>
    <t xml:space="preserve">servivio de mantencion aplicaccion cabify </t>
  </si>
  <si>
    <t>Matpro Store Chile Spa</t>
  </si>
  <si>
    <t xml:space="preserve">6099 / dispensador de agua oficina </t>
  </si>
  <si>
    <t xml:space="preserve">Pizza dadino Hapy Hour cesar </t>
  </si>
  <si>
    <t xml:space="preserve">uber unimarc happy hour cesar </t>
  </si>
  <si>
    <t xml:space="preserve">pisco Sour happy hour cesar </t>
  </si>
  <si>
    <t xml:space="preserve">cabify ida almuezo equipo finanza Kathe  ida </t>
  </si>
  <si>
    <t xml:space="preserve">cabify vuelta  almuezo equipo finanza Kathe vuelta </t>
  </si>
  <si>
    <t xml:space="preserve">uber sopaipillas staff </t>
  </si>
  <si>
    <t xml:space="preserve">cabify Kathy Workshop BHP vuelta </t>
  </si>
  <si>
    <t xml:space="preserve">cabify anto Workshop BHP 3 julio ida </t>
  </si>
  <si>
    <t xml:space="preserve">cabify arol Workshop BHP vuelta </t>
  </si>
  <si>
    <t xml:space="preserve">cabify jorge Workshop BHP 3 julio ida </t>
  </si>
  <si>
    <t xml:space="preserve">cabify jorge Workshop BHP vuelta </t>
  </si>
  <si>
    <t xml:space="preserve">Almuerzo staff admin </t>
  </si>
  <si>
    <t>Payment: Inmobiliaria Nuevo Apoquindo (Ibis Santiago)</t>
  </si>
  <si>
    <t>64995</t>
  </si>
  <si>
    <t xml:space="preserve">cabify carolina otalvaro almuerzo </t>
  </si>
  <si>
    <t xml:space="preserve">consumo estadia jhair herrera hotel ibis </t>
  </si>
  <si>
    <t xml:space="preserve">cabify denisse regreso a casa enferma </t>
  </si>
  <si>
    <t xml:space="preserve">torta cumpleaos anto la danesa </t>
  </si>
  <si>
    <t xml:space="preserve">pedido caca cola oficina </t>
  </si>
  <si>
    <t>Ikso Spa</t>
  </si>
  <si>
    <t xml:space="preserve">706467 / vasos oficina ikea </t>
  </si>
  <si>
    <t>53323101</t>
  </si>
  <si>
    <t>CCs credit card payment</t>
  </si>
  <si>
    <t>articulos de seguridad EPP (lentes)</t>
  </si>
  <si>
    <t xml:space="preserve">torta francisco </t>
  </si>
  <si>
    <t>Ingenieria e Informatica Asociada Limitada</t>
  </si>
  <si>
    <t xml:space="preserve">458883 / adaptadores de wifi sala capacitacion </t>
  </si>
  <si>
    <t xml:space="preserve">cafe de grano oficina </t>
  </si>
  <si>
    <t xml:space="preserve">curso anto zaldivar </t>
  </si>
  <si>
    <t>capsulas lavavajilla</t>
  </si>
  <si>
    <t xml:space="preserve">Cabify anto ida baby shower </t>
  </si>
  <si>
    <t xml:space="preserve">Cabify anto Vuelta baby shower </t>
  </si>
  <si>
    <t xml:space="preserve">Cabify Denisse Vuelta Baby Shower </t>
  </si>
  <si>
    <t xml:space="preserve">Mantencion y uso de aplicacion cabify </t>
  </si>
  <si>
    <t xml:space="preserve">frutos secos oficina </t>
  </si>
  <si>
    <t xml:space="preserve">bebidas oficina coca cola </t>
  </si>
  <si>
    <t xml:space="preserve">torta cumpleaos Marcelo </t>
  </si>
  <si>
    <t>001067585</t>
  </si>
  <si>
    <t xml:space="preserve">uber pedido bebidas </t>
  </si>
  <si>
    <t>53532672</t>
  </si>
  <si>
    <t>Carol's cc payment</t>
  </si>
  <si>
    <t>Carol´s credit card payment</t>
  </si>
  <si>
    <t>2114-11</t>
  </si>
  <si>
    <t>CC Sebastián Carvallo</t>
  </si>
  <si>
    <t>Payment: INMOBILIARIA COLIPI SPA</t>
  </si>
  <si>
    <t>F/86375</t>
  </si>
  <si>
    <t>Cena 20-Enero</t>
  </si>
  <si>
    <t>Cena 21-Enero</t>
  </si>
  <si>
    <t>F/87375</t>
  </si>
  <si>
    <t>Cena 27-Enero</t>
  </si>
  <si>
    <t>Cena 28-Enero</t>
  </si>
  <si>
    <t>Cena 29-Enero</t>
  </si>
  <si>
    <t>Bank Transfer from Citibank - CLP to CC Sebastián Carvallo</t>
  </si>
  <si>
    <t>CC payment Sebas</t>
  </si>
  <si>
    <t>SC´s credit card payment</t>
  </si>
  <si>
    <t>Almuerzo K. Bollmann - A. Gonzalez - S. Carvallo</t>
  </si>
  <si>
    <t>Taxi aeropuerto a Hotel Chagall</t>
  </si>
  <si>
    <t>Payment: Hotelera Domus Ltda</t>
  </si>
  <si>
    <t xml:space="preserve">Pago restante </t>
  </si>
  <si>
    <t>Taxi Aeropuerto a Hotel</t>
  </si>
  <si>
    <t>Almuerzo da 1</t>
  </si>
  <si>
    <t>Cena da 3</t>
  </si>
  <si>
    <t>SCs credit card payment</t>
  </si>
  <si>
    <t>Cenas das 1 y 2</t>
  </si>
  <si>
    <t>Sebastian Carvallo´s credit card</t>
  </si>
  <si>
    <t>Desayuno da 7-Jul</t>
  </si>
  <si>
    <t>Almuerzo da 7-Jul</t>
  </si>
  <si>
    <t>Cenas das 7,8,9-Jul</t>
  </si>
  <si>
    <t>Desayuno 21-Jul</t>
  </si>
  <si>
    <t>Taxi desde aeropuerto a mina Candelaria</t>
  </si>
  <si>
    <t>Cenas 21,22,23-Jul</t>
  </si>
  <si>
    <t>Taxi desde mina Candelaria a aeropuerto</t>
  </si>
  <si>
    <t>Estacionamiento mutual de seguridad</t>
  </si>
  <si>
    <t>Sebastian´s cc payment</t>
  </si>
  <si>
    <t>Snack para turno noche</t>
  </si>
  <si>
    <t>Taxi aeropuerto a hotel</t>
  </si>
  <si>
    <t>Taxi hotel a aeropuerto</t>
  </si>
  <si>
    <t>Hotel y cena</t>
  </si>
  <si>
    <t>Almuerzo da 25 de agosto</t>
  </si>
  <si>
    <t>Snack en aeropuerto</t>
  </si>
  <si>
    <t>Cena en aeropuerto</t>
  </si>
  <si>
    <t>Sebastians credit card payment</t>
  </si>
  <si>
    <t>SC´s credita card payment</t>
  </si>
  <si>
    <t>Credit card payment SC</t>
  </si>
  <si>
    <t>Almuerzo (Anto, Caroline, Denisse, Pancho, Jorge y yo)</t>
  </si>
  <si>
    <t>2114-12</t>
  </si>
  <si>
    <t>CC Francisco Miranda</t>
  </si>
  <si>
    <t>Payment: Procedimientos Clinicos Alto Tabancura SA</t>
  </si>
  <si>
    <t>Medical</t>
  </si>
  <si>
    <t>F/6291929</t>
  </si>
  <si>
    <t>STARBUCKS COFFEE CHILE S.A.</t>
  </si>
  <si>
    <t>Saba Aeropuerto Chile SpA</t>
  </si>
  <si>
    <t>Gastronomia las piedras</t>
  </si>
  <si>
    <t>Bank Transfer from Citibank - CLP to  CC Francisco Miranda</t>
  </si>
  <si>
    <t>CC payment Francisco</t>
  </si>
  <si>
    <t>Ministerio de Relaciones Exteriores Ecuador</t>
  </si>
  <si>
    <t>Bank Transfer from Citibank - CLP to CC Francisco Miranda</t>
  </si>
  <si>
    <t>FM´s credit card payment</t>
  </si>
  <si>
    <t>Cena VIaje Inicial</t>
  </si>
  <si>
    <t>CENA</t>
  </si>
  <si>
    <t>ALMUERZO</t>
  </si>
  <si>
    <t>FM´s Credit Card Payment</t>
  </si>
  <si>
    <t>Almuerzo - Ida en Argentina Perito Moreno</t>
  </si>
  <si>
    <t>Banco BICE</t>
  </si>
  <si>
    <t>Almuerzo - Regreso en Balmaceda</t>
  </si>
  <si>
    <t>Francisco Miranda´s Credit Card</t>
  </si>
  <si>
    <t>FMs credit card payment</t>
  </si>
  <si>
    <t>56400</t>
  </si>
  <si>
    <t>COMERCIAL SERPAN SPA</t>
  </si>
  <si>
    <t>Arriendo de Auto para viajar Aeropuerto a Candelaria</t>
  </si>
  <si>
    <t>Almuerzos Equipo SAM, Jorge, Denisse, Cari, Anto y Francisco</t>
  </si>
  <si>
    <t>Francisco CC Payment</t>
  </si>
  <si>
    <t>2114-13</t>
  </si>
  <si>
    <t>CC Caitlin Wheat</t>
  </si>
  <si>
    <t>Bank Transfer from Citibank - CLP to CC Caitlin Wheat</t>
  </si>
  <si>
    <t>CC Payment Caitlin</t>
  </si>
  <si>
    <t>CVFY.APP</t>
  </si>
  <si>
    <t>International Womens day gift - wallet</t>
  </si>
  <si>
    <t>International Womens day gift - chocolate</t>
  </si>
  <si>
    <t>CW´s credit card payment</t>
  </si>
  <si>
    <t>Australia Visa for Antonieta Gonzalez to attend APAC Conference ($197.73AUD/127.67 USD)</t>
  </si>
  <si>
    <t>CW´s credit payment</t>
  </si>
  <si>
    <t>First aide course</t>
  </si>
  <si>
    <t>Australia Visa for Katherinne Alarcon ($197.73AUD/127.51USD)</t>
  </si>
  <si>
    <t>Team lunch - Denisse Castro graduation</t>
  </si>
  <si>
    <t>Caitlin wheat´s credit card payemtn</t>
  </si>
  <si>
    <t>Unimarc - Choripan - Farewell Carol &amp; Uni lunch</t>
  </si>
  <si>
    <t>Chilenazo - Dia de Mineros</t>
  </si>
  <si>
    <t>FACTORY NINE SPA</t>
  </si>
  <si>
    <t>9237</t>
  </si>
  <si>
    <t>6746703</t>
  </si>
  <si>
    <t>Oxxo - Comida para Happy Hour</t>
  </si>
  <si>
    <t>CHILE HOTELES LIMITADA</t>
  </si>
  <si>
    <t>56199</t>
  </si>
  <si>
    <t>Fallabella 5381937</t>
  </si>
  <si>
    <t>Coca Cola - bebidas y cervezas para la oficina - Extras por fiestas patrias</t>
  </si>
  <si>
    <t>F001068227 / Confiteria - snacks oficina</t>
  </si>
  <si>
    <t>Distribucion y Alimentos FF SPA</t>
  </si>
  <si>
    <t>F1334 / Melbourne Cafe - Cafe oficina</t>
  </si>
  <si>
    <t xml:space="preserve">Unimarc - office supplies </t>
  </si>
  <si>
    <t>53695238</t>
  </si>
  <si>
    <t>F2213265910 / Unimarc - fiestas patrias extras</t>
  </si>
  <si>
    <t>F2210643599 / Unimarc - Fiestas Patrias</t>
  </si>
  <si>
    <t>Caitlin´s credit card payemnt</t>
  </si>
  <si>
    <t>Coca cola - drinks for the office</t>
  </si>
  <si>
    <t>53704919</t>
  </si>
  <si>
    <t>1068935</t>
  </si>
  <si>
    <t>Unimarc - office supplies</t>
  </si>
  <si>
    <t>Payment: COMERCIALIZADORA DE INSUMOS</t>
  </si>
  <si>
    <t>16341</t>
  </si>
  <si>
    <t>5294</t>
  </si>
  <si>
    <t>Payment: Justo Spa</t>
  </si>
  <si>
    <t>484349</t>
  </si>
  <si>
    <t>Payment: SERVICIOS EQUIFAX CHILE LIMITADA</t>
  </si>
  <si>
    <t>3981626</t>
  </si>
  <si>
    <t>Payment: PCS</t>
  </si>
  <si>
    <t>52283377</t>
  </si>
  <si>
    <t>5363</t>
  </si>
  <si>
    <t>485677</t>
  </si>
  <si>
    <t>5371</t>
  </si>
  <si>
    <t>Halloween - candies</t>
  </si>
  <si>
    <t>Mall Chino - Halloween decorations</t>
  </si>
  <si>
    <t>Office lunch</t>
  </si>
  <si>
    <t>Dulceria Praline - Cake for Cristians birthday</t>
  </si>
  <si>
    <t>Confiteria Mundial - snacks for the office</t>
  </si>
  <si>
    <t>5444</t>
  </si>
  <si>
    <t>488235</t>
  </si>
  <si>
    <t>F1387 / Melbourne Cafe - Coffee for the office</t>
  </si>
  <si>
    <t>F5504 / Catering - Glencore in the office 11/11</t>
  </si>
  <si>
    <t>F5533 / Catering - Glencore in the office 10/11</t>
  </si>
  <si>
    <t>5490</t>
  </si>
  <si>
    <t>489494</t>
  </si>
  <si>
    <t>Credit card payment CW</t>
  </si>
  <si>
    <t>Dulceria Praline - Cake for Lucass birthday</t>
  </si>
  <si>
    <t>53864691</t>
  </si>
  <si>
    <t>F5519 / Catering - BHP &amp; Glencore in the office 20/11</t>
  </si>
  <si>
    <t>Worldquery Spa</t>
  </si>
  <si>
    <t>F65434 / Booz - Pisco - Festa fin do ano</t>
  </si>
  <si>
    <t>Drinks and beers order</t>
  </si>
  <si>
    <t>Icecream for team in Belo Hortizonte (BRL135)</t>
  </si>
  <si>
    <t>Uber to End of Year Party - Belo Horizonte (BRL53.97)</t>
  </si>
  <si>
    <t>Uber from End of Year Party - Belo Horizonte (BRL65.99)</t>
  </si>
  <si>
    <t>Amigo secreto gift for Carolina Toro</t>
  </si>
  <si>
    <t>53974091</t>
  </si>
  <si>
    <t>Flowers for Sebastian Carvallo - funeral grandmother</t>
  </si>
  <si>
    <t>CWs credit card payment</t>
  </si>
  <si>
    <t>Holiday Inn - Accommodation Cesar Machado 15 December</t>
  </si>
  <si>
    <t>52643103 / Mobile phone for Carolina Toro</t>
  </si>
  <si>
    <t>Bolsas de regalo para los regalos de los concerjes y Minerva</t>
  </si>
  <si>
    <t>Regalos para los concerjes y Minerva</t>
  </si>
  <si>
    <t>New water dispenser for the Chilean office</t>
  </si>
  <si>
    <t>2114-14</t>
  </si>
  <si>
    <t>CC Cesar Machado</t>
  </si>
  <si>
    <t>banco</t>
  </si>
  <si>
    <t>Bank Transfer from Citibank - CLP to CC Cesar Machado</t>
  </si>
  <si>
    <t>CM´s credit card payment</t>
  </si>
  <si>
    <t>Hotel Expenses</t>
  </si>
  <si>
    <t>Taxi in Belo</t>
  </si>
  <si>
    <t>Taxi in Lima</t>
  </si>
  <si>
    <t>Taxi in Medellin</t>
  </si>
  <si>
    <t>Dinner with the team</t>
  </si>
  <si>
    <t>Snack in the airport</t>
  </si>
  <si>
    <t>Hotel expenses</t>
  </si>
  <si>
    <t>Lunch with the team</t>
  </si>
  <si>
    <t>Dinner with the Team in Lima</t>
  </si>
  <si>
    <t>Happy Hour with the Team at the Hotel</t>
  </si>
  <si>
    <t>Cesars credit card paymenbt</t>
  </si>
  <si>
    <t>Credit Card payment CM</t>
  </si>
  <si>
    <t>Hotel in Medellin</t>
  </si>
  <si>
    <t>Drinks with the team</t>
  </si>
  <si>
    <t>Dinner with the team - Angatu Restaurant</t>
  </si>
  <si>
    <t>Coffee on the road</t>
  </si>
  <si>
    <t>Dinner with the team - Pacco Bacco Restaurant</t>
  </si>
  <si>
    <t>Dinner with the team - Tragaluz</t>
  </si>
  <si>
    <t>Happy Hour with the team</t>
  </si>
  <si>
    <t>CMs credit card payment</t>
  </si>
  <si>
    <t>Rev 120,677.01</t>
  </si>
  <si>
    <t>Rev 366,194.32</t>
  </si>
  <si>
    <t>Rev 578,390.25</t>
  </si>
  <si>
    <t>Rev 280,424.99</t>
  </si>
  <si>
    <t>2114-15</t>
  </si>
  <si>
    <t>CC Jorge Moris</t>
  </si>
  <si>
    <t>Cafe equipo Deswik - Mine Planning</t>
  </si>
  <si>
    <t>Estacionamiento Mine Planning</t>
  </si>
  <si>
    <t>Bank Transfer from Citibank - CLP to CC Jorge Moris</t>
  </si>
  <si>
    <t>JM´s credit card payment</t>
  </si>
  <si>
    <t>Jorge´s credit card payment</t>
  </si>
  <si>
    <t>2114-54</t>
  </si>
  <si>
    <t>CC Marcelo Penna</t>
  </si>
  <si>
    <t>F/6253036</t>
  </si>
  <si>
    <t>F/6253360</t>
  </si>
  <si>
    <t>F/6253368</t>
  </si>
  <si>
    <t>Lunch with Andrew</t>
  </si>
  <si>
    <t>Uber: Office - Dinner with Andrew</t>
  </si>
  <si>
    <t>Uber: Dinner with Andrew - ICON</t>
  </si>
  <si>
    <t>Bank Transfer from Citibank - CLP to CC Marcelo Penna</t>
  </si>
  <si>
    <t>Payable Credit Note Refund</t>
  </si>
  <si>
    <t>1228146</t>
  </si>
  <si>
    <t>Visa Ecuador - Francisco Miranda (MDM Discovery with Lundin Gold)</t>
  </si>
  <si>
    <t>Moloco</t>
  </si>
  <si>
    <t>Uber - Office - Siro's Farewell</t>
  </si>
  <si>
    <t>Siro's Farewell 1</t>
  </si>
  <si>
    <t>Siro's Farewell 2</t>
  </si>
  <si>
    <t>Uber Home-SCL</t>
  </si>
  <si>
    <t>Water - Airport</t>
  </si>
  <si>
    <t>NZeTA Visa</t>
  </si>
  <si>
    <t>maloco</t>
  </si>
  <si>
    <t>Water Airport AKL (Vending Machine)</t>
  </si>
  <si>
    <t>Lunch</t>
  </si>
  <si>
    <t>Inchcolm Hotel</t>
  </si>
  <si>
    <t xml:space="preserve">Dinner </t>
  </si>
  <si>
    <t>Taxi BNE-Hotel</t>
  </si>
  <si>
    <t>MP CC payment</t>
  </si>
  <si>
    <t>Breakfast</t>
  </si>
  <si>
    <t>Dinner</t>
  </si>
  <si>
    <t>Lunch (Marcelo + Alvaro)</t>
  </si>
  <si>
    <t>Water Airport BNE (Vending Machine)</t>
  </si>
  <si>
    <t>Uber Hotel-BNE</t>
  </si>
  <si>
    <t>Taxi - SCL-Home</t>
  </si>
  <si>
    <t>Seat Selection</t>
  </si>
  <si>
    <t>Marcelo CC Payment</t>
  </si>
  <si>
    <t>Happy Hour Deswik 13/03</t>
  </si>
  <si>
    <t>Lunch - Csar, Marcelo, Alexandre</t>
  </si>
  <si>
    <t>Water (Vending Machine)</t>
  </si>
  <si>
    <t>Taxi BNE-Inchcolm</t>
  </si>
  <si>
    <t>Lunch 17/03</t>
  </si>
  <si>
    <t>Dinner 17/03 (Marcelo and Bruno T.)</t>
  </si>
  <si>
    <t>Breakfast 19/03</t>
  </si>
  <si>
    <t>Breakfast 20/03 (Marcelo and Bruno T.)</t>
  </si>
  <si>
    <t>Drinks 20/03 (Marcelo and Bruno T.)</t>
  </si>
  <si>
    <t>Drinks 21/03</t>
  </si>
  <si>
    <t>Taxi SCL-Home</t>
  </si>
  <si>
    <t>Uber Inchcolm-BNE</t>
  </si>
  <si>
    <t>Snack BNE Airport</t>
  </si>
  <si>
    <t>Lunch MEL Airport</t>
  </si>
  <si>
    <t>Snack for flight</t>
  </si>
  <si>
    <t>Lunch with Kinross Team (Alessando and Jonathan)</t>
  </si>
  <si>
    <t>Uber Home-CODELCO Office</t>
  </si>
  <si>
    <t>Lunch with Leonardo Nuez in Santiago</t>
  </si>
  <si>
    <t>MP´s credit card payment</t>
  </si>
  <si>
    <t>Dinner Post Expomin</t>
  </si>
  <si>
    <t>Uber - Home - SCL</t>
  </si>
  <si>
    <t>Water - SCL Airport</t>
  </si>
  <si>
    <t>Snack CPO Airport</t>
  </si>
  <si>
    <t>Taxi - SCL - Home</t>
  </si>
  <si>
    <t>MPs credit card payment</t>
  </si>
  <si>
    <t>Taxi - CNF - Home</t>
  </si>
  <si>
    <t>Water in Airport</t>
  </si>
  <si>
    <t>Ubsr - Home - Radisson</t>
  </si>
  <si>
    <t>Snacks for the team on the road</t>
  </si>
  <si>
    <t>Dinner at Linx Hotel</t>
  </si>
  <si>
    <t>Marcelo Penna´s credit card</t>
  </si>
  <si>
    <t>Geomin Mineplanning (Cabify didn't accept the ride)</t>
  </si>
  <si>
    <t>Breakfast Medellin Airport (Marcelo, Cesar and Gabriel)</t>
  </si>
  <si>
    <t>Lunch Lima Airport</t>
  </si>
  <si>
    <t>Uber - Glencore Office - Home</t>
  </si>
  <si>
    <t>Taxi - Hotel - GIG to go to Colombia</t>
  </si>
  <si>
    <t>Uber Dinner - Medellin</t>
  </si>
  <si>
    <t>Credit  Card payment MP</t>
  </si>
  <si>
    <t>Marceloss CC Payemnt</t>
  </si>
  <si>
    <t>DIFERENCIA BALANCE VERSUS MAYOR XERO</t>
  </si>
  <si>
    <t>OK AMBOS MISMO SALDO</t>
  </si>
  <si>
    <t>diferencia balance xero y magnus</t>
  </si>
  <si>
    <t>OK Salso 0 en balance y mayor x</t>
  </si>
  <si>
    <t>mov registrado en magnus</t>
  </si>
  <si>
    <t>dif balance xero y mayor xero</t>
  </si>
  <si>
    <t>saldos mayor xero</t>
  </si>
  <si>
    <t>saldo balance xero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</si>
</sst>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0.0000"/>
    <numFmt numFmtId="165" formatCode="dd\ mmm\ yyyy"/>
    <numFmt numFmtId="166" formatCode="#,##0.00;\(#,##0.00\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rial"/>
      <family val="2"/>
    </font>
    <font>
      <b/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EBEBEB"/>
      </top>
      <bottom/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41" fontId="0" fillId="0" borderId="0" xfId="1" applyFont="1"/>
    <xf numFmtId="41" fontId="0" fillId="0" borderId="0" xfId="0" applyNumberFormat="1"/>
    <xf numFmtId="3" fontId="0" fillId="33" borderId="0" xfId="0" applyNumberFormat="1" applyFill="1"/>
    <xf numFmtId="0" fontId="0" fillId="33" borderId="0" xfId="0" applyFill="1"/>
    <xf numFmtId="4" fontId="0" fillId="33" borderId="0" xfId="0" applyNumberFormat="1" applyFill="1"/>
    <xf numFmtId="0" fontId="18" fillId="34" borderId="10" xfId="0" applyFont="1" applyFill="1" applyBorder="1" applyAlignment="1">
      <alignment vertical="center"/>
    </xf>
    <xf numFmtId="41" fontId="18" fillId="34" borderId="10" xfId="1" applyFont="1" applyFill="1" applyBorder="1" applyAlignment="1">
      <alignment horizontal="right" vertical="center"/>
    </xf>
    <xf numFmtId="0" fontId="16" fillId="0" borderId="0" xfId="0" applyFont="1"/>
    <xf numFmtId="3" fontId="0" fillId="35" borderId="0" xfId="0" applyNumberFormat="1" applyFill="1"/>
    <xf numFmtId="3" fontId="0" fillId="36" borderId="0" xfId="0" applyNumberFormat="1" applyFill="1"/>
    <xf numFmtId="0" fontId="19" fillId="0" borderId="0" xfId="0" applyFont="1"/>
    <xf numFmtId="3" fontId="19" fillId="33" borderId="0" xfId="0" applyNumberFormat="1" applyFont="1" applyFill="1"/>
    <xf numFmtId="0" fontId="0" fillId="0" borderId="10" xfId="0" applyBorder="1" applyAlignment="1">
      <alignment vertical="center"/>
    </xf>
    <xf numFmtId="164" fontId="0" fillId="0" borderId="0" xfId="0" applyNumberFormat="1"/>
    <xf numFmtId="3" fontId="20" fillId="0" borderId="0" xfId="0" applyNumberFormat="1" applyFont="1"/>
    <xf numFmtId="3" fontId="21" fillId="37" borderId="0" xfId="0" applyNumberFormat="1" applyFont="1" applyFill="1"/>
    <xf numFmtId="3" fontId="20" fillId="33" borderId="0" xfId="0" applyNumberFormat="1" applyFont="1" applyFill="1"/>
    <xf numFmtId="4" fontId="19" fillId="33" borderId="0" xfId="0" applyNumberFormat="1" applyFont="1" applyFill="1"/>
    <xf numFmtId="3" fontId="22" fillId="35" borderId="0" xfId="0" applyNumberFormat="1" applyFont="1" applyFill="1"/>
    <xf numFmtId="0" fontId="0" fillId="38" borderId="0" xfId="0" applyFill="1"/>
    <xf numFmtId="0" fontId="23" fillId="0" borderId="11" xfId="0" applyFont="1" applyBorder="1" applyAlignment="1">
      <alignment horizontal="left" vertical="center"/>
    </xf>
    <xf numFmtId="165" fontId="0" fillId="0" borderId="10" xfId="0" applyNumberFormat="1" applyBorder="1" applyAlignment="1">
      <alignment horizontal="left" vertical="center"/>
    </xf>
    <xf numFmtId="166" fontId="0" fillId="0" borderId="10" xfId="0" applyNumberFormat="1" applyBorder="1" applyAlignment="1">
      <alignment horizontal="right" vertical="center"/>
    </xf>
    <xf numFmtId="41" fontId="23" fillId="0" borderId="11" xfId="1" applyFont="1" applyBorder="1" applyAlignment="1">
      <alignment horizontal="right" vertical="center"/>
    </xf>
    <xf numFmtId="41" fontId="0" fillId="0" borderId="10" xfId="1" applyFont="1" applyBorder="1" applyAlignment="1">
      <alignment horizontal="right" vertical="center"/>
    </xf>
    <xf numFmtId="0" fontId="24" fillId="0" borderId="11" xfId="0" applyFont="1" applyBorder="1" applyAlignment="1">
      <alignment horizontal="left" vertical="center"/>
    </xf>
    <xf numFmtId="41" fontId="24" fillId="0" borderId="11" xfId="1" applyFont="1" applyBorder="1" applyAlignment="1">
      <alignment horizontal="right" vertical="center"/>
    </xf>
    <xf numFmtId="41" fontId="14" fillId="0" borderId="0" xfId="1" applyFont="1"/>
    <xf numFmtId="0" fontId="14" fillId="0" borderId="0" xfId="0" applyFont="1"/>
    <xf numFmtId="3" fontId="14" fillId="0" borderId="0" xfId="0" applyNumberFormat="1" applyFont="1"/>
    <xf numFmtId="41" fontId="14" fillId="0" borderId="0" xfId="0" applyNumberFormat="1" applyFont="1"/>
    <xf numFmtId="41" fontId="25" fillId="0" borderId="10" xfId="1" applyFont="1" applyBorder="1" applyAlignment="1">
      <alignment horizontal="right" vertical="center"/>
    </xf>
    <xf numFmtId="0" fontId="20" fillId="0" borderId="0" xfId="0" applyFont="1"/>
    <xf numFmtId="41" fontId="20" fillId="0" borderId="0" xfId="0" applyNumberFormat="1" applyFont="1"/>
    <xf numFmtId="41" fontId="16" fillId="0" borderId="0" xfId="1" applyFont="1"/>
    <xf numFmtId="166" fontId="20" fillId="0" borderId="0" xfId="0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1" builtinId="6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402</xdr:row>
      <xdr:rowOff>75063</xdr:rowOff>
    </xdr:from>
    <xdr:to>
      <xdr:col>9</xdr:col>
      <xdr:colOff>668710</xdr:colOff>
      <xdr:row>403</xdr:row>
      <xdr:rowOff>143301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7F607F-ED20-69D4-B20C-B95C83C4C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398263"/>
          <a:ext cx="7642716" cy="245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539087</xdr:colOff>
      <xdr:row>406</xdr:row>
      <xdr:rowOff>20471</xdr:rowOff>
    </xdr:from>
    <xdr:to>
      <xdr:col>8</xdr:col>
      <xdr:colOff>716507</xdr:colOff>
      <xdr:row>407</xdr:row>
      <xdr:rowOff>27295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F66E3C0-7BF4-C87F-9666-E301C3D4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9009" y="72053355"/>
          <a:ext cx="941695" cy="184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270</xdr:row>
      <xdr:rowOff>136478</xdr:rowOff>
    </xdr:from>
    <xdr:to>
      <xdr:col>10</xdr:col>
      <xdr:colOff>301941</xdr:colOff>
      <xdr:row>273</xdr:row>
      <xdr:rowOff>118638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D2DB33-6088-D170-B759-E882F247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40120"/>
          <a:ext cx="8040222" cy="51442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275</xdr:row>
      <xdr:rowOff>0</xdr:rowOff>
    </xdr:from>
    <xdr:to>
      <xdr:col>8</xdr:col>
      <xdr:colOff>771099</xdr:colOff>
      <xdr:row>276</xdr:row>
      <xdr:rowOff>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66CF43-411C-5402-DF55-EB43E0B7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4197" y="48790746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95534</xdr:colOff>
      <xdr:row>74</xdr:row>
      <xdr:rowOff>27295</xdr:rowOff>
    </xdr:from>
    <xdr:to>
      <xdr:col>10</xdr:col>
      <xdr:colOff>531115</xdr:colOff>
      <xdr:row>75</xdr:row>
      <xdr:rowOff>107085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96DCB7-BFA6-C5F2-C228-90F76ABE6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34" y="13156441"/>
          <a:ext cx="8078327" cy="25721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8</xdr:col>
      <xdr:colOff>6824</xdr:colOff>
      <xdr:row>79</xdr:row>
      <xdr:rowOff>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AD9789-B0AA-2443-75AA-2BFFCE1B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922" y="13838830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47766</xdr:colOff>
      <xdr:row>48</xdr:row>
      <xdr:rowOff>6824</xdr:rowOff>
    </xdr:from>
    <xdr:to>
      <xdr:col>8</xdr:col>
      <xdr:colOff>429904</xdr:colOff>
      <xdr:row>49</xdr:row>
      <xdr:rowOff>13648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D2734-02DB-654A-84B0-81838FCE1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041" y="8523027"/>
          <a:ext cx="5732060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450376</xdr:colOff>
      <xdr:row>52</xdr:row>
      <xdr:rowOff>40943</xdr:rowOff>
    </xdr:from>
    <xdr:to>
      <xdr:col>8</xdr:col>
      <xdr:colOff>457200</xdr:colOff>
      <xdr:row>53</xdr:row>
      <xdr:rowOff>47768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53D4C3-6AD4-9778-0B8D-1DF4206B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298" y="9266830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667224</xdr:colOff>
      <xdr:row>37</xdr:row>
      <xdr:rowOff>15164</xdr:rowOff>
    </xdr:from>
    <xdr:to>
      <xdr:col>22</xdr:col>
      <xdr:colOff>225925</xdr:colOff>
      <xdr:row>47</xdr:row>
      <xdr:rowOff>15432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1F9315-E991-7CB1-8E33-71E06C921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4657" y="363941"/>
          <a:ext cx="8748194" cy="17441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136478</xdr:colOff>
      <xdr:row>108</xdr:row>
      <xdr:rowOff>102358</xdr:rowOff>
    </xdr:from>
    <xdr:to>
      <xdr:col>8</xdr:col>
      <xdr:colOff>518616</xdr:colOff>
      <xdr:row>109</xdr:row>
      <xdr:rowOff>109181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69900E-6464-2B0F-9138-25394D467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753" y="19263815"/>
          <a:ext cx="5732060" cy="184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484496</xdr:colOff>
      <xdr:row>112</xdr:row>
      <xdr:rowOff>34119</xdr:rowOff>
    </xdr:from>
    <xdr:to>
      <xdr:col>8</xdr:col>
      <xdr:colOff>491320</xdr:colOff>
      <xdr:row>113</xdr:row>
      <xdr:rowOff>40943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C5F4C-8C57-A9A1-A253-7955A9839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418" y="19905259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375313</xdr:colOff>
      <xdr:row>12</xdr:row>
      <xdr:rowOff>61414</xdr:rowOff>
    </xdr:from>
    <xdr:to>
      <xdr:col>22</xdr:col>
      <xdr:colOff>705060</xdr:colOff>
      <xdr:row>46</xdr:row>
      <xdr:rowOff>9871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765865-DD12-7786-60CE-4A24F65F4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2674" y="2190465"/>
          <a:ext cx="8736768" cy="23163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238836</xdr:colOff>
      <xdr:row>107</xdr:row>
      <xdr:rowOff>163774</xdr:rowOff>
    </xdr:from>
    <xdr:to>
      <xdr:col>8</xdr:col>
      <xdr:colOff>620974</xdr:colOff>
      <xdr:row>108</xdr:row>
      <xdr:rowOff>170598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46165B-60E8-D6E3-9004-1B2EA836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111" y="19147810"/>
          <a:ext cx="5732060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388962</xdr:colOff>
      <xdr:row>112</xdr:row>
      <xdr:rowOff>6824</xdr:rowOff>
    </xdr:from>
    <xdr:to>
      <xdr:col>8</xdr:col>
      <xdr:colOff>395785</xdr:colOff>
      <xdr:row>113</xdr:row>
      <xdr:rowOff>13648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B55155-6EBB-2BF2-E01E-03BA30A7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8884" y="19877964"/>
          <a:ext cx="771098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6823</xdr:colOff>
      <xdr:row>16</xdr:row>
      <xdr:rowOff>170597</xdr:rowOff>
    </xdr:from>
    <xdr:to>
      <xdr:col>10</xdr:col>
      <xdr:colOff>613878</xdr:colOff>
      <xdr:row>19</xdr:row>
      <xdr:rowOff>162282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CCAB97-EEAB-A876-801B-4C806A6A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3" y="3009331"/>
          <a:ext cx="8249801" cy="5239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6824</xdr:colOff>
      <xdr:row>26</xdr:row>
      <xdr:rowOff>6824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14D007-E66C-C7CB-A453-54058D04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922" y="4435522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375313</xdr:colOff>
      <xdr:row>235</xdr:row>
      <xdr:rowOff>163773</xdr:rowOff>
    </xdr:from>
    <xdr:to>
      <xdr:col>8</xdr:col>
      <xdr:colOff>757450</xdr:colOff>
      <xdr:row>236</xdr:row>
      <xdr:rowOff>170597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25F4BA-7BF0-ABF0-3243-AAB21EE88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588" y="41857683"/>
          <a:ext cx="573205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129654</xdr:colOff>
      <xdr:row>244</xdr:row>
      <xdr:rowOff>6825</xdr:rowOff>
    </xdr:from>
    <xdr:to>
      <xdr:col>8</xdr:col>
      <xdr:colOff>136478</xdr:colOff>
      <xdr:row>245</xdr:row>
      <xdr:rowOff>13650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D0CC593-410A-705D-4A41-CD07E312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9576" y="43297524"/>
          <a:ext cx="771099" cy="184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3077-7C8B-44C8-8DA0-D516A3ABAAD3}">
  <dimension ref="A1:I88"/>
  <sheetViews>
    <sheetView topLeftCell="A67" zoomScale="80" zoomScaleNormal="80" workbookViewId="0">
      <selection activeCell="J11" sqref="J11"/>
    </sheetView>
  </sheetViews>
  <sheetFormatPr baseColWidth="10" defaultRowHeight="14" x14ac:dyDescent="0.3"/>
  <cols>
    <col min="4" max="4" width="38.8984375" customWidth="1"/>
    <col min="5" max="5" width="37.69921875" bestFit="1" customWidth="1"/>
  </cols>
  <sheetData>
    <row r="1" spans="1:9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45772</v>
      </c>
      <c r="C2" s="2">
        <v>2553</v>
      </c>
      <c r="D2" t="s">
        <v>11</v>
      </c>
      <c r="E2" t="s">
        <v>10</v>
      </c>
      <c r="H2" s="2">
        <v>3070443</v>
      </c>
      <c r="I2" s="2">
        <v>-3070443</v>
      </c>
    </row>
    <row r="3" spans="1:9" x14ac:dyDescent="0.3">
      <c r="A3" t="s">
        <v>12</v>
      </c>
      <c r="B3" s="1">
        <v>45772</v>
      </c>
      <c r="C3" s="2">
        <v>2554</v>
      </c>
      <c r="D3" t="s">
        <v>14</v>
      </c>
      <c r="E3" t="s">
        <v>13</v>
      </c>
      <c r="H3" s="2">
        <v>494703</v>
      </c>
      <c r="I3" s="2">
        <v>-3565146</v>
      </c>
    </row>
    <row r="4" spans="1:9" x14ac:dyDescent="0.3">
      <c r="A4" t="s">
        <v>15</v>
      </c>
      <c r="B4" s="1">
        <v>45772</v>
      </c>
      <c r="C4" s="2">
        <v>2555</v>
      </c>
      <c r="D4" t="s">
        <v>17</v>
      </c>
      <c r="E4" t="s">
        <v>16</v>
      </c>
      <c r="H4" s="2">
        <v>122074</v>
      </c>
      <c r="I4" s="2">
        <v>-3687220</v>
      </c>
    </row>
    <row r="5" spans="1:9" x14ac:dyDescent="0.3">
      <c r="A5" t="s">
        <v>18</v>
      </c>
      <c r="B5" s="1">
        <v>45772</v>
      </c>
      <c r="C5" s="2">
        <v>2556</v>
      </c>
      <c r="D5" t="s">
        <v>20</v>
      </c>
      <c r="E5" t="s">
        <v>19</v>
      </c>
      <c r="H5" s="2">
        <v>100022</v>
      </c>
      <c r="I5" s="2">
        <v>-3787242</v>
      </c>
    </row>
    <row r="6" spans="1:9" x14ac:dyDescent="0.3">
      <c r="A6" t="s">
        <v>21</v>
      </c>
      <c r="B6" s="1">
        <v>45772</v>
      </c>
      <c r="C6" s="2">
        <v>2561</v>
      </c>
      <c r="D6" t="s">
        <v>23</v>
      </c>
      <c r="E6" t="s">
        <v>22</v>
      </c>
      <c r="H6" s="2">
        <v>806870</v>
      </c>
      <c r="I6" s="2">
        <v>-4594112</v>
      </c>
    </row>
    <row r="7" spans="1:9" x14ac:dyDescent="0.3">
      <c r="A7" t="s">
        <v>24</v>
      </c>
      <c r="B7" s="1">
        <v>45772</v>
      </c>
      <c r="C7" s="2">
        <v>2939</v>
      </c>
      <c r="D7" t="s">
        <v>26</v>
      </c>
      <c r="E7" t="s">
        <v>25</v>
      </c>
      <c r="H7" s="2">
        <v>5014</v>
      </c>
      <c r="I7" s="2">
        <v>-4599126</v>
      </c>
    </row>
    <row r="8" spans="1:9" x14ac:dyDescent="0.3">
      <c r="A8" t="s">
        <v>27</v>
      </c>
      <c r="B8" s="1">
        <v>45792</v>
      </c>
      <c r="C8" s="2">
        <v>2742</v>
      </c>
      <c r="D8" t="s">
        <v>28</v>
      </c>
      <c r="E8" t="s">
        <v>19</v>
      </c>
      <c r="G8" s="2">
        <v>100022</v>
      </c>
      <c r="I8" s="2">
        <v>-4499104</v>
      </c>
    </row>
    <row r="9" spans="1:9" x14ac:dyDescent="0.3">
      <c r="A9" t="s">
        <v>29</v>
      </c>
      <c r="B9" s="1">
        <v>45792</v>
      </c>
      <c r="C9" s="2">
        <v>2743</v>
      </c>
      <c r="D9" t="s">
        <v>30</v>
      </c>
      <c r="E9" t="s">
        <v>10</v>
      </c>
      <c r="G9" s="2">
        <v>3070443</v>
      </c>
      <c r="I9" s="2">
        <v>-1428661</v>
      </c>
    </row>
    <row r="10" spans="1:9" x14ac:dyDescent="0.3">
      <c r="A10" t="s">
        <v>31</v>
      </c>
      <c r="B10" s="1">
        <v>45792</v>
      </c>
      <c r="C10" s="2">
        <v>2744</v>
      </c>
      <c r="D10" t="s">
        <v>32</v>
      </c>
      <c r="E10" t="s">
        <v>22</v>
      </c>
      <c r="G10" s="2">
        <v>806870</v>
      </c>
      <c r="I10" s="2">
        <v>-621791</v>
      </c>
    </row>
    <row r="11" spans="1:9" x14ac:dyDescent="0.3">
      <c r="A11" t="s">
        <v>33</v>
      </c>
      <c r="B11" s="1">
        <v>45792</v>
      </c>
      <c r="C11" s="2">
        <v>2745</v>
      </c>
      <c r="D11" t="s">
        <v>34</v>
      </c>
      <c r="E11" t="s">
        <v>25</v>
      </c>
      <c r="G11" s="2">
        <v>5014</v>
      </c>
      <c r="I11" s="2">
        <v>-616777</v>
      </c>
    </row>
    <row r="12" spans="1:9" x14ac:dyDescent="0.3">
      <c r="A12" t="s">
        <v>35</v>
      </c>
      <c r="B12" s="1">
        <v>45792</v>
      </c>
      <c r="C12" s="2">
        <v>2746</v>
      </c>
      <c r="D12" t="s">
        <v>36</v>
      </c>
      <c r="E12" t="s">
        <v>16</v>
      </c>
      <c r="G12" s="2">
        <v>72314</v>
      </c>
      <c r="I12" s="2">
        <v>-544463</v>
      </c>
    </row>
    <row r="13" spans="1:9" x14ac:dyDescent="0.3">
      <c r="A13" t="s">
        <v>37</v>
      </c>
      <c r="B13" s="1">
        <v>45792</v>
      </c>
      <c r="C13" s="2">
        <v>2749</v>
      </c>
      <c r="D13" t="s">
        <v>38</v>
      </c>
      <c r="E13" t="s">
        <v>13</v>
      </c>
      <c r="G13" s="2">
        <v>1901018</v>
      </c>
      <c r="I13" s="2">
        <v>1356555</v>
      </c>
    </row>
    <row r="14" spans="1:9" x14ac:dyDescent="0.3">
      <c r="A14" t="s">
        <v>39</v>
      </c>
      <c r="B14" s="1">
        <v>45805</v>
      </c>
      <c r="C14" s="2">
        <v>2906</v>
      </c>
      <c r="D14" t="s">
        <v>20</v>
      </c>
      <c r="E14" t="s">
        <v>19</v>
      </c>
      <c r="H14" s="2">
        <v>211905</v>
      </c>
      <c r="I14" s="2">
        <v>1144650</v>
      </c>
    </row>
    <row r="15" spans="1:9" x14ac:dyDescent="0.3">
      <c r="A15" t="s">
        <v>40</v>
      </c>
      <c r="B15" s="1">
        <v>45805</v>
      </c>
      <c r="C15" s="2">
        <v>2907</v>
      </c>
      <c r="D15" t="s">
        <v>11</v>
      </c>
      <c r="E15" t="s">
        <v>10</v>
      </c>
      <c r="H15" s="2">
        <v>1231423</v>
      </c>
      <c r="I15" s="2">
        <v>-86773</v>
      </c>
    </row>
    <row r="16" spans="1:9" x14ac:dyDescent="0.3">
      <c r="A16" t="s">
        <v>41</v>
      </c>
      <c r="B16" s="1">
        <v>45805</v>
      </c>
      <c r="C16" s="2">
        <v>2908</v>
      </c>
      <c r="D16" t="s">
        <v>42</v>
      </c>
      <c r="E16" t="s">
        <v>25</v>
      </c>
      <c r="H16" s="2">
        <v>71087</v>
      </c>
      <c r="I16" s="2">
        <v>-157860</v>
      </c>
    </row>
    <row r="17" spans="1:9" x14ac:dyDescent="0.3">
      <c r="A17" t="s">
        <v>43</v>
      </c>
      <c r="B17" s="1">
        <v>45805</v>
      </c>
      <c r="C17" s="2">
        <v>2909</v>
      </c>
      <c r="D17" t="s">
        <v>44</v>
      </c>
      <c r="E17" t="s">
        <v>22</v>
      </c>
      <c r="H17" s="2">
        <v>100449</v>
      </c>
      <c r="I17" s="2">
        <v>-258309</v>
      </c>
    </row>
    <row r="18" spans="1:9" x14ac:dyDescent="0.3">
      <c r="A18" t="s">
        <v>45</v>
      </c>
      <c r="B18" s="1">
        <v>45805</v>
      </c>
      <c r="C18" s="2">
        <v>2910</v>
      </c>
      <c r="D18" t="s">
        <v>46</v>
      </c>
      <c r="E18" t="s">
        <v>13</v>
      </c>
      <c r="H18" s="2">
        <v>79021</v>
      </c>
      <c r="I18" s="2">
        <v>-337330</v>
      </c>
    </row>
    <row r="19" spans="1:9" x14ac:dyDescent="0.3">
      <c r="A19" t="s">
        <v>47</v>
      </c>
      <c r="B19" s="1">
        <v>45805</v>
      </c>
      <c r="C19" s="2">
        <v>2911</v>
      </c>
      <c r="D19" t="s">
        <v>48</v>
      </c>
      <c r="E19" t="s">
        <v>16</v>
      </c>
      <c r="H19" s="2">
        <v>161109</v>
      </c>
      <c r="I19" s="2">
        <v>-498439</v>
      </c>
    </row>
    <row r="20" spans="1:9" x14ac:dyDescent="0.3">
      <c r="A20" t="s">
        <v>49</v>
      </c>
      <c r="B20" s="1">
        <v>45805</v>
      </c>
      <c r="C20" s="2">
        <v>2940</v>
      </c>
      <c r="D20" t="s">
        <v>51</v>
      </c>
      <c r="E20" t="s">
        <v>50</v>
      </c>
      <c r="H20" s="2">
        <v>51519</v>
      </c>
      <c r="I20" s="2">
        <v>-549958</v>
      </c>
    </row>
    <row r="21" spans="1:9" x14ac:dyDescent="0.3">
      <c r="A21" t="s">
        <v>52</v>
      </c>
      <c r="B21" s="1">
        <v>45805</v>
      </c>
      <c r="C21" s="2">
        <v>3504</v>
      </c>
      <c r="D21" t="s">
        <v>48</v>
      </c>
      <c r="E21" t="s">
        <v>16</v>
      </c>
      <c r="H21" s="2">
        <v>229285</v>
      </c>
      <c r="I21" s="2">
        <v>-779243</v>
      </c>
    </row>
    <row r="22" spans="1:9" x14ac:dyDescent="0.3">
      <c r="A22" t="s">
        <v>53</v>
      </c>
      <c r="B22" s="1">
        <v>45810</v>
      </c>
      <c r="C22" s="2">
        <v>2822</v>
      </c>
      <c r="D22" t="s">
        <v>55</v>
      </c>
      <c r="E22" t="s">
        <v>54</v>
      </c>
      <c r="H22" s="2">
        <v>25228</v>
      </c>
      <c r="I22" s="2">
        <v>-804471</v>
      </c>
    </row>
    <row r="23" spans="1:9" x14ac:dyDescent="0.3">
      <c r="A23" t="s">
        <v>56</v>
      </c>
      <c r="B23" s="1">
        <v>45820</v>
      </c>
      <c r="C23" s="2">
        <v>2858</v>
      </c>
      <c r="D23" t="s">
        <v>28</v>
      </c>
      <c r="E23" t="s">
        <v>19</v>
      </c>
      <c r="G23" s="2">
        <v>450611</v>
      </c>
      <c r="I23" s="2">
        <v>-353860</v>
      </c>
    </row>
    <row r="24" spans="1:9" x14ac:dyDescent="0.3">
      <c r="A24" t="s">
        <v>57</v>
      </c>
      <c r="B24" s="1">
        <v>45820</v>
      </c>
      <c r="C24" s="2">
        <v>2859</v>
      </c>
      <c r="D24" t="s">
        <v>32</v>
      </c>
      <c r="E24" t="s">
        <v>22</v>
      </c>
      <c r="G24" s="2">
        <v>100449</v>
      </c>
      <c r="I24" s="2">
        <v>-253411</v>
      </c>
    </row>
    <row r="25" spans="1:9" x14ac:dyDescent="0.3">
      <c r="A25" t="s">
        <v>58</v>
      </c>
      <c r="B25" s="1">
        <v>45820</v>
      </c>
      <c r="C25" s="2">
        <v>2860</v>
      </c>
      <c r="D25" t="s">
        <v>34</v>
      </c>
      <c r="E25" t="s">
        <v>25</v>
      </c>
      <c r="G25" s="2">
        <v>71087</v>
      </c>
      <c r="I25" s="2">
        <v>-182324</v>
      </c>
    </row>
    <row r="26" spans="1:9" x14ac:dyDescent="0.3">
      <c r="A26" t="s">
        <v>59</v>
      </c>
      <c r="B26" s="1">
        <v>45820</v>
      </c>
      <c r="C26" s="2">
        <v>2861</v>
      </c>
      <c r="D26" t="s">
        <v>38</v>
      </c>
      <c r="E26" t="s">
        <v>13</v>
      </c>
      <c r="G26" s="2">
        <v>79021</v>
      </c>
      <c r="I26" s="2">
        <v>-103303</v>
      </c>
    </row>
    <row r="27" spans="1:9" x14ac:dyDescent="0.3">
      <c r="A27" t="s">
        <v>60</v>
      </c>
      <c r="B27" s="1">
        <v>45820</v>
      </c>
      <c r="C27" s="2">
        <v>2862</v>
      </c>
      <c r="D27" t="s">
        <v>36</v>
      </c>
      <c r="E27" t="s">
        <v>16</v>
      </c>
      <c r="G27" s="2">
        <v>210396</v>
      </c>
      <c r="I27" s="2">
        <v>107093</v>
      </c>
    </row>
    <row r="28" spans="1:9" x14ac:dyDescent="0.3">
      <c r="A28" t="s">
        <v>61</v>
      </c>
      <c r="B28" s="1">
        <v>45820</v>
      </c>
      <c r="C28" s="2">
        <v>2863</v>
      </c>
      <c r="D28" t="s">
        <v>30</v>
      </c>
      <c r="E28" t="s">
        <v>10</v>
      </c>
      <c r="G28" s="2">
        <v>1231423</v>
      </c>
      <c r="I28" s="2">
        <v>1338516</v>
      </c>
    </row>
    <row r="29" spans="1:9" x14ac:dyDescent="0.3">
      <c r="A29" t="s">
        <v>62</v>
      </c>
      <c r="B29" s="1">
        <v>45834</v>
      </c>
      <c r="C29" s="2">
        <v>2912</v>
      </c>
      <c r="D29" t="s">
        <v>63</v>
      </c>
      <c r="E29" t="s">
        <v>10</v>
      </c>
      <c r="H29" s="2">
        <v>981428</v>
      </c>
      <c r="I29" s="2">
        <v>357088</v>
      </c>
    </row>
    <row r="30" spans="1:9" x14ac:dyDescent="0.3">
      <c r="A30" t="s">
        <v>64</v>
      </c>
      <c r="B30" s="1">
        <v>45834</v>
      </c>
      <c r="C30" s="2">
        <v>2913</v>
      </c>
      <c r="D30" t="s">
        <v>51</v>
      </c>
      <c r="E30" t="s">
        <v>50</v>
      </c>
      <c r="H30" s="2">
        <v>1962244</v>
      </c>
      <c r="I30" s="2">
        <v>-1605156</v>
      </c>
    </row>
    <row r="31" spans="1:9" x14ac:dyDescent="0.3">
      <c r="A31" t="s">
        <v>65</v>
      </c>
      <c r="B31" s="1">
        <v>45834</v>
      </c>
      <c r="C31" s="2">
        <v>2914</v>
      </c>
      <c r="D31" t="s">
        <v>26</v>
      </c>
      <c r="E31" t="s">
        <v>25</v>
      </c>
      <c r="H31" s="2">
        <v>4322</v>
      </c>
      <c r="I31" s="2">
        <v>-1609478</v>
      </c>
    </row>
    <row r="32" spans="1:9" x14ac:dyDescent="0.3">
      <c r="A32" t="s">
        <v>66</v>
      </c>
      <c r="B32" s="1">
        <v>45834</v>
      </c>
      <c r="C32" s="2">
        <v>2915</v>
      </c>
      <c r="D32" t="s">
        <v>68</v>
      </c>
      <c r="E32" t="s">
        <v>67</v>
      </c>
      <c r="H32" s="2">
        <v>39636</v>
      </c>
      <c r="I32" s="2">
        <v>-1649114</v>
      </c>
    </row>
    <row r="33" spans="1:9" x14ac:dyDescent="0.3">
      <c r="A33" t="s">
        <v>69</v>
      </c>
      <c r="B33" s="1">
        <v>45834</v>
      </c>
      <c r="C33" s="2">
        <v>2916</v>
      </c>
      <c r="D33" t="s">
        <v>70</v>
      </c>
      <c r="E33" t="s">
        <v>22</v>
      </c>
      <c r="H33" s="2">
        <v>2020460</v>
      </c>
      <c r="I33" s="2">
        <v>-3669574</v>
      </c>
    </row>
    <row r="34" spans="1:9" x14ac:dyDescent="0.3">
      <c r="A34" t="s">
        <v>71</v>
      </c>
      <c r="B34" s="1">
        <v>45834</v>
      </c>
      <c r="C34" s="2">
        <v>2917</v>
      </c>
      <c r="D34" t="s">
        <v>72</v>
      </c>
      <c r="E34" t="s">
        <v>13</v>
      </c>
      <c r="H34" s="2">
        <v>87617</v>
      </c>
      <c r="I34" s="2">
        <v>-3757191</v>
      </c>
    </row>
    <row r="35" spans="1:9" x14ac:dyDescent="0.3">
      <c r="A35" t="s">
        <v>73</v>
      </c>
      <c r="B35" s="1">
        <v>45845</v>
      </c>
      <c r="C35" s="2">
        <v>3041</v>
      </c>
      <c r="D35" t="s">
        <v>74</v>
      </c>
      <c r="E35" t="s">
        <v>10</v>
      </c>
      <c r="G35" s="2">
        <v>33059</v>
      </c>
      <c r="I35" s="2">
        <v>-3724132</v>
      </c>
    </row>
    <row r="36" spans="1:9" x14ac:dyDescent="0.3">
      <c r="A36" t="s">
        <v>75</v>
      </c>
      <c r="B36" s="1">
        <v>45848</v>
      </c>
      <c r="C36" s="2">
        <v>3049</v>
      </c>
      <c r="D36" t="s">
        <v>30</v>
      </c>
      <c r="E36" t="s">
        <v>10</v>
      </c>
      <c r="G36" s="2">
        <v>981428</v>
      </c>
      <c r="I36" s="2">
        <v>-2742704</v>
      </c>
    </row>
    <row r="37" spans="1:9" x14ac:dyDescent="0.3">
      <c r="A37" t="s">
        <v>76</v>
      </c>
      <c r="B37" s="1">
        <v>45848</v>
      </c>
      <c r="C37" s="2">
        <v>3050</v>
      </c>
      <c r="D37" t="s">
        <v>32</v>
      </c>
      <c r="E37" t="s">
        <v>22</v>
      </c>
      <c r="G37" s="2">
        <v>2020460</v>
      </c>
      <c r="I37" s="2">
        <v>-722244</v>
      </c>
    </row>
    <row r="38" spans="1:9" x14ac:dyDescent="0.3">
      <c r="A38" t="s">
        <v>77</v>
      </c>
      <c r="B38" s="1">
        <v>45848</v>
      </c>
      <c r="C38" s="2">
        <v>3051</v>
      </c>
      <c r="D38" t="s">
        <v>34</v>
      </c>
      <c r="E38" t="s">
        <v>25</v>
      </c>
      <c r="G38" s="2">
        <v>20216</v>
      </c>
      <c r="I38" s="2">
        <v>-702028</v>
      </c>
    </row>
    <row r="39" spans="1:9" x14ac:dyDescent="0.3">
      <c r="A39" t="s">
        <v>78</v>
      </c>
      <c r="B39" s="1">
        <v>45848</v>
      </c>
      <c r="C39" s="2">
        <v>3052</v>
      </c>
      <c r="D39" t="s">
        <v>38</v>
      </c>
      <c r="E39" t="s">
        <v>13</v>
      </c>
      <c r="G39" s="2">
        <v>87617</v>
      </c>
      <c r="I39" s="2">
        <v>-614411</v>
      </c>
    </row>
    <row r="40" spans="1:9" x14ac:dyDescent="0.3">
      <c r="A40" t="s">
        <v>79</v>
      </c>
      <c r="B40" s="1">
        <v>45867</v>
      </c>
      <c r="C40" s="2">
        <v>3092</v>
      </c>
      <c r="D40" t="s">
        <v>80</v>
      </c>
      <c r="E40" t="s">
        <v>10</v>
      </c>
      <c r="H40" s="2">
        <v>1861875</v>
      </c>
      <c r="I40" s="2">
        <v>-2476286</v>
      </c>
    </row>
    <row r="41" spans="1:9" x14ac:dyDescent="0.3">
      <c r="A41" t="s">
        <v>81</v>
      </c>
      <c r="B41" s="1">
        <v>45867</v>
      </c>
      <c r="C41" s="2">
        <v>3093</v>
      </c>
      <c r="D41" t="s">
        <v>70</v>
      </c>
      <c r="E41" t="s">
        <v>22</v>
      </c>
      <c r="H41" s="2">
        <v>830502</v>
      </c>
      <c r="I41" s="2">
        <v>-3306788</v>
      </c>
    </row>
    <row r="42" spans="1:9" x14ac:dyDescent="0.3">
      <c r="A42" t="s">
        <v>82</v>
      </c>
      <c r="B42" s="1">
        <v>45867</v>
      </c>
      <c r="C42" s="2">
        <v>3094</v>
      </c>
      <c r="D42" t="s">
        <v>48</v>
      </c>
      <c r="E42" t="s">
        <v>16</v>
      </c>
      <c r="H42" s="2">
        <v>293855</v>
      </c>
      <c r="I42" s="2">
        <v>-3600643</v>
      </c>
    </row>
    <row r="43" spans="1:9" x14ac:dyDescent="0.3">
      <c r="A43" t="s">
        <v>83</v>
      </c>
      <c r="B43" s="1">
        <v>45869</v>
      </c>
      <c r="C43" s="2">
        <v>3271</v>
      </c>
      <c r="D43" t="s">
        <v>84</v>
      </c>
      <c r="E43" t="s">
        <v>10</v>
      </c>
      <c r="H43" s="2">
        <v>1913232</v>
      </c>
      <c r="I43" s="2">
        <v>-5513875</v>
      </c>
    </row>
    <row r="44" spans="1:9" x14ac:dyDescent="0.3">
      <c r="A44" t="s">
        <v>85</v>
      </c>
      <c r="B44" s="1">
        <v>45869</v>
      </c>
      <c r="C44" s="2">
        <v>3272</v>
      </c>
      <c r="D44" t="s">
        <v>86</v>
      </c>
      <c r="E44" t="s">
        <v>10</v>
      </c>
      <c r="H44" s="2">
        <v>2328147</v>
      </c>
      <c r="I44" s="2">
        <v>-7842022</v>
      </c>
    </row>
    <row r="45" spans="1:9" x14ac:dyDescent="0.3">
      <c r="A45" t="s">
        <v>87</v>
      </c>
      <c r="B45" s="1">
        <v>45869</v>
      </c>
      <c r="C45" s="2">
        <v>3273</v>
      </c>
      <c r="D45" t="s">
        <v>88</v>
      </c>
      <c r="E45" t="s">
        <v>10</v>
      </c>
      <c r="H45" s="2">
        <v>1497172</v>
      </c>
      <c r="I45" s="2">
        <v>-9339194</v>
      </c>
    </row>
    <row r="46" spans="1:9" x14ac:dyDescent="0.3">
      <c r="A46" t="s">
        <v>89</v>
      </c>
      <c r="B46" s="1">
        <v>45869</v>
      </c>
      <c r="C46" s="2">
        <v>3275</v>
      </c>
      <c r="D46" t="s">
        <v>90</v>
      </c>
      <c r="E46" t="s">
        <v>19</v>
      </c>
      <c r="H46" s="2">
        <v>260913</v>
      </c>
      <c r="I46" s="2">
        <v>-9600107</v>
      </c>
    </row>
    <row r="47" spans="1:9" x14ac:dyDescent="0.3">
      <c r="A47" t="s">
        <v>91</v>
      </c>
      <c r="B47" s="1">
        <v>45869</v>
      </c>
      <c r="C47" s="2">
        <v>3276</v>
      </c>
      <c r="D47" t="s">
        <v>92</v>
      </c>
      <c r="E47" t="s">
        <v>22</v>
      </c>
      <c r="H47" s="2">
        <v>3388645</v>
      </c>
      <c r="I47" s="2">
        <v>-12988752</v>
      </c>
    </row>
    <row r="48" spans="1:9" x14ac:dyDescent="0.3">
      <c r="A48" t="s">
        <v>93</v>
      </c>
      <c r="B48" s="1">
        <v>45869</v>
      </c>
      <c r="C48" s="2">
        <v>3284</v>
      </c>
      <c r="D48" t="s">
        <v>94</v>
      </c>
      <c r="E48" t="s">
        <v>25</v>
      </c>
      <c r="H48" s="2">
        <v>181839</v>
      </c>
      <c r="I48" s="2">
        <v>-13170591</v>
      </c>
    </row>
    <row r="49" spans="1:9" x14ac:dyDescent="0.3">
      <c r="A49" t="s">
        <v>95</v>
      </c>
      <c r="B49" s="1">
        <v>45869</v>
      </c>
      <c r="C49" s="2">
        <v>3286</v>
      </c>
      <c r="D49" t="s">
        <v>96</v>
      </c>
      <c r="E49" t="s">
        <v>16</v>
      </c>
      <c r="H49" s="2">
        <v>650343</v>
      </c>
      <c r="I49" s="2">
        <v>-13820934</v>
      </c>
    </row>
    <row r="50" spans="1:9" x14ac:dyDescent="0.3">
      <c r="A50" t="s">
        <v>97</v>
      </c>
      <c r="B50" s="1">
        <v>45869</v>
      </c>
      <c r="C50" s="2">
        <v>3287</v>
      </c>
      <c r="D50" t="s">
        <v>98</v>
      </c>
      <c r="E50" t="s">
        <v>13</v>
      </c>
      <c r="H50" s="2">
        <v>3652188</v>
      </c>
      <c r="I50" s="2">
        <v>-17473122</v>
      </c>
    </row>
    <row r="51" spans="1:9" x14ac:dyDescent="0.3">
      <c r="A51" t="s">
        <v>99</v>
      </c>
      <c r="B51" s="1">
        <v>45869</v>
      </c>
      <c r="C51" s="2">
        <v>3299</v>
      </c>
      <c r="D51" t="s">
        <v>100</v>
      </c>
      <c r="E51" t="s">
        <v>19</v>
      </c>
      <c r="H51" s="2">
        <v>3872</v>
      </c>
      <c r="I51" s="2">
        <v>-17476994</v>
      </c>
    </row>
    <row r="52" spans="1:9" x14ac:dyDescent="0.3">
      <c r="A52" t="s">
        <v>101</v>
      </c>
      <c r="B52" s="1">
        <v>45869</v>
      </c>
      <c r="C52" s="2">
        <v>3300</v>
      </c>
      <c r="D52" t="s">
        <v>102</v>
      </c>
      <c r="E52" t="s">
        <v>25</v>
      </c>
      <c r="H52" s="2">
        <v>819483</v>
      </c>
      <c r="I52" s="2">
        <v>-18296477</v>
      </c>
    </row>
    <row r="53" spans="1:9" x14ac:dyDescent="0.3">
      <c r="A53" t="s">
        <v>103</v>
      </c>
      <c r="B53" s="1">
        <v>45869</v>
      </c>
      <c r="C53" s="2">
        <v>3301</v>
      </c>
      <c r="D53" t="s">
        <v>104</v>
      </c>
      <c r="E53" t="s">
        <v>22</v>
      </c>
      <c r="H53" s="2">
        <v>1326542</v>
      </c>
      <c r="I53" s="2">
        <v>-19623019</v>
      </c>
    </row>
    <row r="54" spans="1:9" x14ac:dyDescent="0.3">
      <c r="A54" t="s">
        <v>105</v>
      </c>
      <c r="B54" s="1">
        <v>45869</v>
      </c>
      <c r="C54" s="2">
        <v>3302</v>
      </c>
      <c r="D54" t="s">
        <v>106</v>
      </c>
      <c r="E54" t="s">
        <v>13</v>
      </c>
      <c r="H54" s="2">
        <v>715411</v>
      </c>
      <c r="I54" s="2">
        <v>-20338430</v>
      </c>
    </row>
    <row r="55" spans="1:9" x14ac:dyDescent="0.3">
      <c r="A55" t="s">
        <v>107</v>
      </c>
      <c r="B55" s="1">
        <v>45869</v>
      </c>
      <c r="C55" s="2">
        <v>3303</v>
      </c>
      <c r="D55" t="s">
        <v>108</v>
      </c>
      <c r="E55" t="s">
        <v>16</v>
      </c>
      <c r="H55" s="2">
        <v>20962</v>
      </c>
      <c r="I55" s="2">
        <v>-20359392</v>
      </c>
    </row>
    <row r="56" spans="1:9" x14ac:dyDescent="0.3">
      <c r="A56" t="s">
        <v>109</v>
      </c>
      <c r="B56" s="1">
        <v>45869</v>
      </c>
      <c r="C56" s="2">
        <v>3304</v>
      </c>
      <c r="D56" t="s">
        <v>110</v>
      </c>
      <c r="E56" t="s">
        <v>19</v>
      </c>
      <c r="H56" s="2">
        <v>305442</v>
      </c>
      <c r="I56" s="2">
        <v>-20664834</v>
      </c>
    </row>
    <row r="57" spans="1:9" x14ac:dyDescent="0.3">
      <c r="A57" t="s">
        <v>111</v>
      </c>
      <c r="B57" s="1">
        <v>45869</v>
      </c>
      <c r="C57" s="2">
        <v>3305</v>
      </c>
      <c r="D57" t="s">
        <v>112</v>
      </c>
      <c r="E57" t="s">
        <v>25</v>
      </c>
      <c r="H57" s="2">
        <v>221541</v>
      </c>
      <c r="I57" s="2">
        <v>-20886375</v>
      </c>
    </row>
    <row r="58" spans="1:9" x14ac:dyDescent="0.3">
      <c r="A58" t="s">
        <v>113</v>
      </c>
      <c r="B58" s="1">
        <v>45869</v>
      </c>
      <c r="C58" s="2">
        <v>3306</v>
      </c>
      <c r="D58" t="s">
        <v>114</v>
      </c>
      <c r="E58" t="s">
        <v>22</v>
      </c>
      <c r="H58" s="2">
        <v>46444</v>
      </c>
      <c r="I58" s="2">
        <v>-20932819</v>
      </c>
    </row>
    <row r="59" spans="1:9" x14ac:dyDescent="0.3">
      <c r="A59" t="s">
        <v>115</v>
      </c>
      <c r="B59" s="1">
        <v>45869</v>
      </c>
      <c r="C59" s="2">
        <v>3307</v>
      </c>
      <c r="D59" t="s">
        <v>116</v>
      </c>
      <c r="E59" t="s">
        <v>13</v>
      </c>
      <c r="H59" s="2">
        <v>2623654</v>
      </c>
      <c r="I59" s="2">
        <v>-23556473</v>
      </c>
    </row>
    <row r="60" spans="1:9" x14ac:dyDescent="0.3">
      <c r="A60" t="s">
        <v>117</v>
      </c>
      <c r="B60" s="1">
        <v>45869</v>
      </c>
      <c r="C60" s="2">
        <v>3461</v>
      </c>
      <c r="D60" t="s">
        <v>118</v>
      </c>
      <c r="E60" t="s">
        <v>13</v>
      </c>
      <c r="H60" s="2">
        <v>22780</v>
      </c>
      <c r="I60" s="2">
        <v>-23579253</v>
      </c>
    </row>
    <row r="61" spans="1:9" x14ac:dyDescent="0.3">
      <c r="A61" t="s">
        <v>119</v>
      </c>
      <c r="D61" t="s">
        <v>120</v>
      </c>
      <c r="G61" s="2">
        <v>11241448</v>
      </c>
      <c r="H61" s="2">
        <v>34820701</v>
      </c>
    </row>
    <row r="62" spans="1:9" x14ac:dyDescent="0.3">
      <c r="A62" t="s">
        <v>120</v>
      </c>
      <c r="D62" t="s">
        <v>121</v>
      </c>
      <c r="I62" s="3">
        <v>-23579253</v>
      </c>
    </row>
    <row r="63" spans="1:9" x14ac:dyDescent="0.3">
      <c r="A63" t="s">
        <v>121</v>
      </c>
      <c r="D63" t="s">
        <v>122</v>
      </c>
    </row>
    <row r="64" spans="1:9" x14ac:dyDescent="0.3">
      <c r="A64" t="s">
        <v>122</v>
      </c>
      <c r="D64" t="s">
        <v>1</v>
      </c>
    </row>
    <row r="65" spans="1:9" x14ac:dyDescent="0.3">
      <c r="A65" t="s">
        <v>1</v>
      </c>
      <c r="B65" t="s">
        <v>2</v>
      </c>
      <c r="C65" t="s">
        <v>3</v>
      </c>
      <c r="D65">
        <v>0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</row>
    <row r="66" spans="1:9" x14ac:dyDescent="0.3">
      <c r="A66" t="s">
        <v>9</v>
      </c>
      <c r="B66" s="1">
        <v>45772</v>
      </c>
      <c r="C66" s="2">
        <v>2553</v>
      </c>
      <c r="D66" t="s">
        <v>11</v>
      </c>
      <c r="E66" t="s">
        <v>125</v>
      </c>
      <c r="G66">
        <v>975.05</v>
      </c>
      <c r="I66">
        <v>975.05</v>
      </c>
    </row>
    <row r="67" spans="1:9" x14ac:dyDescent="0.3">
      <c r="A67" t="s">
        <v>9</v>
      </c>
      <c r="B67" s="1">
        <v>45772</v>
      </c>
      <c r="C67" s="2">
        <v>2553</v>
      </c>
      <c r="D67" t="s">
        <v>11</v>
      </c>
      <c r="E67" t="s">
        <v>125</v>
      </c>
      <c r="H67">
        <v>975.05</v>
      </c>
      <c r="I67">
        <v>0</v>
      </c>
    </row>
    <row r="68" spans="1:9" x14ac:dyDescent="0.3">
      <c r="A68" t="s">
        <v>12</v>
      </c>
      <c r="B68" s="1">
        <v>45772</v>
      </c>
      <c r="C68" s="2">
        <v>2554</v>
      </c>
      <c r="D68" t="s">
        <v>14</v>
      </c>
      <c r="E68" t="s">
        <v>13</v>
      </c>
      <c r="G68" s="3">
        <v>1499.57</v>
      </c>
      <c r="I68" s="3">
        <v>1499.57</v>
      </c>
    </row>
    <row r="69" spans="1:9" x14ac:dyDescent="0.3">
      <c r="A69" t="s">
        <v>12</v>
      </c>
      <c r="B69" s="1">
        <v>45772</v>
      </c>
      <c r="C69" s="2">
        <v>2554</v>
      </c>
      <c r="D69" t="s">
        <v>14</v>
      </c>
      <c r="E69" t="s">
        <v>13</v>
      </c>
      <c r="H69" s="3">
        <v>1499.57</v>
      </c>
      <c r="I69">
        <v>0</v>
      </c>
    </row>
    <row r="70" spans="1:9" x14ac:dyDescent="0.3">
      <c r="A70" t="s">
        <v>18</v>
      </c>
      <c r="B70" s="1">
        <v>45772</v>
      </c>
      <c r="C70" s="2">
        <v>2556</v>
      </c>
      <c r="D70" t="s">
        <v>20</v>
      </c>
      <c r="E70" t="s">
        <v>19</v>
      </c>
      <c r="H70">
        <v>249.18</v>
      </c>
      <c r="I70">
        <v>-249.18</v>
      </c>
    </row>
    <row r="71" spans="1:9" x14ac:dyDescent="0.3">
      <c r="A71" t="s">
        <v>21</v>
      </c>
      <c r="B71" s="1">
        <v>45772</v>
      </c>
      <c r="C71" s="2">
        <v>2561</v>
      </c>
      <c r="D71" t="s">
        <v>23</v>
      </c>
      <c r="E71" t="s">
        <v>22</v>
      </c>
      <c r="H71">
        <v>706.36</v>
      </c>
      <c r="I71">
        <v>-955.54</v>
      </c>
    </row>
    <row r="72" spans="1:9" x14ac:dyDescent="0.3">
      <c r="A72" t="s">
        <v>21</v>
      </c>
      <c r="B72" s="1">
        <v>45772</v>
      </c>
      <c r="C72" s="2">
        <v>2561</v>
      </c>
      <c r="D72" t="s">
        <v>23</v>
      </c>
      <c r="E72" t="s">
        <v>22</v>
      </c>
      <c r="G72">
        <v>706.36</v>
      </c>
      <c r="I72">
        <v>-249.18</v>
      </c>
    </row>
    <row r="73" spans="1:9" x14ac:dyDescent="0.3">
      <c r="A73" t="s">
        <v>24</v>
      </c>
      <c r="B73" s="1">
        <v>45772</v>
      </c>
      <c r="C73" s="2">
        <v>2939</v>
      </c>
      <c r="D73" t="s">
        <v>26</v>
      </c>
      <c r="E73" t="s">
        <v>25</v>
      </c>
      <c r="H73">
        <v>45.39</v>
      </c>
      <c r="I73">
        <v>-294.57</v>
      </c>
    </row>
    <row r="74" spans="1:9" x14ac:dyDescent="0.3">
      <c r="A74" t="s">
        <v>39</v>
      </c>
      <c r="B74" s="1">
        <v>45805</v>
      </c>
      <c r="C74" s="2">
        <v>2906</v>
      </c>
      <c r="D74" t="s">
        <v>20</v>
      </c>
      <c r="E74" t="s">
        <v>19</v>
      </c>
      <c r="H74">
        <v>249.18</v>
      </c>
      <c r="I74">
        <v>-543.75</v>
      </c>
    </row>
    <row r="75" spans="1:9" x14ac:dyDescent="0.3">
      <c r="A75" t="s">
        <v>43</v>
      </c>
      <c r="B75" s="1">
        <v>45805</v>
      </c>
      <c r="C75" s="2">
        <v>2909</v>
      </c>
      <c r="D75" t="s">
        <v>44</v>
      </c>
      <c r="E75" t="s">
        <v>22</v>
      </c>
      <c r="H75" s="3">
        <v>1710.39</v>
      </c>
      <c r="I75" s="3">
        <v>-2254.14</v>
      </c>
    </row>
    <row r="76" spans="1:9" x14ac:dyDescent="0.3">
      <c r="A76" t="s">
        <v>45</v>
      </c>
      <c r="B76" s="1">
        <v>45805</v>
      </c>
      <c r="C76" s="2">
        <v>2910</v>
      </c>
      <c r="D76" t="s">
        <v>46</v>
      </c>
      <c r="E76" t="s">
        <v>13</v>
      </c>
      <c r="H76">
        <v>46.41</v>
      </c>
      <c r="I76" s="3">
        <v>-2300.5500000000002</v>
      </c>
    </row>
    <row r="77" spans="1:9" x14ac:dyDescent="0.3">
      <c r="A77" t="s">
        <v>49</v>
      </c>
      <c r="B77" s="1">
        <v>45805</v>
      </c>
      <c r="C77" s="2">
        <v>2940</v>
      </c>
      <c r="D77" t="s">
        <v>51</v>
      </c>
      <c r="E77" t="s">
        <v>50</v>
      </c>
      <c r="H77" s="3">
        <v>1989.92</v>
      </c>
      <c r="I77" s="3">
        <v>-4290.47</v>
      </c>
    </row>
    <row r="78" spans="1:9" x14ac:dyDescent="0.3">
      <c r="A78" t="s">
        <v>64</v>
      </c>
      <c r="B78" s="1">
        <v>45834</v>
      </c>
      <c r="C78" s="2">
        <v>2913</v>
      </c>
      <c r="D78" t="s">
        <v>51</v>
      </c>
      <c r="E78" t="s">
        <v>50</v>
      </c>
      <c r="H78">
        <v>751.8</v>
      </c>
      <c r="I78" s="3">
        <v>-5042.2700000000004</v>
      </c>
    </row>
    <row r="79" spans="1:9" x14ac:dyDescent="0.3">
      <c r="A79" t="s">
        <v>65</v>
      </c>
      <c r="B79" s="1">
        <v>45834</v>
      </c>
      <c r="C79" s="2">
        <v>2914</v>
      </c>
      <c r="D79" t="s">
        <v>26</v>
      </c>
      <c r="E79" t="s">
        <v>25</v>
      </c>
      <c r="H79">
        <v>16.73</v>
      </c>
      <c r="I79" s="3">
        <v>-5059</v>
      </c>
    </row>
    <row r="80" spans="1:9" x14ac:dyDescent="0.3">
      <c r="A80" t="s">
        <v>69</v>
      </c>
      <c r="B80" s="1">
        <v>45834</v>
      </c>
      <c r="C80" s="2">
        <v>2916</v>
      </c>
      <c r="D80" t="s">
        <v>70</v>
      </c>
      <c r="E80" t="s">
        <v>22</v>
      </c>
      <c r="H80">
        <v>664.62</v>
      </c>
      <c r="I80" s="3">
        <v>-5723.62</v>
      </c>
    </row>
    <row r="81" spans="1:9" x14ac:dyDescent="0.3">
      <c r="A81" t="s">
        <v>69</v>
      </c>
      <c r="B81" s="1">
        <v>45834</v>
      </c>
      <c r="C81" s="2">
        <v>2916</v>
      </c>
      <c r="D81" t="s">
        <v>70</v>
      </c>
      <c r="E81" t="s">
        <v>22</v>
      </c>
      <c r="G81" s="3">
        <v>1710.39</v>
      </c>
      <c r="I81" s="3">
        <v>-4013.23</v>
      </c>
    </row>
    <row r="82" spans="1:9" x14ac:dyDescent="0.3">
      <c r="A82" t="s">
        <v>71</v>
      </c>
      <c r="B82" s="1">
        <v>45834</v>
      </c>
      <c r="C82" s="2">
        <v>2917</v>
      </c>
      <c r="D82" t="s">
        <v>72</v>
      </c>
      <c r="E82" t="s">
        <v>13</v>
      </c>
      <c r="H82">
        <v>4.4800000000000004</v>
      </c>
      <c r="I82" s="3">
        <v>-4017.71</v>
      </c>
    </row>
    <row r="83" spans="1:9" x14ac:dyDescent="0.3">
      <c r="A83" t="s">
        <v>81</v>
      </c>
      <c r="B83" s="1">
        <v>45867</v>
      </c>
      <c r="C83" s="2">
        <v>3093</v>
      </c>
      <c r="D83" t="s">
        <v>70</v>
      </c>
      <c r="E83" t="s">
        <v>22</v>
      </c>
      <c r="H83">
        <v>664.62</v>
      </c>
      <c r="I83" s="3">
        <v>-4682.33</v>
      </c>
    </row>
    <row r="85" spans="1:9" x14ac:dyDescent="0.3">
      <c r="A85" t="s">
        <v>119</v>
      </c>
      <c r="G85" s="3">
        <v>4891.37</v>
      </c>
      <c r="H85" s="3">
        <v>9573.7000000000007</v>
      </c>
    </row>
    <row r="86" spans="1:9" x14ac:dyDescent="0.3">
      <c r="A86" t="s">
        <v>120</v>
      </c>
      <c r="I86" s="3">
        <v>-4682.33</v>
      </c>
    </row>
    <row r="87" spans="1:9" x14ac:dyDescent="0.3">
      <c r="A87" t="s">
        <v>123</v>
      </c>
    </row>
    <row r="88" spans="1:9" x14ac:dyDescent="0.3">
      <c r="A88" t="s">
        <v>124</v>
      </c>
    </row>
  </sheetData>
  <autoFilter ref="A1:I96" xr:uid="{76EA3077-7C8B-44C8-8DA0-D516A3ABAAD3}"/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DD4E-B4E2-4460-A19A-B0D83EB9B71F}">
  <dimension ref="A1:H87"/>
  <sheetViews>
    <sheetView topLeftCell="A76" workbookViewId="0">
      <selection activeCell="F25" sqref="F25:F43"/>
    </sheetView>
  </sheetViews>
  <sheetFormatPr baseColWidth="10" defaultRowHeight="14" x14ac:dyDescent="0.3"/>
  <cols>
    <col min="3" max="3" width="8.3984375" customWidth="1"/>
    <col min="4" max="4" width="28.69921875" customWidth="1"/>
    <col min="5" max="5" width="37.296875" customWidth="1"/>
    <col min="8" max="8" width="13" bestFit="1" customWidth="1"/>
  </cols>
  <sheetData>
    <row r="1" spans="1:8" s="11" customFormat="1" x14ac:dyDescent="0.3">
      <c r="A1" s="11" t="s">
        <v>1</v>
      </c>
      <c r="B1" s="11" t="s">
        <v>2</v>
      </c>
      <c r="C1" s="11" t="s">
        <v>3</v>
      </c>
      <c r="E1" s="11" t="s">
        <v>4</v>
      </c>
      <c r="F1" s="11" t="s">
        <v>6</v>
      </c>
      <c r="G1" s="11" t="s">
        <v>7</v>
      </c>
      <c r="H1" s="11" t="s">
        <v>8</v>
      </c>
    </row>
    <row r="2" spans="1:8" x14ac:dyDescent="0.3">
      <c r="A2" t="s">
        <v>134</v>
      </c>
      <c r="B2" s="1">
        <v>45750</v>
      </c>
      <c r="C2" s="2">
        <v>2493</v>
      </c>
      <c r="D2" t="s">
        <v>135</v>
      </c>
      <c r="E2" t="s">
        <v>13</v>
      </c>
      <c r="F2" s="2">
        <v>121678</v>
      </c>
      <c r="H2" s="2">
        <v>121678</v>
      </c>
    </row>
    <row r="3" spans="1:8" x14ac:dyDescent="0.3">
      <c r="A3" t="s">
        <v>9</v>
      </c>
      <c r="B3" s="1">
        <v>45772</v>
      </c>
      <c r="C3" s="2">
        <v>2553</v>
      </c>
      <c r="D3" t="s">
        <v>11</v>
      </c>
      <c r="E3" t="s">
        <v>10</v>
      </c>
      <c r="G3" s="2">
        <v>3070443</v>
      </c>
      <c r="H3" s="2">
        <v>-2948765</v>
      </c>
    </row>
    <row r="4" spans="1:8" x14ac:dyDescent="0.3">
      <c r="A4" t="s">
        <v>12</v>
      </c>
      <c r="B4" s="1">
        <v>45772</v>
      </c>
      <c r="C4" s="2">
        <v>2554</v>
      </c>
      <c r="D4" t="s">
        <v>14</v>
      </c>
      <c r="E4" t="s">
        <v>13</v>
      </c>
      <c r="G4" s="2">
        <v>494703</v>
      </c>
      <c r="H4" s="2">
        <v>-3443468</v>
      </c>
    </row>
    <row r="5" spans="1:8" x14ac:dyDescent="0.3">
      <c r="A5" t="s">
        <v>15</v>
      </c>
      <c r="B5" s="1">
        <v>45772</v>
      </c>
      <c r="C5" s="2">
        <v>2555</v>
      </c>
      <c r="D5" t="s">
        <v>17</v>
      </c>
      <c r="E5" t="s">
        <v>16</v>
      </c>
      <c r="G5" s="2">
        <v>122074</v>
      </c>
      <c r="H5" s="2">
        <v>-3565542</v>
      </c>
    </row>
    <row r="6" spans="1:8" x14ac:dyDescent="0.3">
      <c r="A6" t="s">
        <v>18</v>
      </c>
      <c r="B6" s="1">
        <v>45772</v>
      </c>
      <c r="C6" s="2">
        <v>2556</v>
      </c>
      <c r="D6" t="s">
        <v>20</v>
      </c>
      <c r="E6" t="s">
        <v>19</v>
      </c>
      <c r="G6" s="2">
        <v>100022</v>
      </c>
      <c r="H6" s="2">
        <v>-3665564</v>
      </c>
    </row>
    <row r="7" spans="1:8" x14ac:dyDescent="0.3">
      <c r="A7" t="s">
        <v>21</v>
      </c>
      <c r="B7" s="1">
        <v>45772</v>
      </c>
      <c r="C7" s="2">
        <v>2561</v>
      </c>
      <c r="D7" t="s">
        <v>23</v>
      </c>
      <c r="E7" t="s">
        <v>22</v>
      </c>
      <c r="G7" s="2">
        <v>806870</v>
      </c>
      <c r="H7" s="2">
        <v>-4472434</v>
      </c>
    </row>
    <row r="8" spans="1:8" x14ac:dyDescent="0.3">
      <c r="A8" t="s">
        <v>24</v>
      </c>
      <c r="B8" s="1">
        <v>45772</v>
      </c>
      <c r="C8" s="2">
        <v>2939</v>
      </c>
      <c r="D8" t="s">
        <v>26</v>
      </c>
      <c r="E8" t="s">
        <v>25</v>
      </c>
      <c r="G8" s="2">
        <v>5014</v>
      </c>
      <c r="H8" s="2">
        <v>-4477448</v>
      </c>
    </row>
    <row r="9" spans="1:8" x14ac:dyDescent="0.3">
      <c r="A9" t="s">
        <v>136</v>
      </c>
      <c r="B9" s="1">
        <v>45785</v>
      </c>
      <c r="C9" s="2">
        <v>2721</v>
      </c>
      <c r="D9" t="s">
        <v>137</v>
      </c>
      <c r="E9" t="s">
        <v>13</v>
      </c>
      <c r="F9" s="2">
        <v>22780</v>
      </c>
      <c r="H9" s="2">
        <v>-4454668</v>
      </c>
    </row>
    <row r="10" spans="1:8" x14ac:dyDescent="0.3">
      <c r="A10" t="s">
        <v>138</v>
      </c>
      <c r="B10" s="1">
        <v>45785</v>
      </c>
      <c r="C10" s="2">
        <v>2723</v>
      </c>
      <c r="D10" t="s">
        <v>139</v>
      </c>
      <c r="E10" t="s">
        <v>22</v>
      </c>
      <c r="F10" s="2">
        <v>15336</v>
      </c>
      <c r="H10" s="2">
        <v>-4439332</v>
      </c>
    </row>
    <row r="11" spans="1:8" x14ac:dyDescent="0.3">
      <c r="A11" t="s">
        <v>27</v>
      </c>
      <c r="B11" s="1">
        <v>45792</v>
      </c>
      <c r="C11" s="2">
        <v>2742</v>
      </c>
      <c r="D11" t="s">
        <v>28</v>
      </c>
      <c r="E11" t="s">
        <v>19</v>
      </c>
      <c r="F11" s="2">
        <v>100022</v>
      </c>
      <c r="H11" s="2">
        <v>-4339310</v>
      </c>
    </row>
    <row r="12" spans="1:8" x14ac:dyDescent="0.3">
      <c r="A12" t="s">
        <v>29</v>
      </c>
      <c r="B12" s="1">
        <v>45792</v>
      </c>
      <c r="C12" s="2">
        <v>2743</v>
      </c>
      <c r="D12" t="s">
        <v>30</v>
      </c>
      <c r="E12" t="s">
        <v>10</v>
      </c>
      <c r="F12" s="2">
        <v>3070443</v>
      </c>
      <c r="H12" s="2">
        <v>-1268867</v>
      </c>
    </row>
    <row r="13" spans="1:8" x14ac:dyDescent="0.3">
      <c r="A13" t="s">
        <v>31</v>
      </c>
      <c r="B13" s="1">
        <v>45792</v>
      </c>
      <c r="C13" s="2">
        <v>2744</v>
      </c>
      <c r="D13" t="s">
        <v>32</v>
      </c>
      <c r="E13" t="s">
        <v>22</v>
      </c>
      <c r="F13" s="2">
        <v>806870</v>
      </c>
      <c r="H13" s="2">
        <v>-461997</v>
      </c>
    </row>
    <row r="14" spans="1:8" x14ac:dyDescent="0.3">
      <c r="A14" t="s">
        <v>33</v>
      </c>
      <c r="B14" s="1">
        <v>45792</v>
      </c>
      <c r="C14" s="2">
        <v>2745</v>
      </c>
      <c r="D14" t="s">
        <v>34</v>
      </c>
      <c r="E14" t="s">
        <v>25</v>
      </c>
      <c r="F14" s="2">
        <v>5014</v>
      </c>
      <c r="H14" s="2">
        <v>-456983</v>
      </c>
    </row>
    <row r="15" spans="1:8" x14ac:dyDescent="0.3">
      <c r="A15" t="s">
        <v>35</v>
      </c>
      <c r="B15" s="1">
        <v>45792</v>
      </c>
      <c r="C15" s="2">
        <v>2746</v>
      </c>
      <c r="D15" t="s">
        <v>36</v>
      </c>
      <c r="E15" t="s">
        <v>16</v>
      </c>
      <c r="F15" s="2">
        <v>72314</v>
      </c>
      <c r="H15" s="2">
        <v>-384669</v>
      </c>
    </row>
    <row r="16" spans="1:8" x14ac:dyDescent="0.3">
      <c r="A16" t="s">
        <v>37</v>
      </c>
      <c r="B16" s="1">
        <v>45792</v>
      </c>
      <c r="C16" s="2">
        <v>2749</v>
      </c>
      <c r="D16" t="s">
        <v>38</v>
      </c>
      <c r="E16" t="s">
        <v>13</v>
      </c>
      <c r="F16" s="2">
        <v>1901018</v>
      </c>
      <c r="H16" s="2">
        <v>1516349</v>
      </c>
    </row>
    <row r="17" spans="1:8" x14ac:dyDescent="0.3">
      <c r="A17" t="s">
        <v>39</v>
      </c>
      <c r="B17" s="1">
        <v>45805</v>
      </c>
      <c r="C17" s="2">
        <v>2906</v>
      </c>
      <c r="D17" t="s">
        <v>20</v>
      </c>
      <c r="E17" t="s">
        <v>19</v>
      </c>
      <c r="G17" s="2">
        <v>450611</v>
      </c>
      <c r="H17" s="2">
        <v>1065738</v>
      </c>
    </row>
    <row r="18" spans="1:8" x14ac:dyDescent="0.3">
      <c r="A18" t="s">
        <v>40</v>
      </c>
      <c r="B18" s="1">
        <v>45805</v>
      </c>
      <c r="C18" s="2">
        <v>2907</v>
      </c>
      <c r="D18" t="s">
        <v>11</v>
      </c>
      <c r="E18" t="s">
        <v>10</v>
      </c>
      <c r="G18" s="2">
        <v>1231423</v>
      </c>
      <c r="H18" s="2">
        <v>-165685</v>
      </c>
    </row>
    <row r="19" spans="1:8" x14ac:dyDescent="0.3">
      <c r="A19" t="s">
        <v>41</v>
      </c>
      <c r="B19" s="1">
        <v>45805</v>
      </c>
      <c r="C19" s="2">
        <v>2908</v>
      </c>
      <c r="D19" t="s">
        <v>42</v>
      </c>
      <c r="E19" t="s">
        <v>25</v>
      </c>
      <c r="G19" s="2">
        <v>71087</v>
      </c>
      <c r="H19" s="2">
        <v>-236772</v>
      </c>
    </row>
    <row r="20" spans="1:8" x14ac:dyDescent="0.3">
      <c r="A20" t="s">
        <v>43</v>
      </c>
      <c r="B20" s="1">
        <v>45805</v>
      </c>
      <c r="C20" s="2">
        <v>2909</v>
      </c>
      <c r="D20" t="s">
        <v>44</v>
      </c>
      <c r="E20" t="s">
        <v>22</v>
      </c>
      <c r="G20" s="2">
        <v>100449</v>
      </c>
      <c r="H20" s="2">
        <v>-337221</v>
      </c>
    </row>
    <row r="21" spans="1:8" x14ac:dyDescent="0.3">
      <c r="A21" t="s">
        <v>45</v>
      </c>
      <c r="B21" s="1">
        <v>45805</v>
      </c>
      <c r="C21" s="2">
        <v>2910</v>
      </c>
      <c r="D21" t="s">
        <v>46</v>
      </c>
      <c r="E21" t="s">
        <v>13</v>
      </c>
      <c r="G21" s="2">
        <v>79021</v>
      </c>
      <c r="H21" s="2">
        <v>-416242</v>
      </c>
    </row>
    <row r="22" spans="1:8" x14ac:dyDescent="0.3">
      <c r="A22" t="s">
        <v>47</v>
      </c>
      <c r="B22" s="1">
        <v>45805</v>
      </c>
      <c r="C22" s="2">
        <v>2911</v>
      </c>
      <c r="D22" t="s">
        <v>48</v>
      </c>
      <c r="E22" t="s">
        <v>16</v>
      </c>
      <c r="G22" s="2">
        <v>161109</v>
      </c>
      <c r="H22" s="2">
        <v>-577351</v>
      </c>
    </row>
    <row r="23" spans="1:8" x14ac:dyDescent="0.3">
      <c r="A23" t="s">
        <v>49</v>
      </c>
      <c r="B23" s="1">
        <v>45805</v>
      </c>
      <c r="C23" s="2">
        <v>2940</v>
      </c>
      <c r="D23" t="s">
        <v>51</v>
      </c>
      <c r="E23" t="s">
        <v>50</v>
      </c>
      <c r="G23" s="2">
        <v>51519</v>
      </c>
      <c r="H23" s="2">
        <v>-628870</v>
      </c>
    </row>
    <row r="24" spans="1:8" x14ac:dyDescent="0.3">
      <c r="A24" t="s">
        <v>52</v>
      </c>
      <c r="B24" s="1">
        <v>45805</v>
      </c>
      <c r="C24" s="2">
        <v>3504</v>
      </c>
      <c r="D24" t="s">
        <v>48</v>
      </c>
      <c r="E24" t="s">
        <v>16</v>
      </c>
      <c r="G24" s="2">
        <v>229285</v>
      </c>
      <c r="H24" s="2">
        <v>-858155</v>
      </c>
    </row>
    <row r="25" spans="1:8" x14ac:dyDescent="0.3">
      <c r="A25" t="s">
        <v>140</v>
      </c>
      <c r="B25" s="1">
        <v>45813</v>
      </c>
      <c r="C25" s="2">
        <v>2810</v>
      </c>
      <c r="D25" t="s">
        <v>141</v>
      </c>
      <c r="E25" t="s">
        <v>171</v>
      </c>
      <c r="F25" s="2">
        <v>36610</v>
      </c>
      <c r="H25" s="2">
        <v>-821545</v>
      </c>
    </row>
    <row r="26" spans="1:8" x14ac:dyDescent="0.3">
      <c r="A26" t="s">
        <v>142</v>
      </c>
      <c r="B26" s="1">
        <v>45813</v>
      </c>
      <c r="C26" s="2">
        <v>2812</v>
      </c>
      <c r="D26" t="s">
        <v>143</v>
      </c>
      <c r="E26" t="s">
        <v>67</v>
      </c>
      <c r="F26" s="2">
        <v>19500</v>
      </c>
      <c r="H26" s="2">
        <v>-802045</v>
      </c>
    </row>
    <row r="27" spans="1:8" x14ac:dyDescent="0.3">
      <c r="A27" t="s">
        <v>144</v>
      </c>
      <c r="B27" s="1">
        <v>45813</v>
      </c>
      <c r="C27" s="2">
        <v>2813</v>
      </c>
      <c r="D27" t="s">
        <v>145</v>
      </c>
      <c r="E27" t="s">
        <v>19</v>
      </c>
      <c r="F27" s="2">
        <v>2300</v>
      </c>
      <c r="H27" s="2">
        <v>-799745</v>
      </c>
    </row>
    <row r="28" spans="1:8" x14ac:dyDescent="0.3">
      <c r="A28" t="s">
        <v>146</v>
      </c>
      <c r="B28" s="1">
        <v>45813</v>
      </c>
      <c r="C28" s="2">
        <v>2814</v>
      </c>
      <c r="D28" t="s">
        <v>147</v>
      </c>
      <c r="E28" t="s">
        <v>16</v>
      </c>
      <c r="F28" s="2">
        <v>43000</v>
      </c>
      <c r="H28" s="2">
        <v>-756745</v>
      </c>
    </row>
    <row r="29" spans="1:8" x14ac:dyDescent="0.3">
      <c r="A29" t="s">
        <v>148</v>
      </c>
      <c r="B29" s="1">
        <v>45813</v>
      </c>
      <c r="C29" s="2">
        <v>2815</v>
      </c>
      <c r="D29" t="s">
        <v>149</v>
      </c>
      <c r="E29" t="s">
        <v>13</v>
      </c>
      <c r="F29" s="2">
        <v>20000</v>
      </c>
      <c r="H29" s="2">
        <v>-736745</v>
      </c>
    </row>
    <row r="30" spans="1:8" x14ac:dyDescent="0.3">
      <c r="A30" t="s">
        <v>56</v>
      </c>
      <c r="B30" s="1">
        <v>45820</v>
      </c>
      <c r="C30" s="2">
        <v>2858</v>
      </c>
      <c r="D30" t="s">
        <v>28</v>
      </c>
      <c r="E30" t="s">
        <v>19</v>
      </c>
      <c r="F30" s="2">
        <v>450611</v>
      </c>
      <c r="H30" s="2">
        <v>-286134</v>
      </c>
    </row>
    <row r="31" spans="1:8" x14ac:dyDescent="0.3">
      <c r="A31" t="s">
        <v>57</v>
      </c>
      <c r="B31" s="1">
        <v>45820</v>
      </c>
      <c r="C31" s="2">
        <v>2859</v>
      </c>
      <c r="D31" t="s">
        <v>32</v>
      </c>
      <c r="E31" t="s">
        <v>22</v>
      </c>
      <c r="F31" s="2">
        <v>100449</v>
      </c>
      <c r="H31" s="2">
        <v>-185685</v>
      </c>
    </row>
    <row r="32" spans="1:8" x14ac:dyDescent="0.3">
      <c r="A32" t="s">
        <v>58</v>
      </c>
      <c r="B32" s="1">
        <v>45820</v>
      </c>
      <c r="C32" s="2">
        <v>2860</v>
      </c>
      <c r="D32" t="s">
        <v>34</v>
      </c>
      <c r="E32" t="s">
        <v>25</v>
      </c>
      <c r="F32" s="2">
        <v>71087</v>
      </c>
      <c r="H32" s="2">
        <v>-114598</v>
      </c>
    </row>
    <row r="33" spans="1:8" x14ac:dyDescent="0.3">
      <c r="A33" t="s">
        <v>59</v>
      </c>
      <c r="B33" s="1">
        <v>45820</v>
      </c>
      <c r="C33" s="2">
        <v>2861</v>
      </c>
      <c r="D33" t="s">
        <v>38</v>
      </c>
      <c r="E33" t="s">
        <v>13</v>
      </c>
      <c r="F33" s="2">
        <v>79021</v>
      </c>
      <c r="H33" s="2">
        <v>-35577</v>
      </c>
    </row>
    <row r="34" spans="1:8" x14ac:dyDescent="0.3">
      <c r="A34" t="s">
        <v>60</v>
      </c>
      <c r="B34" s="1">
        <v>45820</v>
      </c>
      <c r="C34" s="2">
        <v>2862</v>
      </c>
      <c r="D34" t="s">
        <v>36</v>
      </c>
      <c r="E34" t="s">
        <v>16</v>
      </c>
      <c r="F34" s="2">
        <v>210396</v>
      </c>
      <c r="H34" s="2">
        <v>174819</v>
      </c>
    </row>
    <row r="35" spans="1:8" x14ac:dyDescent="0.3">
      <c r="A35" t="s">
        <v>61</v>
      </c>
      <c r="B35" s="1">
        <v>45820</v>
      </c>
      <c r="C35" s="2">
        <v>2863</v>
      </c>
      <c r="D35" t="s">
        <v>30</v>
      </c>
      <c r="E35" t="s">
        <v>10</v>
      </c>
      <c r="F35" s="2">
        <v>1231423</v>
      </c>
      <c r="H35" s="2">
        <v>1406242</v>
      </c>
    </row>
    <row r="36" spans="1:8" x14ac:dyDescent="0.3">
      <c r="A36" t="s">
        <v>150</v>
      </c>
      <c r="B36" s="1">
        <v>45834</v>
      </c>
      <c r="C36" s="2">
        <v>2817</v>
      </c>
      <c r="D36" t="s">
        <v>151</v>
      </c>
      <c r="E36" t="s">
        <v>67</v>
      </c>
      <c r="F36" s="2">
        <v>9000</v>
      </c>
      <c r="H36" s="2">
        <v>1415242</v>
      </c>
    </row>
    <row r="37" spans="1:8" x14ac:dyDescent="0.3">
      <c r="A37" t="s">
        <v>62</v>
      </c>
      <c r="B37" s="1">
        <v>45834</v>
      </c>
      <c r="C37" s="2">
        <v>2912</v>
      </c>
      <c r="D37" t="s">
        <v>63</v>
      </c>
      <c r="E37" t="s">
        <v>10</v>
      </c>
      <c r="G37" s="2">
        <v>981428</v>
      </c>
      <c r="H37" s="2">
        <v>433814</v>
      </c>
    </row>
    <row r="38" spans="1:8" x14ac:dyDescent="0.3">
      <c r="A38" t="s">
        <v>64</v>
      </c>
      <c r="B38" s="1">
        <v>45834</v>
      </c>
      <c r="C38" s="2">
        <v>2913</v>
      </c>
      <c r="D38" t="s">
        <v>51</v>
      </c>
      <c r="E38" t="s">
        <v>50</v>
      </c>
      <c r="G38" s="2">
        <v>1962244</v>
      </c>
      <c r="H38" s="2">
        <v>-1528430</v>
      </c>
    </row>
    <row r="39" spans="1:8" x14ac:dyDescent="0.3">
      <c r="A39" t="s">
        <v>65</v>
      </c>
      <c r="B39" s="1">
        <v>45834</v>
      </c>
      <c r="C39" s="2">
        <v>2914</v>
      </c>
      <c r="D39" t="s">
        <v>26</v>
      </c>
      <c r="E39" t="s">
        <v>25</v>
      </c>
      <c r="G39" s="2">
        <v>4322</v>
      </c>
      <c r="H39" s="2">
        <v>-1532752</v>
      </c>
    </row>
    <row r="40" spans="1:8" x14ac:dyDescent="0.3">
      <c r="A40" t="s">
        <v>66</v>
      </c>
      <c r="B40" s="1">
        <v>45834</v>
      </c>
      <c r="C40" s="2">
        <v>2915</v>
      </c>
      <c r="D40" t="s">
        <v>68</v>
      </c>
      <c r="E40" t="s">
        <v>67</v>
      </c>
      <c r="G40" s="2">
        <v>39636</v>
      </c>
      <c r="H40" s="2">
        <v>-1572388</v>
      </c>
    </row>
    <row r="41" spans="1:8" x14ac:dyDescent="0.3">
      <c r="A41" t="s">
        <v>69</v>
      </c>
      <c r="B41" s="1">
        <v>45834</v>
      </c>
      <c r="C41" s="2">
        <v>2916</v>
      </c>
      <c r="D41" t="s">
        <v>70</v>
      </c>
      <c r="E41" t="s">
        <v>22</v>
      </c>
      <c r="G41" s="2">
        <v>2020460</v>
      </c>
      <c r="H41" s="2">
        <v>-3592848</v>
      </c>
    </row>
    <row r="42" spans="1:8" x14ac:dyDescent="0.3">
      <c r="A42" t="s">
        <v>71</v>
      </c>
      <c r="B42" s="1">
        <v>45834</v>
      </c>
      <c r="C42" s="2">
        <v>2917</v>
      </c>
      <c r="D42" t="s">
        <v>72</v>
      </c>
      <c r="E42" t="s">
        <v>13</v>
      </c>
      <c r="G42" s="2">
        <v>87617</v>
      </c>
      <c r="H42" s="2">
        <v>-3680465</v>
      </c>
    </row>
    <row r="43" spans="1:8" x14ac:dyDescent="0.3">
      <c r="A43" t="s">
        <v>152</v>
      </c>
      <c r="B43" s="1">
        <v>45845</v>
      </c>
      <c r="C43" s="2">
        <v>3037</v>
      </c>
      <c r="D43" t="s">
        <v>153</v>
      </c>
      <c r="E43" t="s">
        <v>171</v>
      </c>
      <c r="F43" s="2">
        <v>120730</v>
      </c>
      <c r="H43" s="2">
        <v>-3559735</v>
      </c>
    </row>
    <row r="44" spans="1:8" x14ac:dyDescent="0.3">
      <c r="A44" t="s">
        <v>73</v>
      </c>
      <c r="B44" s="1">
        <v>45845</v>
      </c>
      <c r="C44" s="2">
        <v>3041</v>
      </c>
      <c r="D44" t="s">
        <v>74</v>
      </c>
      <c r="E44" t="s">
        <v>10</v>
      </c>
      <c r="F44" s="2">
        <v>33059</v>
      </c>
      <c r="H44" s="2">
        <v>-3526676</v>
      </c>
    </row>
    <row r="45" spans="1:8" x14ac:dyDescent="0.3">
      <c r="A45" t="s">
        <v>75</v>
      </c>
      <c r="B45" s="1">
        <v>45848</v>
      </c>
      <c r="C45" s="2">
        <v>3049</v>
      </c>
      <c r="D45" t="s">
        <v>30</v>
      </c>
      <c r="E45" t="s">
        <v>10</v>
      </c>
      <c r="F45" s="2">
        <v>981428</v>
      </c>
      <c r="H45" s="2">
        <v>-2545248</v>
      </c>
    </row>
    <row r="46" spans="1:8" x14ac:dyDescent="0.3">
      <c r="A46" t="s">
        <v>76</v>
      </c>
      <c r="B46" s="1">
        <v>45848</v>
      </c>
      <c r="C46" s="2">
        <v>3050</v>
      </c>
      <c r="D46" t="s">
        <v>32</v>
      </c>
      <c r="E46" t="s">
        <v>22</v>
      </c>
      <c r="F46" s="2">
        <v>2020460</v>
      </c>
      <c r="H46" s="2">
        <v>-524788</v>
      </c>
    </row>
    <row r="47" spans="1:8" x14ac:dyDescent="0.3">
      <c r="A47" t="s">
        <v>77</v>
      </c>
      <c r="B47" s="1">
        <v>45848</v>
      </c>
      <c r="C47" s="2">
        <v>3051</v>
      </c>
      <c r="D47" t="s">
        <v>34</v>
      </c>
      <c r="E47" t="s">
        <v>25</v>
      </c>
      <c r="F47" s="2">
        <v>20216</v>
      </c>
      <c r="H47" s="2">
        <v>-504572</v>
      </c>
    </row>
    <row r="48" spans="1:8" x14ac:dyDescent="0.3">
      <c r="A48" t="s">
        <v>78</v>
      </c>
      <c r="B48" s="1">
        <v>45848</v>
      </c>
      <c r="C48" s="2">
        <v>3052</v>
      </c>
      <c r="D48" t="s">
        <v>38</v>
      </c>
      <c r="E48" t="s">
        <v>13</v>
      </c>
      <c r="F48" s="2">
        <v>87617</v>
      </c>
      <c r="H48" s="2">
        <v>-416955</v>
      </c>
    </row>
    <row r="49" spans="1:8" x14ac:dyDescent="0.3">
      <c r="A49" t="s">
        <v>79</v>
      </c>
      <c r="B49" s="1">
        <v>45867</v>
      </c>
      <c r="C49" s="2">
        <v>3092</v>
      </c>
      <c r="D49" t="s">
        <v>80</v>
      </c>
      <c r="E49" t="s">
        <v>10</v>
      </c>
      <c r="G49" s="2">
        <v>1861875</v>
      </c>
      <c r="H49" s="2">
        <v>-2278830</v>
      </c>
    </row>
    <row r="50" spans="1:8" x14ac:dyDescent="0.3">
      <c r="A50" t="s">
        <v>81</v>
      </c>
      <c r="B50" s="1">
        <v>45867</v>
      </c>
      <c r="C50" s="2">
        <v>3093</v>
      </c>
      <c r="D50" t="s">
        <v>70</v>
      </c>
      <c r="E50" t="s">
        <v>22</v>
      </c>
      <c r="G50" s="2">
        <v>1476513</v>
      </c>
      <c r="H50" s="2">
        <v>-3755343</v>
      </c>
    </row>
    <row r="51" spans="1:8" x14ac:dyDescent="0.3">
      <c r="A51" t="s">
        <v>82</v>
      </c>
      <c r="B51" s="1">
        <v>45867</v>
      </c>
      <c r="C51" s="2">
        <v>3094</v>
      </c>
      <c r="D51" t="s">
        <v>48</v>
      </c>
      <c r="E51" t="s">
        <v>16</v>
      </c>
      <c r="G51" s="2">
        <v>293855</v>
      </c>
      <c r="H51" s="2">
        <v>-4049198</v>
      </c>
    </row>
    <row r="52" spans="1:8" x14ac:dyDescent="0.3">
      <c r="A52" t="s">
        <v>154</v>
      </c>
      <c r="B52" s="1">
        <v>45867</v>
      </c>
      <c r="C52" s="2">
        <v>3576</v>
      </c>
      <c r="D52" t="s">
        <v>51</v>
      </c>
      <c r="E52" t="s">
        <v>50</v>
      </c>
      <c r="F52" s="2">
        <v>2013763</v>
      </c>
      <c r="H52" s="2">
        <v>-2035435</v>
      </c>
    </row>
    <row r="53" spans="1:8" x14ac:dyDescent="0.3">
      <c r="A53" t="s">
        <v>154</v>
      </c>
      <c r="B53" s="1">
        <v>45867</v>
      </c>
      <c r="C53" s="2">
        <v>3576</v>
      </c>
      <c r="D53" t="s">
        <v>51</v>
      </c>
      <c r="E53" t="s">
        <v>50</v>
      </c>
      <c r="G53" s="2">
        <v>2831745</v>
      </c>
      <c r="H53" s="2">
        <v>-4867180</v>
      </c>
    </row>
    <row r="54" spans="1:8" x14ac:dyDescent="0.3">
      <c r="A54" t="s">
        <v>83</v>
      </c>
      <c r="B54" s="1">
        <v>45869</v>
      </c>
      <c r="C54" s="2">
        <v>3271</v>
      </c>
      <c r="D54" t="s">
        <v>84</v>
      </c>
      <c r="E54" t="s">
        <v>10</v>
      </c>
      <c r="G54" s="2">
        <v>1913232</v>
      </c>
      <c r="H54" s="2">
        <v>-6780412</v>
      </c>
    </row>
    <row r="55" spans="1:8" x14ac:dyDescent="0.3">
      <c r="A55" t="s">
        <v>85</v>
      </c>
      <c r="B55" s="1">
        <v>45869</v>
      </c>
      <c r="C55" s="2">
        <v>3272</v>
      </c>
      <c r="D55" t="s">
        <v>86</v>
      </c>
      <c r="E55" t="s">
        <v>10</v>
      </c>
      <c r="G55" s="2">
        <v>2328147</v>
      </c>
      <c r="H55" s="2">
        <v>-9108559</v>
      </c>
    </row>
    <row r="56" spans="1:8" x14ac:dyDescent="0.3">
      <c r="A56" t="s">
        <v>87</v>
      </c>
      <c r="B56" s="1">
        <v>45869</v>
      </c>
      <c r="C56" s="2">
        <v>3273</v>
      </c>
      <c r="D56" t="s">
        <v>88</v>
      </c>
      <c r="E56" t="s">
        <v>10</v>
      </c>
      <c r="G56" s="2">
        <v>1497172</v>
      </c>
      <c r="H56" s="2">
        <v>-10605731</v>
      </c>
    </row>
    <row r="57" spans="1:8" x14ac:dyDescent="0.3">
      <c r="A57" t="s">
        <v>89</v>
      </c>
      <c r="B57" s="1">
        <v>45869</v>
      </c>
      <c r="C57" s="2">
        <v>3275</v>
      </c>
      <c r="D57" t="s">
        <v>90</v>
      </c>
      <c r="E57" t="s">
        <v>19</v>
      </c>
      <c r="G57" s="2">
        <v>260913</v>
      </c>
      <c r="H57" s="2">
        <v>-10866644</v>
      </c>
    </row>
    <row r="58" spans="1:8" x14ac:dyDescent="0.3">
      <c r="A58" t="s">
        <v>91</v>
      </c>
      <c r="B58" s="1">
        <v>45869</v>
      </c>
      <c r="C58" s="2">
        <v>3276</v>
      </c>
      <c r="D58" t="s">
        <v>92</v>
      </c>
      <c r="E58" t="s">
        <v>22</v>
      </c>
      <c r="G58" s="2">
        <v>3388645</v>
      </c>
      <c r="H58" s="2">
        <v>-14255289</v>
      </c>
    </row>
    <row r="59" spans="1:8" x14ac:dyDescent="0.3">
      <c r="A59" t="s">
        <v>93</v>
      </c>
      <c r="B59" s="1">
        <v>45869</v>
      </c>
      <c r="C59" s="2">
        <v>3284</v>
      </c>
      <c r="D59" t="s">
        <v>94</v>
      </c>
      <c r="E59" t="s">
        <v>25</v>
      </c>
      <c r="G59" s="2">
        <v>181839</v>
      </c>
      <c r="H59" s="2">
        <v>-14437128</v>
      </c>
    </row>
    <row r="60" spans="1:8" x14ac:dyDescent="0.3">
      <c r="A60" t="s">
        <v>95</v>
      </c>
      <c r="B60" s="1">
        <v>45869</v>
      </c>
      <c r="C60" s="2">
        <v>3286</v>
      </c>
      <c r="D60" t="s">
        <v>96</v>
      </c>
      <c r="E60" t="s">
        <v>16</v>
      </c>
      <c r="G60" s="2">
        <v>650343</v>
      </c>
      <c r="H60" s="2">
        <v>-15087471</v>
      </c>
    </row>
    <row r="61" spans="1:8" x14ac:dyDescent="0.3">
      <c r="A61" t="s">
        <v>97</v>
      </c>
      <c r="B61" s="1">
        <v>45869</v>
      </c>
      <c r="C61" s="2">
        <v>3287</v>
      </c>
      <c r="D61" t="s">
        <v>98</v>
      </c>
      <c r="E61" t="s">
        <v>13</v>
      </c>
      <c r="G61" s="2">
        <v>3652188</v>
      </c>
      <c r="H61" s="2">
        <v>-18739659</v>
      </c>
    </row>
    <row r="62" spans="1:8" x14ac:dyDescent="0.3">
      <c r="A62" t="s">
        <v>99</v>
      </c>
      <c r="B62" s="1">
        <v>45869</v>
      </c>
      <c r="C62" s="2">
        <v>3299</v>
      </c>
      <c r="D62" t="s">
        <v>100</v>
      </c>
      <c r="E62" t="s">
        <v>19</v>
      </c>
      <c r="G62" s="2">
        <v>3872</v>
      </c>
      <c r="H62" s="2">
        <v>-18743531</v>
      </c>
    </row>
    <row r="63" spans="1:8" x14ac:dyDescent="0.3">
      <c r="A63" t="s">
        <v>101</v>
      </c>
      <c r="B63" s="1">
        <v>45869</v>
      </c>
      <c r="C63" s="2">
        <v>3300</v>
      </c>
      <c r="D63" t="s">
        <v>102</v>
      </c>
      <c r="E63" t="s">
        <v>25</v>
      </c>
      <c r="G63" s="2">
        <v>819483</v>
      </c>
      <c r="H63" s="2">
        <v>-19563014</v>
      </c>
    </row>
    <row r="64" spans="1:8" x14ac:dyDescent="0.3">
      <c r="A64" t="s">
        <v>103</v>
      </c>
      <c r="B64" s="1">
        <v>45869</v>
      </c>
      <c r="C64" s="2">
        <v>3301</v>
      </c>
      <c r="D64" t="s">
        <v>104</v>
      </c>
      <c r="E64" t="s">
        <v>22</v>
      </c>
      <c r="G64" s="2">
        <v>1326542</v>
      </c>
      <c r="H64" s="2">
        <v>-20889556</v>
      </c>
    </row>
    <row r="65" spans="1:8" x14ac:dyDescent="0.3">
      <c r="A65" t="s">
        <v>105</v>
      </c>
      <c r="B65" s="1">
        <v>45869</v>
      </c>
      <c r="C65" s="2">
        <v>3302</v>
      </c>
      <c r="D65" t="s">
        <v>106</v>
      </c>
      <c r="E65" t="s">
        <v>13</v>
      </c>
      <c r="G65" s="2">
        <v>715411</v>
      </c>
      <c r="H65" s="2">
        <v>-21604967</v>
      </c>
    </row>
    <row r="66" spans="1:8" x14ac:dyDescent="0.3">
      <c r="A66" t="s">
        <v>107</v>
      </c>
      <c r="B66" s="1">
        <v>45869</v>
      </c>
      <c r="C66" s="2">
        <v>3303</v>
      </c>
      <c r="D66" t="s">
        <v>108</v>
      </c>
      <c r="E66" t="s">
        <v>16</v>
      </c>
      <c r="G66" s="2">
        <v>20962</v>
      </c>
      <c r="H66" s="2">
        <v>-21625929</v>
      </c>
    </row>
    <row r="67" spans="1:8" x14ac:dyDescent="0.3">
      <c r="A67" t="s">
        <v>109</v>
      </c>
      <c r="B67" s="1">
        <v>45869</v>
      </c>
      <c r="C67" s="2">
        <v>3304</v>
      </c>
      <c r="D67" t="s">
        <v>110</v>
      </c>
      <c r="E67" t="s">
        <v>19</v>
      </c>
      <c r="G67" s="2">
        <v>305442</v>
      </c>
      <c r="H67" s="2">
        <v>-21931371</v>
      </c>
    </row>
    <row r="68" spans="1:8" x14ac:dyDescent="0.3">
      <c r="A68" t="s">
        <v>111</v>
      </c>
      <c r="B68" s="1">
        <v>45869</v>
      </c>
      <c r="C68" s="2">
        <v>3305</v>
      </c>
      <c r="D68" t="s">
        <v>112</v>
      </c>
      <c r="E68" t="s">
        <v>25</v>
      </c>
      <c r="G68" s="2">
        <v>221541</v>
      </c>
      <c r="H68" s="2">
        <v>-22152912</v>
      </c>
    </row>
    <row r="69" spans="1:8" x14ac:dyDescent="0.3">
      <c r="A69" t="s">
        <v>113</v>
      </c>
      <c r="B69" s="1">
        <v>45869</v>
      </c>
      <c r="C69" s="2">
        <v>3306</v>
      </c>
      <c r="D69" t="s">
        <v>114</v>
      </c>
      <c r="E69" t="s">
        <v>22</v>
      </c>
      <c r="G69" s="2">
        <v>46444</v>
      </c>
      <c r="H69" s="2">
        <v>-22199356</v>
      </c>
    </row>
    <row r="70" spans="1:8" x14ac:dyDescent="0.3">
      <c r="A70" t="s">
        <v>115</v>
      </c>
      <c r="B70" s="1">
        <v>45869</v>
      </c>
      <c r="C70" s="2">
        <v>3307</v>
      </c>
      <c r="D70" t="s">
        <v>116</v>
      </c>
      <c r="E70" t="s">
        <v>13</v>
      </c>
      <c r="G70" s="2">
        <v>2623654</v>
      </c>
      <c r="H70" s="2">
        <v>-24823010</v>
      </c>
    </row>
    <row r="71" spans="1:8" x14ac:dyDescent="0.3">
      <c r="A71" t="s">
        <v>155</v>
      </c>
      <c r="B71" s="1">
        <v>45869</v>
      </c>
      <c r="C71" s="2">
        <v>3451</v>
      </c>
      <c r="D71" t="s">
        <v>156</v>
      </c>
      <c r="E71" t="s">
        <v>22</v>
      </c>
      <c r="G71" s="2">
        <v>13037</v>
      </c>
      <c r="H71" s="2">
        <v>-24836047</v>
      </c>
    </row>
    <row r="72" spans="1:8" x14ac:dyDescent="0.3">
      <c r="A72" t="s">
        <v>157</v>
      </c>
      <c r="B72" s="1">
        <v>45869</v>
      </c>
      <c r="C72" s="2">
        <v>3453</v>
      </c>
      <c r="D72" t="s">
        <v>135</v>
      </c>
      <c r="E72" t="s">
        <v>13</v>
      </c>
      <c r="G72" s="2">
        <v>121678</v>
      </c>
      <c r="H72" s="2">
        <v>-24957725</v>
      </c>
    </row>
    <row r="73" spans="1:8" x14ac:dyDescent="0.3">
      <c r="A73" t="s">
        <v>158</v>
      </c>
      <c r="B73" s="1">
        <v>45869</v>
      </c>
      <c r="C73" s="2">
        <v>3454</v>
      </c>
      <c r="D73" t="s">
        <v>159</v>
      </c>
      <c r="E73" t="s">
        <v>19</v>
      </c>
      <c r="G73" s="2">
        <v>235579</v>
      </c>
      <c r="H73" s="2">
        <v>-25193304</v>
      </c>
    </row>
    <row r="74" spans="1:8" x14ac:dyDescent="0.3">
      <c r="A74" t="s">
        <v>160</v>
      </c>
      <c r="B74" s="1">
        <v>45869</v>
      </c>
      <c r="C74" s="2">
        <v>3458</v>
      </c>
      <c r="D74" t="s">
        <v>161</v>
      </c>
      <c r="E74" t="s">
        <v>10</v>
      </c>
      <c r="G74" s="2">
        <v>460158</v>
      </c>
      <c r="H74" s="2">
        <v>-25653462</v>
      </c>
    </row>
    <row r="75" spans="1:8" x14ac:dyDescent="0.3">
      <c r="A75" t="s">
        <v>160</v>
      </c>
      <c r="B75" s="1">
        <v>45869</v>
      </c>
      <c r="C75" s="2">
        <v>3458</v>
      </c>
      <c r="D75" t="s">
        <v>161</v>
      </c>
      <c r="E75" t="s">
        <v>10</v>
      </c>
      <c r="G75" s="2">
        <v>100167</v>
      </c>
      <c r="H75" s="2">
        <v>-25753629</v>
      </c>
    </row>
    <row r="76" spans="1:8" x14ac:dyDescent="0.3">
      <c r="A76" t="s">
        <v>160</v>
      </c>
      <c r="B76" s="1">
        <v>45869</v>
      </c>
      <c r="C76" s="2">
        <v>3458</v>
      </c>
      <c r="D76" t="s">
        <v>161</v>
      </c>
      <c r="E76" t="s">
        <v>10</v>
      </c>
      <c r="G76" s="2">
        <v>289020</v>
      </c>
      <c r="H76" s="2">
        <v>-26042649</v>
      </c>
    </row>
    <row r="77" spans="1:8" x14ac:dyDescent="0.3">
      <c r="A77" t="s">
        <v>160</v>
      </c>
      <c r="B77" s="1">
        <v>45869</v>
      </c>
      <c r="C77" s="2">
        <v>3458</v>
      </c>
      <c r="D77" t="s">
        <v>161</v>
      </c>
      <c r="E77" t="s">
        <v>10</v>
      </c>
      <c r="G77" s="2">
        <v>356370</v>
      </c>
      <c r="H77" s="2">
        <v>-26399019</v>
      </c>
    </row>
    <row r="78" spans="1:8" x14ac:dyDescent="0.3">
      <c r="A78" t="s">
        <v>162</v>
      </c>
      <c r="B78" s="1">
        <v>45869</v>
      </c>
      <c r="C78" s="2">
        <v>3459</v>
      </c>
      <c r="D78" t="s">
        <v>163</v>
      </c>
      <c r="E78" t="s">
        <v>16</v>
      </c>
      <c r="G78" s="2">
        <v>118170</v>
      </c>
      <c r="H78" s="2">
        <v>-26517189</v>
      </c>
    </row>
    <row r="79" spans="1:8" x14ac:dyDescent="0.3">
      <c r="A79" t="s">
        <v>162</v>
      </c>
      <c r="B79" s="1">
        <v>45869</v>
      </c>
      <c r="C79" s="2">
        <v>3459</v>
      </c>
      <c r="D79" t="s">
        <v>163</v>
      </c>
      <c r="E79" t="s">
        <v>16</v>
      </c>
      <c r="G79" s="2">
        <v>289936</v>
      </c>
      <c r="H79" s="2">
        <v>-26807125</v>
      </c>
    </row>
    <row r="80" spans="1:8" x14ac:dyDescent="0.3">
      <c r="A80" t="s">
        <v>164</v>
      </c>
      <c r="B80" s="1">
        <v>45869</v>
      </c>
      <c r="C80" s="2">
        <v>3460</v>
      </c>
      <c r="D80" t="s">
        <v>165</v>
      </c>
      <c r="E80" t="s">
        <v>13</v>
      </c>
      <c r="G80" s="2">
        <v>384120</v>
      </c>
      <c r="H80" s="2">
        <v>-27191245</v>
      </c>
    </row>
    <row r="81" spans="1:8" x14ac:dyDescent="0.3">
      <c r="A81" t="s">
        <v>164</v>
      </c>
      <c r="B81" s="1">
        <v>45869</v>
      </c>
      <c r="C81" s="2">
        <v>3460</v>
      </c>
      <c r="D81" t="s">
        <v>165</v>
      </c>
      <c r="E81" t="s">
        <v>13</v>
      </c>
      <c r="G81" s="2">
        <v>9397</v>
      </c>
      <c r="H81" s="2">
        <v>-27200642</v>
      </c>
    </row>
    <row r="82" spans="1:8" x14ac:dyDescent="0.3">
      <c r="A82" t="s">
        <v>117</v>
      </c>
      <c r="B82" s="1">
        <v>45869</v>
      </c>
      <c r="C82" s="2">
        <v>3461</v>
      </c>
      <c r="D82" t="s">
        <v>118</v>
      </c>
      <c r="E82" t="s">
        <v>13</v>
      </c>
      <c r="G82" s="2">
        <v>22780</v>
      </c>
      <c r="H82" s="2">
        <v>-27223422</v>
      </c>
    </row>
    <row r="83" spans="1:8" x14ac:dyDescent="0.3">
      <c r="A83" t="s">
        <v>166</v>
      </c>
      <c r="B83" s="1">
        <v>45869</v>
      </c>
      <c r="C83" s="2">
        <v>3462</v>
      </c>
      <c r="D83" t="s">
        <v>167</v>
      </c>
      <c r="E83" t="s">
        <v>67</v>
      </c>
      <c r="G83" s="2">
        <v>9000</v>
      </c>
      <c r="H83" s="2">
        <v>-27232422</v>
      </c>
    </row>
    <row r="84" spans="1:8" x14ac:dyDescent="0.3">
      <c r="A84" t="s">
        <v>166</v>
      </c>
      <c r="B84" s="1">
        <v>45869</v>
      </c>
      <c r="C84" s="2">
        <v>3462</v>
      </c>
      <c r="D84" t="s">
        <v>167</v>
      </c>
      <c r="E84" t="s">
        <v>67</v>
      </c>
      <c r="G84" s="2">
        <v>19500</v>
      </c>
      <c r="H84" s="2">
        <v>-27251922</v>
      </c>
    </row>
    <row r="85" spans="1:8" x14ac:dyDescent="0.3">
      <c r="A85" t="s">
        <v>168</v>
      </c>
      <c r="B85" s="1">
        <v>45869</v>
      </c>
      <c r="C85" s="2">
        <v>3465</v>
      </c>
      <c r="D85" t="s">
        <v>169</v>
      </c>
      <c r="E85" t="s">
        <v>25</v>
      </c>
      <c r="G85" s="2">
        <v>100602</v>
      </c>
      <c r="H85" s="2">
        <v>-27352524</v>
      </c>
    </row>
    <row r="86" spans="1:8" x14ac:dyDescent="0.3">
      <c r="A86" t="s">
        <v>119</v>
      </c>
      <c r="F86" s="2">
        <v>13666145</v>
      </c>
      <c r="G86" s="2">
        <v>41018669</v>
      </c>
    </row>
    <row r="87" spans="1:8" x14ac:dyDescent="0.3">
      <c r="A87" t="s">
        <v>120</v>
      </c>
      <c r="H87" s="3">
        <v>-27352524</v>
      </c>
    </row>
  </sheetData>
  <autoFilter ref="A1:H176" xr:uid="{FA18DD4E-B4E2-4460-A19A-B0D83EB9B7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22AD-B880-49C6-8655-C0D728F8AE68}">
  <dimension ref="A1:I107"/>
  <sheetViews>
    <sheetView topLeftCell="A97" workbookViewId="0">
      <selection activeCell="E16" sqref="E16"/>
    </sheetView>
  </sheetViews>
  <sheetFormatPr baseColWidth="10" defaultRowHeight="14" x14ac:dyDescent="0.3"/>
  <cols>
    <col min="4" max="4" width="25.69921875" customWidth="1"/>
    <col min="5" max="5" width="24.3984375" customWidth="1"/>
    <col min="6" max="6" width="9.69921875" customWidth="1"/>
  </cols>
  <sheetData>
    <row r="1" spans="1:9" s="14" customFormat="1" x14ac:dyDescent="0.3">
      <c r="A1" s="14" t="s">
        <v>1</v>
      </c>
      <c r="B1" s="14" t="s">
        <v>2</v>
      </c>
      <c r="C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x14ac:dyDescent="0.3">
      <c r="A2" t="s">
        <v>172</v>
      </c>
      <c r="B2" s="1">
        <v>45693</v>
      </c>
      <c r="C2" s="2">
        <v>2278</v>
      </c>
      <c r="D2" t="s">
        <v>173</v>
      </c>
      <c r="E2" t="s">
        <v>22</v>
      </c>
      <c r="G2" s="2">
        <v>1611355</v>
      </c>
      <c r="I2" s="2">
        <v>1611355</v>
      </c>
    </row>
    <row r="3" spans="1:9" x14ac:dyDescent="0.3">
      <c r="A3" t="s">
        <v>174</v>
      </c>
      <c r="B3" s="1">
        <v>45693</v>
      </c>
      <c r="C3" s="2">
        <v>2280</v>
      </c>
      <c r="D3" t="s">
        <v>173</v>
      </c>
      <c r="E3" t="s">
        <v>13</v>
      </c>
      <c r="G3" s="2">
        <v>3652188</v>
      </c>
      <c r="I3" s="2">
        <v>5263543</v>
      </c>
    </row>
    <row r="4" spans="1:9" x14ac:dyDescent="0.3">
      <c r="A4" t="s">
        <v>175</v>
      </c>
      <c r="B4" s="1">
        <v>45701</v>
      </c>
      <c r="C4" s="2">
        <v>2281</v>
      </c>
      <c r="D4" t="s">
        <v>173</v>
      </c>
      <c r="E4" t="s">
        <v>19</v>
      </c>
      <c r="G4" s="2">
        <v>260913</v>
      </c>
      <c r="I4" s="2">
        <v>5524456</v>
      </c>
    </row>
    <row r="5" spans="1:9" x14ac:dyDescent="0.3">
      <c r="A5" t="s">
        <v>176</v>
      </c>
      <c r="B5" s="1">
        <v>45701</v>
      </c>
      <c r="C5" s="2">
        <v>2282</v>
      </c>
      <c r="D5" t="s">
        <v>173</v>
      </c>
      <c r="E5" t="s">
        <v>16</v>
      </c>
      <c r="G5" s="2">
        <v>650343</v>
      </c>
      <c r="I5" s="2">
        <v>6174799</v>
      </c>
    </row>
    <row r="6" spans="1:9" x14ac:dyDescent="0.3">
      <c r="A6" t="s">
        <v>177</v>
      </c>
      <c r="B6" s="1">
        <v>45701</v>
      </c>
      <c r="C6" s="2">
        <v>2283</v>
      </c>
      <c r="D6" t="s">
        <v>173</v>
      </c>
      <c r="E6" t="s">
        <v>25</v>
      </c>
      <c r="G6" s="2">
        <v>181839</v>
      </c>
      <c r="I6" s="2">
        <v>6356638</v>
      </c>
    </row>
    <row r="7" spans="1:9" x14ac:dyDescent="0.3">
      <c r="A7" t="s">
        <v>178</v>
      </c>
      <c r="B7" s="1">
        <v>45701</v>
      </c>
      <c r="C7" s="2">
        <v>2284</v>
      </c>
      <c r="D7" t="s">
        <v>173</v>
      </c>
      <c r="E7" t="s">
        <v>22</v>
      </c>
      <c r="G7" s="2">
        <v>1777290</v>
      </c>
      <c r="I7" s="2">
        <v>8133928</v>
      </c>
    </row>
    <row r="8" spans="1:9" x14ac:dyDescent="0.3">
      <c r="A8" t="s">
        <v>179</v>
      </c>
      <c r="B8" s="1">
        <v>45729</v>
      </c>
      <c r="C8" s="2">
        <v>2342</v>
      </c>
      <c r="D8" t="s">
        <v>180</v>
      </c>
      <c r="E8" t="s">
        <v>19</v>
      </c>
      <c r="G8" s="2">
        <v>3872</v>
      </c>
      <c r="I8" s="2">
        <v>8137800</v>
      </c>
    </row>
    <row r="9" spans="1:9" x14ac:dyDescent="0.3">
      <c r="A9" t="s">
        <v>181</v>
      </c>
      <c r="B9" s="1">
        <v>45729</v>
      </c>
      <c r="C9" s="2">
        <v>2343</v>
      </c>
      <c r="D9" t="s">
        <v>180</v>
      </c>
      <c r="E9" t="s">
        <v>16</v>
      </c>
      <c r="G9" s="2">
        <v>20962</v>
      </c>
      <c r="I9" s="2">
        <v>8158762</v>
      </c>
    </row>
    <row r="10" spans="1:9" x14ac:dyDescent="0.3">
      <c r="A10" t="s">
        <v>182</v>
      </c>
      <c r="B10" s="1">
        <v>45729</v>
      </c>
      <c r="C10" s="2">
        <v>2344</v>
      </c>
      <c r="D10" t="s">
        <v>180</v>
      </c>
      <c r="E10" t="s">
        <v>25</v>
      </c>
      <c r="G10" s="2">
        <v>819483</v>
      </c>
      <c r="I10" s="2">
        <v>8978245</v>
      </c>
    </row>
    <row r="11" spans="1:9" x14ac:dyDescent="0.3">
      <c r="A11" t="s">
        <v>134</v>
      </c>
      <c r="B11" s="1">
        <v>45750</v>
      </c>
      <c r="C11" s="2">
        <v>2493</v>
      </c>
      <c r="D11" t="s">
        <v>135</v>
      </c>
      <c r="E11" t="s">
        <v>13</v>
      </c>
      <c r="G11" s="2">
        <v>121678</v>
      </c>
      <c r="I11" s="2">
        <v>9099923</v>
      </c>
    </row>
    <row r="12" spans="1:9" x14ac:dyDescent="0.3">
      <c r="A12" t="s">
        <v>183</v>
      </c>
      <c r="B12" s="1">
        <v>45762</v>
      </c>
      <c r="C12" s="2">
        <v>2508</v>
      </c>
      <c r="D12" t="s">
        <v>184</v>
      </c>
      <c r="E12" t="s">
        <v>25</v>
      </c>
      <c r="G12" s="2">
        <v>221541</v>
      </c>
      <c r="I12" s="2">
        <v>9321464</v>
      </c>
    </row>
    <row r="13" spans="1:9" x14ac:dyDescent="0.3">
      <c r="A13" t="s">
        <v>185</v>
      </c>
      <c r="B13" s="1">
        <v>45762</v>
      </c>
      <c r="C13" s="2">
        <v>2509</v>
      </c>
      <c r="D13" t="s">
        <v>186</v>
      </c>
      <c r="E13" t="s">
        <v>22</v>
      </c>
      <c r="G13" s="2">
        <v>46444</v>
      </c>
      <c r="I13" s="2">
        <v>9367908</v>
      </c>
    </row>
    <row r="14" spans="1:9" x14ac:dyDescent="0.3">
      <c r="A14" t="s">
        <v>187</v>
      </c>
      <c r="B14" s="1">
        <v>45762</v>
      </c>
      <c r="C14" s="2">
        <v>2510</v>
      </c>
      <c r="D14" t="s">
        <v>188</v>
      </c>
      <c r="E14" t="s">
        <v>10</v>
      </c>
      <c r="G14" s="2">
        <v>1497172</v>
      </c>
      <c r="I14" s="2">
        <v>10865080</v>
      </c>
    </row>
    <row r="15" spans="1:9" x14ac:dyDescent="0.3">
      <c r="A15" t="s">
        <v>189</v>
      </c>
      <c r="B15" s="1">
        <v>45762</v>
      </c>
      <c r="C15" s="2">
        <v>2511</v>
      </c>
      <c r="D15" t="s">
        <v>190</v>
      </c>
      <c r="E15" t="s">
        <v>19</v>
      </c>
      <c r="G15" s="2">
        <v>305442</v>
      </c>
      <c r="I15" s="2">
        <v>11170522</v>
      </c>
    </row>
    <row r="16" spans="1:9" x14ac:dyDescent="0.3">
      <c r="A16" t="s">
        <v>191</v>
      </c>
      <c r="B16" s="1">
        <v>45762</v>
      </c>
      <c r="C16" s="2">
        <v>2512</v>
      </c>
      <c r="D16" t="s">
        <v>192</v>
      </c>
      <c r="E16" t="s">
        <v>13</v>
      </c>
      <c r="G16" s="2">
        <v>2623654</v>
      </c>
      <c r="I16" s="2">
        <v>13794176</v>
      </c>
    </row>
    <row r="17" spans="1:9" x14ac:dyDescent="0.3">
      <c r="A17" t="s">
        <v>9</v>
      </c>
      <c r="B17" s="1">
        <v>45772</v>
      </c>
      <c r="C17" s="2">
        <v>2553</v>
      </c>
      <c r="D17" t="s">
        <v>11</v>
      </c>
      <c r="E17" t="s">
        <v>10</v>
      </c>
      <c r="H17" s="2">
        <v>3070443</v>
      </c>
      <c r="I17" s="2">
        <v>10723733</v>
      </c>
    </row>
    <row r="18" spans="1:9" x14ac:dyDescent="0.3">
      <c r="A18" t="s">
        <v>12</v>
      </c>
      <c r="B18" s="1">
        <v>45772</v>
      </c>
      <c r="C18" s="2">
        <v>2554</v>
      </c>
      <c r="D18" t="s">
        <v>14</v>
      </c>
      <c r="E18" t="s">
        <v>13</v>
      </c>
      <c r="H18" s="2">
        <v>1901018</v>
      </c>
      <c r="I18" s="2">
        <v>8822715</v>
      </c>
    </row>
    <row r="19" spans="1:9" x14ac:dyDescent="0.3">
      <c r="A19" t="s">
        <v>15</v>
      </c>
      <c r="B19" s="1">
        <v>45772</v>
      </c>
      <c r="C19" s="2">
        <v>2555</v>
      </c>
      <c r="D19" t="s">
        <v>17</v>
      </c>
      <c r="E19" t="s">
        <v>16</v>
      </c>
      <c r="H19" s="2">
        <v>122074</v>
      </c>
      <c r="I19" s="2">
        <v>8700641</v>
      </c>
    </row>
    <row r="20" spans="1:9" x14ac:dyDescent="0.3">
      <c r="A20" t="s">
        <v>18</v>
      </c>
      <c r="B20" s="1">
        <v>45772</v>
      </c>
      <c r="C20" s="2">
        <v>2556</v>
      </c>
      <c r="D20" t="s">
        <v>20</v>
      </c>
      <c r="E20" t="s">
        <v>19</v>
      </c>
      <c r="H20" s="2">
        <v>100022</v>
      </c>
      <c r="I20" s="2">
        <v>8600619</v>
      </c>
    </row>
    <row r="21" spans="1:9" x14ac:dyDescent="0.3">
      <c r="A21" t="s">
        <v>21</v>
      </c>
      <c r="B21" s="1">
        <v>45772</v>
      </c>
      <c r="C21" s="2">
        <v>2561</v>
      </c>
      <c r="D21" t="s">
        <v>23</v>
      </c>
      <c r="E21" t="s">
        <v>22</v>
      </c>
      <c r="H21" s="2">
        <v>806870</v>
      </c>
      <c r="I21" s="2">
        <v>7793749</v>
      </c>
    </row>
    <row r="22" spans="1:9" x14ac:dyDescent="0.3">
      <c r="A22" t="s">
        <v>24</v>
      </c>
      <c r="B22" s="1">
        <v>45772</v>
      </c>
      <c r="C22" s="2">
        <v>2939</v>
      </c>
      <c r="D22" t="s">
        <v>26</v>
      </c>
      <c r="E22" t="s">
        <v>25</v>
      </c>
      <c r="H22" s="2">
        <v>5014</v>
      </c>
      <c r="I22" s="2">
        <v>7788735</v>
      </c>
    </row>
    <row r="23" spans="1:9" x14ac:dyDescent="0.3">
      <c r="A23" t="s">
        <v>136</v>
      </c>
      <c r="B23" s="1">
        <v>45785</v>
      </c>
      <c r="C23" s="2">
        <v>2721</v>
      </c>
      <c r="D23" t="s">
        <v>137</v>
      </c>
      <c r="E23" t="s">
        <v>13</v>
      </c>
      <c r="G23" s="2">
        <v>22780</v>
      </c>
      <c r="I23" s="2">
        <v>7811515</v>
      </c>
    </row>
    <row r="24" spans="1:9" x14ac:dyDescent="0.3">
      <c r="A24" t="s">
        <v>138</v>
      </c>
      <c r="B24" s="1">
        <v>45785</v>
      </c>
      <c r="C24" s="2">
        <v>2723</v>
      </c>
      <c r="D24" t="s">
        <v>139</v>
      </c>
      <c r="E24" t="s">
        <v>22</v>
      </c>
      <c r="G24" s="2">
        <v>15336</v>
      </c>
      <c r="I24" s="2">
        <v>7826851</v>
      </c>
    </row>
    <row r="25" spans="1:9" x14ac:dyDescent="0.3">
      <c r="A25" t="s">
        <v>27</v>
      </c>
      <c r="B25" s="1">
        <v>45792</v>
      </c>
      <c r="C25" s="2">
        <v>2742</v>
      </c>
      <c r="D25" t="s">
        <v>28</v>
      </c>
      <c r="E25" t="s">
        <v>19</v>
      </c>
      <c r="G25" s="2">
        <v>100022</v>
      </c>
      <c r="I25" s="2">
        <v>7926873</v>
      </c>
    </row>
    <row r="26" spans="1:9" x14ac:dyDescent="0.3">
      <c r="A26" t="s">
        <v>29</v>
      </c>
      <c r="B26" s="1">
        <v>45792</v>
      </c>
      <c r="C26" s="2">
        <v>2743</v>
      </c>
      <c r="D26" t="s">
        <v>30</v>
      </c>
      <c r="E26" t="s">
        <v>10</v>
      </c>
      <c r="G26" s="2">
        <v>3070443</v>
      </c>
      <c r="I26" s="2">
        <v>10997316</v>
      </c>
    </row>
    <row r="27" spans="1:9" x14ac:dyDescent="0.3">
      <c r="A27" t="s">
        <v>31</v>
      </c>
      <c r="B27" s="1">
        <v>45792</v>
      </c>
      <c r="C27" s="2">
        <v>2744</v>
      </c>
      <c r="D27" t="s">
        <v>32</v>
      </c>
      <c r="E27" t="s">
        <v>22</v>
      </c>
      <c r="G27" s="2">
        <v>806870</v>
      </c>
      <c r="I27" s="2">
        <v>11804186</v>
      </c>
    </row>
    <row r="28" spans="1:9" x14ac:dyDescent="0.3">
      <c r="A28" t="s">
        <v>33</v>
      </c>
      <c r="B28" s="1">
        <v>45792</v>
      </c>
      <c r="C28" s="2">
        <v>2745</v>
      </c>
      <c r="D28" t="s">
        <v>34</v>
      </c>
      <c r="E28" t="s">
        <v>25</v>
      </c>
      <c r="G28" s="2">
        <v>5014</v>
      </c>
      <c r="I28" s="2">
        <v>11809200</v>
      </c>
    </row>
    <row r="29" spans="1:9" x14ac:dyDescent="0.3">
      <c r="A29" t="s">
        <v>35</v>
      </c>
      <c r="B29" s="1">
        <v>45792</v>
      </c>
      <c r="C29" s="2">
        <v>2746</v>
      </c>
      <c r="D29" t="s">
        <v>36</v>
      </c>
      <c r="E29" t="s">
        <v>16</v>
      </c>
      <c r="G29" s="2">
        <v>72314</v>
      </c>
      <c r="I29" s="2">
        <v>11881514</v>
      </c>
    </row>
    <row r="30" spans="1:9" x14ac:dyDescent="0.3">
      <c r="A30" t="s">
        <v>37</v>
      </c>
      <c r="B30" s="1">
        <v>45792</v>
      </c>
      <c r="C30" s="2">
        <v>2749</v>
      </c>
      <c r="D30" t="s">
        <v>38</v>
      </c>
      <c r="E30" t="s">
        <v>13</v>
      </c>
      <c r="G30" s="2">
        <v>1901018</v>
      </c>
      <c r="I30" s="2">
        <v>13782532</v>
      </c>
    </row>
    <row r="31" spans="1:9" x14ac:dyDescent="0.3">
      <c r="A31" t="s">
        <v>39</v>
      </c>
      <c r="B31" s="1">
        <v>45805</v>
      </c>
      <c r="C31" s="2">
        <v>2906</v>
      </c>
      <c r="D31" t="s">
        <v>20</v>
      </c>
      <c r="E31" t="s">
        <v>19</v>
      </c>
      <c r="H31" s="2">
        <v>450611</v>
      </c>
      <c r="I31" s="2">
        <v>13331921</v>
      </c>
    </row>
    <row r="32" spans="1:9" x14ac:dyDescent="0.3">
      <c r="A32" t="s">
        <v>40</v>
      </c>
      <c r="B32" s="1">
        <v>45805</v>
      </c>
      <c r="C32" s="2">
        <v>2907</v>
      </c>
      <c r="D32" t="s">
        <v>11</v>
      </c>
      <c r="E32" t="s">
        <v>10</v>
      </c>
      <c r="H32" s="2">
        <v>1231423</v>
      </c>
      <c r="I32" s="2">
        <v>12100498</v>
      </c>
    </row>
    <row r="33" spans="1:9" x14ac:dyDescent="0.3">
      <c r="A33" t="s">
        <v>41</v>
      </c>
      <c r="B33" s="1">
        <v>45805</v>
      </c>
      <c r="C33" s="2">
        <v>2908</v>
      </c>
      <c r="D33" t="s">
        <v>42</v>
      </c>
      <c r="E33" t="s">
        <v>25</v>
      </c>
      <c r="H33" s="2">
        <v>71087</v>
      </c>
      <c r="I33" s="2">
        <v>12029411</v>
      </c>
    </row>
    <row r="34" spans="1:9" x14ac:dyDescent="0.3">
      <c r="A34" t="s">
        <v>43</v>
      </c>
      <c r="B34" s="1">
        <v>45805</v>
      </c>
      <c r="C34" s="2">
        <v>2909</v>
      </c>
      <c r="D34" t="s">
        <v>44</v>
      </c>
      <c r="E34" t="s">
        <v>22</v>
      </c>
      <c r="H34" s="2">
        <v>100449</v>
      </c>
      <c r="I34" s="2">
        <v>11928962</v>
      </c>
    </row>
    <row r="35" spans="1:9" x14ac:dyDescent="0.3">
      <c r="A35" t="s">
        <v>45</v>
      </c>
      <c r="B35" s="1">
        <v>45805</v>
      </c>
      <c r="C35" s="2">
        <v>2910</v>
      </c>
      <c r="D35" t="s">
        <v>46</v>
      </c>
      <c r="E35" t="s">
        <v>13</v>
      </c>
      <c r="H35" s="2">
        <v>79021</v>
      </c>
      <c r="I35" s="2">
        <v>11849941</v>
      </c>
    </row>
    <row r="36" spans="1:9" x14ac:dyDescent="0.3">
      <c r="A36" t="s">
        <v>47</v>
      </c>
      <c r="B36" s="1">
        <v>45805</v>
      </c>
      <c r="C36" s="2">
        <v>2911</v>
      </c>
      <c r="D36" t="s">
        <v>48</v>
      </c>
      <c r="E36" t="s">
        <v>16</v>
      </c>
      <c r="H36" s="2">
        <v>161109</v>
      </c>
      <c r="I36" s="2">
        <v>11688832</v>
      </c>
    </row>
    <row r="37" spans="1:9" x14ac:dyDescent="0.3">
      <c r="A37" t="s">
        <v>49</v>
      </c>
      <c r="B37" s="1">
        <v>45805</v>
      </c>
      <c r="C37" s="2">
        <v>2940</v>
      </c>
      <c r="D37" t="s">
        <v>51</v>
      </c>
      <c r="E37" t="s">
        <v>50</v>
      </c>
      <c r="H37" s="2">
        <v>51519</v>
      </c>
      <c r="I37" s="2">
        <v>11637313</v>
      </c>
    </row>
    <row r="38" spans="1:9" x14ac:dyDescent="0.3">
      <c r="A38" t="s">
        <v>52</v>
      </c>
      <c r="B38" s="1">
        <v>45805</v>
      </c>
      <c r="C38" s="2">
        <v>3504</v>
      </c>
      <c r="D38" t="s">
        <v>48</v>
      </c>
      <c r="E38" t="s">
        <v>16</v>
      </c>
      <c r="H38" s="2">
        <v>229285</v>
      </c>
      <c r="I38" s="2">
        <v>11408028</v>
      </c>
    </row>
    <row r="39" spans="1:9" x14ac:dyDescent="0.3">
      <c r="A39" t="s">
        <v>140</v>
      </c>
      <c r="B39" s="1">
        <v>45813</v>
      </c>
      <c r="C39" s="2">
        <v>2810</v>
      </c>
      <c r="D39" t="s">
        <v>141</v>
      </c>
      <c r="E39" t="s">
        <v>0</v>
      </c>
      <c r="G39" s="2">
        <v>36610</v>
      </c>
      <c r="I39" s="2">
        <v>11444638</v>
      </c>
    </row>
    <row r="40" spans="1:9" x14ac:dyDescent="0.3">
      <c r="A40" t="s">
        <v>142</v>
      </c>
      <c r="B40" s="1">
        <v>45813</v>
      </c>
      <c r="C40" s="2">
        <v>2812</v>
      </c>
      <c r="D40" t="s">
        <v>143</v>
      </c>
      <c r="E40" t="s">
        <v>67</v>
      </c>
      <c r="G40" s="2">
        <v>19500</v>
      </c>
      <c r="I40" s="2">
        <v>11464138</v>
      </c>
    </row>
    <row r="41" spans="1:9" x14ac:dyDescent="0.3">
      <c r="A41" t="s">
        <v>144</v>
      </c>
      <c r="B41" s="1">
        <v>45813</v>
      </c>
      <c r="C41" s="2">
        <v>2813</v>
      </c>
      <c r="D41" t="s">
        <v>145</v>
      </c>
      <c r="E41" t="s">
        <v>19</v>
      </c>
      <c r="G41" s="2">
        <v>2300</v>
      </c>
      <c r="I41" s="2">
        <v>11466438</v>
      </c>
    </row>
    <row r="42" spans="1:9" x14ac:dyDescent="0.3">
      <c r="A42" t="s">
        <v>146</v>
      </c>
      <c r="B42" s="1">
        <v>45813</v>
      </c>
      <c r="C42" s="2">
        <v>2814</v>
      </c>
      <c r="D42" t="s">
        <v>147</v>
      </c>
      <c r="E42" t="s">
        <v>16</v>
      </c>
      <c r="G42" s="2">
        <v>43000</v>
      </c>
      <c r="I42" s="2">
        <v>11509438</v>
      </c>
    </row>
    <row r="43" spans="1:9" x14ac:dyDescent="0.3">
      <c r="A43" t="s">
        <v>148</v>
      </c>
      <c r="B43" s="1">
        <v>45813</v>
      </c>
      <c r="C43" s="2">
        <v>2815</v>
      </c>
      <c r="D43" t="s">
        <v>149</v>
      </c>
      <c r="E43" t="s">
        <v>13</v>
      </c>
      <c r="G43" s="2">
        <v>20000</v>
      </c>
      <c r="I43" s="2">
        <v>11529438</v>
      </c>
    </row>
    <row r="44" spans="1:9" x14ac:dyDescent="0.3">
      <c r="A44" t="s">
        <v>56</v>
      </c>
      <c r="B44" s="1">
        <v>45820</v>
      </c>
      <c r="C44" s="2">
        <v>2858</v>
      </c>
      <c r="D44" t="s">
        <v>28</v>
      </c>
      <c r="E44" t="s">
        <v>19</v>
      </c>
      <c r="G44" s="2">
        <v>450611</v>
      </c>
      <c r="I44" s="2">
        <v>11980049</v>
      </c>
    </row>
    <row r="45" spans="1:9" x14ac:dyDescent="0.3">
      <c r="A45" t="s">
        <v>57</v>
      </c>
      <c r="B45" s="1">
        <v>45820</v>
      </c>
      <c r="C45" s="2">
        <v>2859</v>
      </c>
      <c r="D45" t="s">
        <v>32</v>
      </c>
      <c r="E45" t="s">
        <v>22</v>
      </c>
      <c r="G45" s="2">
        <v>100449</v>
      </c>
      <c r="I45" s="2">
        <v>12080498</v>
      </c>
    </row>
    <row r="46" spans="1:9" x14ac:dyDescent="0.3">
      <c r="A46" t="s">
        <v>58</v>
      </c>
      <c r="B46" s="1">
        <v>45820</v>
      </c>
      <c r="C46" s="2">
        <v>2860</v>
      </c>
      <c r="D46" t="s">
        <v>34</v>
      </c>
      <c r="E46" t="s">
        <v>25</v>
      </c>
      <c r="G46" s="2">
        <v>71087</v>
      </c>
      <c r="I46" s="2">
        <v>12151585</v>
      </c>
    </row>
    <row r="47" spans="1:9" x14ac:dyDescent="0.3">
      <c r="A47" t="s">
        <v>59</v>
      </c>
      <c r="B47" s="1">
        <v>45820</v>
      </c>
      <c r="C47" s="2">
        <v>2861</v>
      </c>
      <c r="D47" t="s">
        <v>38</v>
      </c>
      <c r="E47" t="s">
        <v>13</v>
      </c>
      <c r="G47" s="2">
        <v>79021</v>
      </c>
      <c r="I47" s="2">
        <v>12230606</v>
      </c>
    </row>
    <row r="48" spans="1:9" x14ac:dyDescent="0.3">
      <c r="A48" t="s">
        <v>60</v>
      </c>
      <c r="B48" s="1">
        <v>45820</v>
      </c>
      <c r="C48" s="2">
        <v>2862</v>
      </c>
      <c r="D48" t="s">
        <v>36</v>
      </c>
      <c r="E48" t="s">
        <v>16</v>
      </c>
      <c r="G48" s="2">
        <v>210396</v>
      </c>
      <c r="I48" s="2">
        <v>12441002</v>
      </c>
    </row>
    <row r="49" spans="1:9" x14ac:dyDescent="0.3">
      <c r="A49" t="s">
        <v>61</v>
      </c>
      <c r="B49" s="1">
        <v>45820</v>
      </c>
      <c r="C49" s="2">
        <v>2863</v>
      </c>
      <c r="D49" t="s">
        <v>30</v>
      </c>
      <c r="E49" t="s">
        <v>10</v>
      </c>
      <c r="G49" s="2">
        <v>1231423</v>
      </c>
      <c r="I49" s="2">
        <v>13672425</v>
      </c>
    </row>
    <row r="50" spans="1:9" x14ac:dyDescent="0.3">
      <c r="A50" t="s">
        <v>150</v>
      </c>
      <c r="B50" s="1">
        <v>45834</v>
      </c>
      <c r="C50" s="2">
        <v>2817</v>
      </c>
      <c r="D50" t="s">
        <v>151</v>
      </c>
      <c r="E50" t="s">
        <v>67</v>
      </c>
      <c r="G50" s="2">
        <v>9000</v>
      </c>
      <c r="I50" s="2">
        <v>13681425</v>
      </c>
    </row>
    <row r="51" spans="1:9" x14ac:dyDescent="0.3">
      <c r="A51" t="s">
        <v>62</v>
      </c>
      <c r="B51" s="1">
        <v>45834</v>
      </c>
      <c r="C51" s="2">
        <v>2912</v>
      </c>
      <c r="D51" t="s">
        <v>63</v>
      </c>
      <c r="E51" t="s">
        <v>10</v>
      </c>
      <c r="H51" s="2">
        <v>981428</v>
      </c>
      <c r="I51" s="2">
        <v>12699997</v>
      </c>
    </row>
    <row r="52" spans="1:9" x14ac:dyDescent="0.3">
      <c r="A52" t="s">
        <v>64</v>
      </c>
      <c r="B52" s="1">
        <v>45834</v>
      </c>
      <c r="C52" s="2">
        <v>2913</v>
      </c>
      <c r="D52" t="s">
        <v>51</v>
      </c>
      <c r="E52" t="s">
        <v>50</v>
      </c>
      <c r="H52" s="2">
        <v>1962244</v>
      </c>
      <c r="I52" s="2">
        <v>10737753</v>
      </c>
    </row>
    <row r="53" spans="1:9" x14ac:dyDescent="0.3">
      <c r="A53" t="s">
        <v>65</v>
      </c>
      <c r="B53" s="1">
        <v>45834</v>
      </c>
      <c r="C53" s="2">
        <v>2914</v>
      </c>
      <c r="D53" t="s">
        <v>26</v>
      </c>
      <c r="E53" t="s">
        <v>25</v>
      </c>
      <c r="H53" s="2">
        <v>4322</v>
      </c>
      <c r="I53" s="2">
        <v>10733431</v>
      </c>
    </row>
    <row r="54" spans="1:9" x14ac:dyDescent="0.3">
      <c r="A54" t="s">
        <v>66</v>
      </c>
      <c r="B54" s="1">
        <v>45834</v>
      </c>
      <c r="C54" s="2">
        <v>2915</v>
      </c>
      <c r="D54" t="s">
        <v>68</v>
      </c>
      <c r="E54" t="s">
        <v>67</v>
      </c>
      <c r="H54" s="2">
        <v>39636</v>
      </c>
      <c r="I54" s="2">
        <v>10693795</v>
      </c>
    </row>
    <row r="55" spans="1:9" x14ac:dyDescent="0.3">
      <c r="A55" t="s">
        <v>69</v>
      </c>
      <c r="B55" s="1">
        <v>45834</v>
      </c>
      <c r="C55" s="2">
        <v>2916</v>
      </c>
      <c r="D55" t="s">
        <v>70</v>
      </c>
      <c r="E55" t="s">
        <v>22</v>
      </c>
      <c r="H55" s="2">
        <v>2020460</v>
      </c>
      <c r="I55" s="2">
        <v>8673335</v>
      </c>
    </row>
    <row r="56" spans="1:9" x14ac:dyDescent="0.3">
      <c r="A56" t="s">
        <v>71</v>
      </c>
      <c r="B56" s="1">
        <v>45834</v>
      </c>
      <c r="C56" s="2">
        <v>2917</v>
      </c>
      <c r="D56" t="s">
        <v>72</v>
      </c>
      <c r="E56" t="s">
        <v>13</v>
      </c>
      <c r="H56" s="2">
        <v>87617</v>
      </c>
      <c r="I56" s="2">
        <v>8585718</v>
      </c>
    </row>
    <row r="57" spans="1:9" x14ac:dyDescent="0.3">
      <c r="A57" t="s">
        <v>152</v>
      </c>
      <c r="B57" s="1">
        <v>45845</v>
      </c>
      <c r="C57" s="2">
        <v>3037</v>
      </c>
      <c r="D57" t="s">
        <v>153</v>
      </c>
      <c r="E57" t="s">
        <v>0</v>
      </c>
      <c r="G57" s="2">
        <v>120730</v>
      </c>
      <c r="I57" s="2">
        <v>8706448</v>
      </c>
    </row>
    <row r="58" spans="1:9" x14ac:dyDescent="0.3">
      <c r="A58" t="s">
        <v>73</v>
      </c>
      <c r="B58" s="1">
        <v>45845</v>
      </c>
      <c r="C58" s="2">
        <v>3041</v>
      </c>
      <c r="D58" t="s">
        <v>74</v>
      </c>
      <c r="E58" t="s">
        <v>10</v>
      </c>
      <c r="G58" s="2">
        <v>33059</v>
      </c>
      <c r="I58" s="2">
        <v>8739507</v>
      </c>
    </row>
    <row r="59" spans="1:9" x14ac:dyDescent="0.3">
      <c r="A59" t="s">
        <v>75</v>
      </c>
      <c r="B59" s="1">
        <v>45848</v>
      </c>
      <c r="C59" s="2">
        <v>3049</v>
      </c>
      <c r="D59" t="s">
        <v>30</v>
      </c>
      <c r="E59" t="s">
        <v>10</v>
      </c>
      <c r="G59" s="2">
        <v>981428</v>
      </c>
      <c r="I59" s="2">
        <v>9720935</v>
      </c>
    </row>
    <row r="60" spans="1:9" x14ac:dyDescent="0.3">
      <c r="A60" t="s">
        <v>76</v>
      </c>
      <c r="B60" s="1">
        <v>45848</v>
      </c>
      <c r="C60" s="2">
        <v>3050</v>
      </c>
      <c r="D60" t="s">
        <v>32</v>
      </c>
      <c r="E60" t="s">
        <v>22</v>
      </c>
      <c r="G60" s="2">
        <v>2020460</v>
      </c>
      <c r="I60" s="2">
        <v>11741395</v>
      </c>
    </row>
    <row r="61" spans="1:9" x14ac:dyDescent="0.3">
      <c r="A61" t="s">
        <v>77</v>
      </c>
      <c r="B61" s="1">
        <v>45848</v>
      </c>
      <c r="C61" s="2">
        <v>3051</v>
      </c>
      <c r="D61" t="s">
        <v>34</v>
      </c>
      <c r="E61" t="s">
        <v>25</v>
      </c>
      <c r="G61" s="2">
        <v>20216</v>
      </c>
      <c r="I61" s="2">
        <v>11761611</v>
      </c>
    </row>
    <row r="62" spans="1:9" x14ac:dyDescent="0.3">
      <c r="A62" t="s">
        <v>78</v>
      </c>
      <c r="B62" s="1">
        <v>45848</v>
      </c>
      <c r="C62" s="2">
        <v>3052</v>
      </c>
      <c r="D62" t="s">
        <v>38</v>
      </c>
      <c r="E62" t="s">
        <v>13</v>
      </c>
      <c r="G62" s="2">
        <v>87617</v>
      </c>
      <c r="I62" s="2">
        <v>11849228</v>
      </c>
    </row>
    <row r="63" spans="1:9" x14ac:dyDescent="0.3">
      <c r="A63" t="s">
        <v>79</v>
      </c>
      <c r="B63" s="1">
        <v>45867</v>
      </c>
      <c r="C63" s="2">
        <v>3092</v>
      </c>
      <c r="D63" t="s">
        <v>80</v>
      </c>
      <c r="E63" t="s">
        <v>10</v>
      </c>
      <c r="H63" s="2">
        <v>1861875</v>
      </c>
      <c r="I63" s="2">
        <v>9987353</v>
      </c>
    </row>
    <row r="64" spans="1:9" x14ac:dyDescent="0.3">
      <c r="A64" t="s">
        <v>81</v>
      </c>
      <c r="B64" s="1">
        <v>45867</v>
      </c>
      <c r="C64" s="2">
        <v>3093</v>
      </c>
      <c r="D64" t="s">
        <v>70</v>
      </c>
      <c r="E64" t="s">
        <v>22</v>
      </c>
      <c r="H64" s="2">
        <v>1476513</v>
      </c>
      <c r="I64" s="2">
        <v>8510840</v>
      </c>
    </row>
    <row r="65" spans="1:9" x14ac:dyDescent="0.3">
      <c r="A65" t="s">
        <v>82</v>
      </c>
      <c r="B65" s="1">
        <v>45867</v>
      </c>
      <c r="C65" s="2">
        <v>3094</v>
      </c>
      <c r="D65" t="s">
        <v>48</v>
      </c>
      <c r="E65" t="s">
        <v>16</v>
      </c>
      <c r="H65" s="2">
        <v>293855</v>
      </c>
      <c r="I65" s="2">
        <v>8216985</v>
      </c>
    </row>
    <row r="66" spans="1:9" x14ac:dyDescent="0.3">
      <c r="A66" t="s">
        <v>154</v>
      </c>
      <c r="B66" s="1">
        <v>45867</v>
      </c>
      <c r="C66" s="2">
        <v>3576</v>
      </c>
      <c r="D66" t="s">
        <v>51</v>
      </c>
      <c r="E66" t="s">
        <v>50</v>
      </c>
      <c r="G66" s="2">
        <v>2013763</v>
      </c>
      <c r="I66" s="2">
        <v>10230748</v>
      </c>
    </row>
    <row r="67" spans="1:9" x14ac:dyDescent="0.3">
      <c r="A67" t="s">
        <v>154</v>
      </c>
      <c r="B67" s="1">
        <v>45867</v>
      </c>
      <c r="C67" s="2">
        <v>3576</v>
      </c>
      <c r="D67" t="s">
        <v>51</v>
      </c>
      <c r="E67" t="s">
        <v>50</v>
      </c>
      <c r="H67" s="2">
        <v>2831745</v>
      </c>
      <c r="I67" s="2">
        <v>7399003</v>
      </c>
    </row>
    <row r="68" spans="1:9" x14ac:dyDescent="0.3">
      <c r="A68" t="s">
        <v>83</v>
      </c>
      <c r="B68" s="1">
        <v>45869</v>
      </c>
      <c r="C68" s="2">
        <v>3271</v>
      </c>
      <c r="D68" t="s">
        <v>84</v>
      </c>
      <c r="E68" t="s">
        <v>10</v>
      </c>
      <c r="H68" s="2">
        <v>1913232</v>
      </c>
      <c r="I68" s="2">
        <v>5485771</v>
      </c>
    </row>
    <row r="69" spans="1:9" x14ac:dyDescent="0.3">
      <c r="A69" t="s">
        <v>85</v>
      </c>
      <c r="B69" s="1">
        <v>45869</v>
      </c>
      <c r="C69" s="2">
        <v>3272</v>
      </c>
      <c r="D69" t="s">
        <v>86</v>
      </c>
      <c r="E69" t="s">
        <v>10</v>
      </c>
      <c r="H69" s="2">
        <v>2328147</v>
      </c>
      <c r="I69" s="2">
        <v>3157624</v>
      </c>
    </row>
    <row r="70" spans="1:9" x14ac:dyDescent="0.3">
      <c r="A70" t="s">
        <v>87</v>
      </c>
      <c r="B70" s="1">
        <v>45869</v>
      </c>
      <c r="C70" s="2">
        <v>3273</v>
      </c>
      <c r="D70" t="s">
        <v>88</v>
      </c>
      <c r="E70" t="s">
        <v>10</v>
      </c>
      <c r="H70" s="2">
        <v>1497172</v>
      </c>
      <c r="I70" s="2">
        <v>1660452</v>
      </c>
    </row>
    <row r="71" spans="1:9" x14ac:dyDescent="0.3">
      <c r="A71" t="s">
        <v>89</v>
      </c>
      <c r="B71" s="1">
        <v>45869</v>
      </c>
      <c r="C71" s="2">
        <v>3275</v>
      </c>
      <c r="D71" t="s">
        <v>90</v>
      </c>
      <c r="E71" t="s">
        <v>19</v>
      </c>
      <c r="H71" s="2">
        <v>260913</v>
      </c>
      <c r="I71" s="2">
        <v>1399539</v>
      </c>
    </row>
    <row r="72" spans="1:9" x14ac:dyDescent="0.3">
      <c r="A72" t="s">
        <v>91</v>
      </c>
      <c r="B72" s="1">
        <v>45869</v>
      </c>
      <c r="C72" s="2">
        <v>3276</v>
      </c>
      <c r="D72" t="s">
        <v>92</v>
      </c>
      <c r="E72" t="s">
        <v>22</v>
      </c>
      <c r="H72" s="2">
        <v>3388645</v>
      </c>
      <c r="I72" s="2">
        <v>-1989106</v>
      </c>
    </row>
    <row r="73" spans="1:9" x14ac:dyDescent="0.3">
      <c r="A73" t="s">
        <v>93</v>
      </c>
      <c r="B73" s="1">
        <v>45869</v>
      </c>
      <c r="C73" s="2">
        <v>3284</v>
      </c>
      <c r="D73" t="s">
        <v>94</v>
      </c>
      <c r="E73" t="s">
        <v>25</v>
      </c>
      <c r="H73" s="2">
        <v>181839</v>
      </c>
      <c r="I73" s="2">
        <v>-2170945</v>
      </c>
    </row>
    <row r="74" spans="1:9" x14ac:dyDescent="0.3">
      <c r="A74" t="s">
        <v>95</v>
      </c>
      <c r="B74" s="1">
        <v>45869</v>
      </c>
      <c r="C74" s="2">
        <v>3286</v>
      </c>
      <c r="D74" t="s">
        <v>96</v>
      </c>
      <c r="E74" t="s">
        <v>16</v>
      </c>
      <c r="H74" s="2">
        <v>650343</v>
      </c>
      <c r="I74" s="2">
        <v>-2821288</v>
      </c>
    </row>
    <row r="75" spans="1:9" x14ac:dyDescent="0.3">
      <c r="A75" t="s">
        <v>97</v>
      </c>
      <c r="B75" s="1">
        <v>45869</v>
      </c>
      <c r="C75" s="2">
        <v>3287</v>
      </c>
      <c r="D75" t="s">
        <v>98</v>
      </c>
      <c r="E75" t="s">
        <v>13</v>
      </c>
      <c r="H75" s="2">
        <v>3652188</v>
      </c>
      <c r="I75" s="2">
        <v>-6473476</v>
      </c>
    </row>
    <row r="76" spans="1:9" x14ac:dyDescent="0.3">
      <c r="A76" t="s">
        <v>99</v>
      </c>
      <c r="B76" s="1">
        <v>45869</v>
      </c>
      <c r="C76" s="2">
        <v>3299</v>
      </c>
      <c r="D76" t="s">
        <v>100</v>
      </c>
      <c r="E76" t="s">
        <v>19</v>
      </c>
      <c r="H76" s="2">
        <v>3872</v>
      </c>
      <c r="I76" s="2">
        <v>-6477348</v>
      </c>
    </row>
    <row r="77" spans="1:9" x14ac:dyDescent="0.3">
      <c r="A77" t="s">
        <v>101</v>
      </c>
      <c r="B77" s="1">
        <v>45869</v>
      </c>
      <c r="C77" s="2">
        <v>3300</v>
      </c>
      <c r="D77" t="s">
        <v>102</v>
      </c>
      <c r="E77" t="s">
        <v>25</v>
      </c>
      <c r="H77" s="2">
        <v>819483</v>
      </c>
      <c r="I77" s="2">
        <v>-7296831</v>
      </c>
    </row>
    <row r="78" spans="1:9" x14ac:dyDescent="0.3">
      <c r="A78" t="s">
        <v>103</v>
      </c>
      <c r="B78" s="1">
        <v>45869</v>
      </c>
      <c r="C78" s="2">
        <v>3301</v>
      </c>
      <c r="D78" t="s">
        <v>104</v>
      </c>
      <c r="E78" t="s">
        <v>22</v>
      </c>
      <c r="H78" s="2">
        <v>1326542</v>
      </c>
      <c r="I78" s="2">
        <v>-8623373</v>
      </c>
    </row>
    <row r="79" spans="1:9" x14ac:dyDescent="0.3">
      <c r="A79" t="s">
        <v>105</v>
      </c>
      <c r="B79" s="1">
        <v>45869</v>
      </c>
      <c r="C79" s="2">
        <v>3302</v>
      </c>
      <c r="D79" t="s">
        <v>106</v>
      </c>
      <c r="E79" t="s">
        <v>13</v>
      </c>
      <c r="H79" s="2">
        <v>715411</v>
      </c>
      <c r="I79" s="2">
        <v>-9338784</v>
      </c>
    </row>
    <row r="80" spans="1:9" x14ac:dyDescent="0.3">
      <c r="A80" t="s">
        <v>107</v>
      </c>
      <c r="B80" s="1">
        <v>45869</v>
      </c>
      <c r="C80" s="2">
        <v>3303</v>
      </c>
      <c r="D80" t="s">
        <v>108</v>
      </c>
      <c r="E80" t="s">
        <v>16</v>
      </c>
      <c r="H80" s="2">
        <v>20962</v>
      </c>
      <c r="I80" s="2">
        <v>-9359746</v>
      </c>
    </row>
    <row r="81" spans="1:9" x14ac:dyDescent="0.3">
      <c r="A81" t="s">
        <v>109</v>
      </c>
      <c r="B81" s="1">
        <v>45869</v>
      </c>
      <c r="C81" s="2">
        <v>3304</v>
      </c>
      <c r="D81" t="s">
        <v>110</v>
      </c>
      <c r="E81" t="s">
        <v>19</v>
      </c>
      <c r="H81" s="2">
        <v>305442</v>
      </c>
      <c r="I81" s="2">
        <v>-9665188</v>
      </c>
    </row>
    <row r="82" spans="1:9" x14ac:dyDescent="0.3">
      <c r="A82" t="s">
        <v>111</v>
      </c>
      <c r="B82" s="1">
        <v>45869</v>
      </c>
      <c r="C82" s="2">
        <v>3305</v>
      </c>
      <c r="D82" t="s">
        <v>112</v>
      </c>
      <c r="E82" t="s">
        <v>25</v>
      </c>
      <c r="H82" s="2">
        <v>221541</v>
      </c>
      <c r="I82" s="2">
        <v>-9886729</v>
      </c>
    </row>
    <row r="83" spans="1:9" x14ac:dyDescent="0.3">
      <c r="A83" t="s">
        <v>113</v>
      </c>
      <c r="B83" s="1">
        <v>45869</v>
      </c>
      <c r="C83" s="2">
        <v>3306</v>
      </c>
      <c r="D83" t="s">
        <v>114</v>
      </c>
      <c r="E83" t="s">
        <v>22</v>
      </c>
      <c r="H83" s="2">
        <v>46444</v>
      </c>
      <c r="I83" s="2">
        <v>-9933173</v>
      </c>
    </row>
    <row r="84" spans="1:9" x14ac:dyDescent="0.3">
      <c r="A84" t="s">
        <v>115</v>
      </c>
      <c r="B84" s="1">
        <v>45869</v>
      </c>
      <c r="C84" s="2">
        <v>3307</v>
      </c>
      <c r="D84" t="s">
        <v>116</v>
      </c>
      <c r="E84" t="s">
        <v>13</v>
      </c>
      <c r="H84" s="2">
        <v>2623654</v>
      </c>
      <c r="I84" s="2">
        <v>-12556827</v>
      </c>
    </row>
    <row r="85" spans="1:9" x14ac:dyDescent="0.3">
      <c r="A85" t="s">
        <v>155</v>
      </c>
      <c r="B85" s="1">
        <v>45869</v>
      </c>
      <c r="C85" s="2">
        <v>3451</v>
      </c>
      <c r="D85" t="s">
        <v>156</v>
      </c>
      <c r="E85" t="s">
        <v>22</v>
      </c>
      <c r="H85" s="2">
        <v>15336</v>
      </c>
      <c r="I85" s="2">
        <v>-12572163</v>
      </c>
    </row>
    <row r="86" spans="1:9" x14ac:dyDescent="0.3">
      <c r="A86" t="s">
        <v>157</v>
      </c>
      <c r="B86" s="1">
        <v>45869</v>
      </c>
      <c r="C86" s="2">
        <v>3453</v>
      </c>
      <c r="D86" t="s">
        <v>135</v>
      </c>
      <c r="E86" t="s">
        <v>13</v>
      </c>
      <c r="H86" s="2">
        <v>121678</v>
      </c>
      <c r="I86" s="2">
        <v>-12693841</v>
      </c>
    </row>
    <row r="87" spans="1:9" x14ac:dyDescent="0.3">
      <c r="A87" t="s">
        <v>158</v>
      </c>
      <c r="B87" s="1">
        <v>45869</v>
      </c>
      <c r="C87" s="2">
        <v>3454</v>
      </c>
      <c r="D87" t="s">
        <v>159</v>
      </c>
      <c r="E87" t="s">
        <v>19</v>
      </c>
      <c r="H87" s="2">
        <v>235579</v>
      </c>
      <c r="I87" s="2">
        <v>-12929420</v>
      </c>
    </row>
    <row r="88" spans="1:9" x14ac:dyDescent="0.3">
      <c r="A88" t="s">
        <v>160</v>
      </c>
      <c r="B88" s="1">
        <v>45869</v>
      </c>
      <c r="C88" s="2">
        <v>3458</v>
      </c>
      <c r="D88" t="s">
        <v>161</v>
      </c>
      <c r="E88" t="s">
        <v>10</v>
      </c>
      <c r="H88" s="2">
        <v>460158</v>
      </c>
      <c r="I88" s="2">
        <v>-13389578</v>
      </c>
    </row>
    <row r="89" spans="1:9" x14ac:dyDescent="0.3">
      <c r="A89" t="s">
        <v>160</v>
      </c>
      <c r="B89" s="1">
        <v>45869</v>
      </c>
      <c r="C89" s="2">
        <v>3458</v>
      </c>
      <c r="D89" t="s">
        <v>161</v>
      </c>
      <c r="E89" t="s">
        <v>10</v>
      </c>
      <c r="H89" s="2">
        <v>100167</v>
      </c>
      <c r="I89" s="2">
        <v>-13489745</v>
      </c>
    </row>
    <row r="90" spans="1:9" x14ac:dyDescent="0.3">
      <c r="A90" t="s">
        <v>160</v>
      </c>
      <c r="B90" s="1">
        <v>45869</v>
      </c>
      <c r="C90" s="2">
        <v>3458</v>
      </c>
      <c r="D90" t="s">
        <v>161</v>
      </c>
      <c r="E90" t="s">
        <v>10</v>
      </c>
      <c r="H90" s="2">
        <v>289020</v>
      </c>
      <c r="I90" s="2">
        <v>-13778765</v>
      </c>
    </row>
    <row r="91" spans="1:9" x14ac:dyDescent="0.3">
      <c r="A91" t="s">
        <v>160</v>
      </c>
      <c r="B91" s="1">
        <v>45869</v>
      </c>
      <c r="C91" s="2">
        <v>3458</v>
      </c>
      <c r="D91" t="s">
        <v>161</v>
      </c>
      <c r="E91" t="s">
        <v>10</v>
      </c>
      <c r="H91" s="2">
        <v>356370</v>
      </c>
      <c r="I91" s="2">
        <v>-14135135</v>
      </c>
    </row>
    <row r="92" spans="1:9" x14ac:dyDescent="0.3">
      <c r="A92" t="s">
        <v>162</v>
      </c>
      <c r="B92" s="1">
        <v>45869</v>
      </c>
      <c r="C92" s="2">
        <v>3459</v>
      </c>
      <c r="D92" t="s">
        <v>163</v>
      </c>
      <c r="E92" t="s">
        <v>16</v>
      </c>
      <c r="H92" s="2">
        <v>118170</v>
      </c>
      <c r="I92" s="2">
        <v>-14253305</v>
      </c>
    </row>
    <row r="93" spans="1:9" x14ac:dyDescent="0.3">
      <c r="A93" t="s">
        <v>162</v>
      </c>
      <c r="B93" s="1">
        <v>45869</v>
      </c>
      <c r="C93" s="2">
        <v>3459</v>
      </c>
      <c r="D93" t="s">
        <v>163</v>
      </c>
      <c r="E93" t="s">
        <v>16</v>
      </c>
      <c r="H93" s="2">
        <v>289936</v>
      </c>
      <c r="I93" s="2">
        <v>-14543241</v>
      </c>
    </row>
    <row r="94" spans="1:9" x14ac:dyDescent="0.3">
      <c r="A94" t="s">
        <v>164</v>
      </c>
      <c r="B94" s="1">
        <v>45869</v>
      </c>
      <c r="C94" s="2">
        <v>3460</v>
      </c>
      <c r="D94" t="s">
        <v>165</v>
      </c>
      <c r="E94" t="s">
        <v>13</v>
      </c>
      <c r="H94" s="2">
        <v>384120</v>
      </c>
      <c r="I94" s="2">
        <v>-14927361</v>
      </c>
    </row>
    <row r="95" spans="1:9" x14ac:dyDescent="0.3">
      <c r="A95" t="s">
        <v>164</v>
      </c>
      <c r="B95" s="1">
        <v>45869</v>
      </c>
      <c r="C95" s="2">
        <v>3460</v>
      </c>
      <c r="D95" t="s">
        <v>165</v>
      </c>
      <c r="E95" t="s">
        <v>13</v>
      </c>
      <c r="H95" s="2">
        <v>9397</v>
      </c>
      <c r="I95" s="2">
        <v>-14936758</v>
      </c>
    </row>
    <row r="96" spans="1:9" x14ac:dyDescent="0.3">
      <c r="A96" t="s">
        <v>117</v>
      </c>
      <c r="B96" s="1">
        <v>45869</v>
      </c>
      <c r="C96" s="2">
        <v>3461</v>
      </c>
      <c r="D96" t="s">
        <v>118</v>
      </c>
      <c r="E96" t="s">
        <v>13</v>
      </c>
      <c r="H96" s="2">
        <v>22780</v>
      </c>
      <c r="I96" s="2">
        <v>-14959538</v>
      </c>
    </row>
    <row r="97" spans="1:9" x14ac:dyDescent="0.3">
      <c r="A97" t="s">
        <v>166</v>
      </c>
      <c r="B97" s="1">
        <v>45869</v>
      </c>
      <c r="C97" s="2">
        <v>3462</v>
      </c>
      <c r="D97" t="s">
        <v>167</v>
      </c>
      <c r="E97" t="s">
        <v>67</v>
      </c>
      <c r="H97" s="2">
        <v>9000</v>
      </c>
      <c r="I97" s="2">
        <v>-14968538</v>
      </c>
    </row>
    <row r="98" spans="1:9" x14ac:dyDescent="0.3">
      <c r="A98" t="s">
        <v>166</v>
      </c>
      <c r="B98" s="1">
        <v>45869</v>
      </c>
      <c r="C98" s="2">
        <v>3462</v>
      </c>
      <c r="D98" t="s">
        <v>167</v>
      </c>
      <c r="E98" t="s">
        <v>67</v>
      </c>
      <c r="H98" s="2">
        <v>19500</v>
      </c>
      <c r="I98" s="2">
        <v>-14988038</v>
      </c>
    </row>
    <row r="99" spans="1:9" x14ac:dyDescent="0.3">
      <c r="A99" t="s">
        <v>168</v>
      </c>
      <c r="B99" s="1">
        <v>45869</v>
      </c>
      <c r="C99" s="2">
        <v>3465</v>
      </c>
      <c r="D99" t="s">
        <v>169</v>
      </c>
      <c r="E99" t="s">
        <v>25</v>
      </c>
      <c r="H99" s="2">
        <v>100602</v>
      </c>
      <c r="I99" s="2">
        <v>-15088640</v>
      </c>
    </row>
    <row r="100" spans="1:9" x14ac:dyDescent="0.3">
      <c r="A100" t="s">
        <v>193</v>
      </c>
      <c r="B100" s="1">
        <v>45869</v>
      </c>
      <c r="C100" s="2">
        <v>3574</v>
      </c>
      <c r="D100" t="s">
        <v>194</v>
      </c>
      <c r="E100" t="s">
        <v>10</v>
      </c>
      <c r="G100" s="2">
        <v>5414035</v>
      </c>
      <c r="I100" s="2">
        <v>-9674605</v>
      </c>
    </row>
    <row r="101" spans="1:9" x14ac:dyDescent="0.3">
      <c r="A101" t="s">
        <v>193</v>
      </c>
      <c r="B101" s="1">
        <v>45869</v>
      </c>
      <c r="C101" s="2">
        <v>3574</v>
      </c>
      <c r="D101" t="s">
        <v>194</v>
      </c>
      <c r="E101" t="s">
        <v>19</v>
      </c>
      <c r="G101" s="2">
        <v>233279</v>
      </c>
      <c r="I101" s="2">
        <v>-9441326</v>
      </c>
    </row>
    <row r="102" spans="1:9" x14ac:dyDescent="0.3">
      <c r="A102" t="s">
        <v>193</v>
      </c>
      <c r="B102" s="1">
        <v>45869</v>
      </c>
      <c r="C102" s="2">
        <v>3574</v>
      </c>
      <c r="D102" t="s">
        <v>194</v>
      </c>
      <c r="E102" t="s">
        <v>25</v>
      </c>
      <c r="G102" s="2">
        <v>84808</v>
      </c>
      <c r="I102" s="2">
        <v>-9356518</v>
      </c>
    </row>
    <row r="103" spans="1:9" x14ac:dyDescent="0.3">
      <c r="A103" t="s">
        <v>193</v>
      </c>
      <c r="B103" s="1">
        <v>45869</v>
      </c>
      <c r="C103" s="2">
        <v>3574</v>
      </c>
      <c r="D103" t="s">
        <v>194</v>
      </c>
      <c r="E103" t="s">
        <v>16</v>
      </c>
      <c r="G103" s="2">
        <v>594864</v>
      </c>
      <c r="I103" s="2">
        <v>-8761654</v>
      </c>
    </row>
    <row r="104" spans="1:9" x14ac:dyDescent="0.3">
      <c r="A104" t="s">
        <v>193</v>
      </c>
      <c r="B104" s="1">
        <v>45869</v>
      </c>
      <c r="C104" s="2">
        <v>3574</v>
      </c>
      <c r="D104" t="s">
        <v>194</v>
      </c>
      <c r="E104" t="s">
        <v>22</v>
      </c>
      <c r="G104" s="2">
        <v>1326542</v>
      </c>
      <c r="I104" s="2">
        <v>-7435112</v>
      </c>
    </row>
    <row r="105" spans="1:9" x14ac:dyDescent="0.3">
      <c r="A105" t="s">
        <v>193</v>
      </c>
      <c r="B105" s="1">
        <v>45869</v>
      </c>
      <c r="C105" s="2">
        <v>3574</v>
      </c>
      <c r="D105" t="s">
        <v>194</v>
      </c>
      <c r="E105" t="s">
        <v>67</v>
      </c>
      <c r="H105" s="2">
        <v>5112</v>
      </c>
      <c r="I105" s="2">
        <v>-7440224</v>
      </c>
    </row>
    <row r="106" spans="1:9" x14ac:dyDescent="0.3">
      <c r="A106" t="s">
        <v>193</v>
      </c>
      <c r="B106" s="1">
        <v>45869</v>
      </c>
      <c r="C106" s="2">
        <v>3574</v>
      </c>
      <c r="D106" t="s">
        <v>194</v>
      </c>
      <c r="E106" t="s">
        <v>13</v>
      </c>
      <c r="G106" s="2">
        <v>1078540</v>
      </c>
      <c r="I106" s="2">
        <v>-6361684</v>
      </c>
    </row>
    <row r="107" spans="1:9" x14ac:dyDescent="0.3">
      <c r="A107" t="s">
        <v>193</v>
      </c>
      <c r="B107" s="1">
        <v>45869</v>
      </c>
      <c r="C107" s="2">
        <v>3574</v>
      </c>
      <c r="D107" t="s">
        <v>195</v>
      </c>
      <c r="E107" t="s">
        <v>0</v>
      </c>
      <c r="H107" s="2">
        <v>157340</v>
      </c>
      <c r="I107" s="2">
        <v>-6519024</v>
      </c>
    </row>
  </sheetData>
  <autoFilter ref="A1:I107" xr:uid="{AB1222AD-B880-49C6-8655-C0D728F8AE6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2566-40EF-4D86-84AB-A4D31DCED505}">
  <dimension ref="A1:I49"/>
  <sheetViews>
    <sheetView topLeftCell="A22" workbookViewId="0">
      <selection activeCell="E13" sqref="E13"/>
    </sheetView>
  </sheetViews>
  <sheetFormatPr baseColWidth="10" defaultRowHeight="14" x14ac:dyDescent="0.3"/>
  <cols>
    <col min="5" max="5" width="20.69921875" customWidth="1"/>
    <col min="6" max="6" width="17.296875" customWidth="1"/>
  </cols>
  <sheetData>
    <row r="1" spans="1:9" s="11" customFormat="1" x14ac:dyDescent="0.3">
      <c r="A1" s="11" t="s">
        <v>1</v>
      </c>
      <c r="B1" s="11" t="s">
        <v>2</v>
      </c>
      <c r="C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3">
      <c r="A2" t="s">
        <v>196</v>
      </c>
      <c r="B2" s="1">
        <v>45876</v>
      </c>
      <c r="C2" s="2">
        <v>3256</v>
      </c>
      <c r="D2" t="s">
        <v>197</v>
      </c>
      <c r="E2" t="s">
        <v>198</v>
      </c>
      <c r="G2" s="2">
        <v>87720</v>
      </c>
      <c r="I2" s="2">
        <v>-6429422</v>
      </c>
    </row>
    <row r="3" spans="1:9" x14ac:dyDescent="0.3">
      <c r="A3" t="s">
        <v>199</v>
      </c>
      <c r="B3" s="1">
        <v>45882</v>
      </c>
      <c r="C3" s="2">
        <v>3257</v>
      </c>
      <c r="D3" t="s">
        <v>200</v>
      </c>
      <c r="E3" t="s">
        <v>13</v>
      </c>
      <c r="G3" s="2">
        <v>8406</v>
      </c>
      <c r="I3" s="2">
        <v>-6421016</v>
      </c>
    </row>
    <row r="4" spans="1:9" x14ac:dyDescent="0.3">
      <c r="A4" t="s">
        <v>201</v>
      </c>
      <c r="B4" s="1">
        <v>45882</v>
      </c>
      <c r="C4" s="2">
        <v>3258</v>
      </c>
      <c r="D4" t="s">
        <v>202</v>
      </c>
      <c r="E4" t="s">
        <v>10</v>
      </c>
      <c r="G4" s="2">
        <v>1861875</v>
      </c>
      <c r="I4" s="2">
        <v>-4559141</v>
      </c>
    </row>
    <row r="5" spans="1:9" x14ac:dyDescent="0.3">
      <c r="A5" t="s">
        <v>203</v>
      </c>
      <c r="B5" s="1">
        <v>45882</v>
      </c>
      <c r="C5" s="2">
        <v>3259</v>
      </c>
      <c r="D5" t="s">
        <v>204</v>
      </c>
      <c r="E5" t="s">
        <v>198</v>
      </c>
      <c r="G5" s="2">
        <v>293855</v>
      </c>
      <c r="I5" s="2">
        <v>-4265286</v>
      </c>
    </row>
    <row r="6" spans="1:9" x14ac:dyDescent="0.3">
      <c r="A6" t="s">
        <v>205</v>
      </c>
      <c r="B6" s="1">
        <v>45882</v>
      </c>
      <c r="C6" s="2">
        <v>3260</v>
      </c>
      <c r="D6" t="s">
        <v>206</v>
      </c>
      <c r="E6" t="s">
        <v>22</v>
      </c>
      <c r="G6" s="2">
        <v>1476513</v>
      </c>
      <c r="I6" s="2">
        <v>-2788773</v>
      </c>
    </row>
    <row r="7" spans="1:9" x14ac:dyDescent="0.3">
      <c r="A7" t="s">
        <v>207</v>
      </c>
      <c r="B7" s="1">
        <v>45891</v>
      </c>
      <c r="C7" s="2">
        <v>3264</v>
      </c>
      <c r="D7" t="s">
        <v>208</v>
      </c>
      <c r="E7" t="s">
        <v>50</v>
      </c>
      <c r="G7" s="2">
        <v>2831745</v>
      </c>
      <c r="I7" s="2">
        <v>42972</v>
      </c>
    </row>
    <row r="8" spans="1:9" x14ac:dyDescent="0.3">
      <c r="A8" t="s">
        <v>209</v>
      </c>
      <c r="B8" s="1">
        <v>45891</v>
      </c>
      <c r="C8" s="2">
        <v>3265</v>
      </c>
      <c r="D8" t="s">
        <v>210</v>
      </c>
      <c r="E8" t="s">
        <v>67</v>
      </c>
      <c r="G8" s="2">
        <v>44748</v>
      </c>
      <c r="I8" s="2">
        <v>87720</v>
      </c>
    </row>
    <row r="9" spans="1:9" x14ac:dyDescent="0.3">
      <c r="A9" t="s">
        <v>211</v>
      </c>
      <c r="B9" s="1">
        <v>45896</v>
      </c>
      <c r="C9" s="2">
        <v>3484</v>
      </c>
      <c r="D9" t="s">
        <v>80</v>
      </c>
      <c r="E9" t="s">
        <v>10</v>
      </c>
      <c r="H9" s="2">
        <v>607271</v>
      </c>
      <c r="I9" s="2">
        <v>-519551</v>
      </c>
    </row>
    <row r="10" spans="1:9" x14ac:dyDescent="0.3">
      <c r="A10" t="s">
        <v>212</v>
      </c>
      <c r="B10" s="1">
        <v>45896</v>
      </c>
      <c r="C10" s="2">
        <v>3496</v>
      </c>
      <c r="D10" t="s">
        <v>51</v>
      </c>
      <c r="E10" t="s">
        <v>50</v>
      </c>
      <c r="H10" s="2">
        <v>39966</v>
      </c>
      <c r="I10" s="2">
        <v>-559517</v>
      </c>
    </row>
    <row r="11" spans="1:9" x14ac:dyDescent="0.3">
      <c r="A11" t="s">
        <v>213</v>
      </c>
      <c r="B11" s="1">
        <v>45896</v>
      </c>
      <c r="C11" s="2">
        <v>3506</v>
      </c>
      <c r="D11" t="s">
        <v>70</v>
      </c>
      <c r="E11" t="s">
        <v>22</v>
      </c>
      <c r="H11" s="2">
        <v>408970</v>
      </c>
      <c r="I11" s="2">
        <v>-968487</v>
      </c>
    </row>
    <row r="12" spans="1:9" x14ac:dyDescent="0.3">
      <c r="A12" t="s">
        <v>214</v>
      </c>
      <c r="B12" s="1">
        <v>45896</v>
      </c>
      <c r="C12" s="2">
        <v>3507</v>
      </c>
      <c r="D12" t="s">
        <v>68</v>
      </c>
      <c r="E12" t="s">
        <v>67</v>
      </c>
      <c r="H12" s="2">
        <v>4257</v>
      </c>
      <c r="I12" s="2">
        <v>-972744</v>
      </c>
    </row>
    <row r="13" spans="1:9" x14ac:dyDescent="0.3">
      <c r="A13" t="s">
        <v>52</v>
      </c>
      <c r="B13" s="1">
        <v>45897</v>
      </c>
      <c r="C13" s="2">
        <v>3504</v>
      </c>
      <c r="D13" t="s">
        <v>48</v>
      </c>
      <c r="E13" t="s">
        <v>198</v>
      </c>
      <c r="H13" s="2">
        <v>37917</v>
      </c>
      <c r="I13" s="2">
        <v>-1010661</v>
      </c>
    </row>
    <row r="14" spans="1:9" x14ac:dyDescent="0.3">
      <c r="A14" t="s">
        <v>215</v>
      </c>
      <c r="B14" s="1">
        <v>45900</v>
      </c>
      <c r="C14" s="2">
        <v>3483</v>
      </c>
      <c r="D14" t="s">
        <v>20</v>
      </c>
      <c r="E14" t="s">
        <v>19</v>
      </c>
      <c r="H14" s="2">
        <v>965161</v>
      </c>
      <c r="I14" s="2">
        <v>-1975822</v>
      </c>
    </row>
    <row r="15" spans="1:9" x14ac:dyDescent="0.3">
      <c r="A15" t="s">
        <v>216</v>
      </c>
      <c r="B15" s="1">
        <v>45904</v>
      </c>
      <c r="C15" s="2">
        <v>3529</v>
      </c>
      <c r="D15" t="s">
        <v>217</v>
      </c>
      <c r="E15" t="s">
        <v>19</v>
      </c>
      <c r="G15" s="2">
        <v>78080</v>
      </c>
      <c r="I15" s="2">
        <v>-1897742</v>
      </c>
    </row>
    <row r="16" spans="1:9" x14ac:dyDescent="0.3">
      <c r="A16" t="s">
        <v>218</v>
      </c>
      <c r="B16" s="1">
        <v>45905</v>
      </c>
      <c r="C16" s="2">
        <v>3569</v>
      </c>
      <c r="D16" t="s">
        <v>219</v>
      </c>
      <c r="E16" t="s">
        <v>0</v>
      </c>
      <c r="G16" s="2">
        <v>248681</v>
      </c>
      <c r="I16" s="2">
        <v>-1649061</v>
      </c>
    </row>
    <row r="17" spans="1:9" x14ac:dyDescent="0.3">
      <c r="A17" t="s">
        <v>220</v>
      </c>
      <c r="B17" s="1">
        <v>45911</v>
      </c>
      <c r="C17" s="2">
        <v>3530</v>
      </c>
      <c r="D17" t="s">
        <v>221</v>
      </c>
      <c r="E17" t="s">
        <v>19</v>
      </c>
      <c r="G17" s="2">
        <v>67000</v>
      </c>
      <c r="I17" s="2">
        <v>-1582061</v>
      </c>
    </row>
    <row r="18" spans="1:9" x14ac:dyDescent="0.3">
      <c r="A18" t="s">
        <v>222</v>
      </c>
      <c r="B18" s="1">
        <v>45911</v>
      </c>
      <c r="C18" s="2">
        <v>3531</v>
      </c>
      <c r="D18" t="s">
        <v>202</v>
      </c>
      <c r="E18" t="s">
        <v>10</v>
      </c>
      <c r="G18" s="2">
        <v>607270</v>
      </c>
      <c r="I18" s="2">
        <v>-974791</v>
      </c>
    </row>
    <row r="19" spans="1:9" x14ac:dyDescent="0.3">
      <c r="A19" t="s">
        <v>223</v>
      </c>
      <c r="B19" s="1">
        <v>45911</v>
      </c>
      <c r="C19" s="2">
        <v>3532</v>
      </c>
      <c r="D19" t="s">
        <v>210</v>
      </c>
      <c r="E19" t="s">
        <v>67</v>
      </c>
      <c r="G19" s="2">
        <v>4267</v>
      </c>
      <c r="I19" s="2">
        <v>-970524</v>
      </c>
    </row>
    <row r="20" spans="1:9" x14ac:dyDescent="0.3">
      <c r="A20" t="s">
        <v>224</v>
      </c>
      <c r="B20" s="1">
        <v>45911</v>
      </c>
      <c r="C20" s="2">
        <v>3533</v>
      </c>
      <c r="D20" t="s">
        <v>221</v>
      </c>
      <c r="E20" t="s">
        <v>19</v>
      </c>
      <c r="G20" s="2">
        <v>965161</v>
      </c>
      <c r="I20" s="2">
        <v>-5363</v>
      </c>
    </row>
    <row r="21" spans="1:9" x14ac:dyDescent="0.3">
      <c r="A21" t="s">
        <v>225</v>
      </c>
      <c r="B21" s="1">
        <v>45911</v>
      </c>
      <c r="C21" s="2">
        <v>3534</v>
      </c>
      <c r="D21" t="s">
        <v>226</v>
      </c>
      <c r="E21" t="s">
        <v>198</v>
      </c>
      <c r="G21" s="2">
        <v>37919</v>
      </c>
      <c r="I21" s="2">
        <v>32556</v>
      </c>
    </row>
    <row r="22" spans="1:9" x14ac:dyDescent="0.3">
      <c r="A22" t="s">
        <v>227</v>
      </c>
      <c r="B22" s="1">
        <v>45911</v>
      </c>
      <c r="C22" s="2">
        <v>3535</v>
      </c>
      <c r="D22" t="s">
        <v>228</v>
      </c>
      <c r="E22" t="s">
        <v>22</v>
      </c>
      <c r="G22" s="2">
        <v>408970</v>
      </c>
      <c r="I22" s="2">
        <v>441526</v>
      </c>
    </row>
    <row r="23" spans="1:9" x14ac:dyDescent="0.3">
      <c r="A23" t="s">
        <v>229</v>
      </c>
      <c r="B23" s="1">
        <v>45911</v>
      </c>
      <c r="C23" s="2">
        <v>3536</v>
      </c>
      <c r="D23" t="s">
        <v>208</v>
      </c>
      <c r="E23" t="s">
        <v>50</v>
      </c>
      <c r="G23" s="2">
        <v>36966</v>
      </c>
      <c r="I23" s="2">
        <v>478492</v>
      </c>
    </row>
    <row r="24" spans="1:9" x14ac:dyDescent="0.3">
      <c r="A24" t="s">
        <v>230</v>
      </c>
      <c r="B24" s="1">
        <v>45917</v>
      </c>
      <c r="C24" s="2">
        <v>3571</v>
      </c>
      <c r="D24" t="s">
        <v>231</v>
      </c>
      <c r="E24" t="s">
        <v>0</v>
      </c>
      <c r="G24" s="2">
        <v>1453361</v>
      </c>
      <c r="I24" s="2">
        <v>1931853</v>
      </c>
    </row>
    <row r="25" spans="1:9" x14ac:dyDescent="0.3">
      <c r="A25" t="s">
        <v>232</v>
      </c>
      <c r="B25" s="1">
        <v>45925</v>
      </c>
      <c r="C25" s="2">
        <v>3538</v>
      </c>
      <c r="D25" t="s">
        <v>233</v>
      </c>
      <c r="E25" t="s">
        <v>234</v>
      </c>
      <c r="G25" s="2">
        <v>44839</v>
      </c>
      <c r="I25" s="2">
        <v>1976692</v>
      </c>
    </row>
    <row r="26" spans="1:9" x14ac:dyDescent="0.3">
      <c r="A26" t="s">
        <v>235</v>
      </c>
      <c r="B26" s="1">
        <v>45925</v>
      </c>
      <c r="C26" s="2">
        <v>3540</v>
      </c>
      <c r="D26" t="s">
        <v>236</v>
      </c>
      <c r="E26" t="s">
        <v>0</v>
      </c>
      <c r="G26" s="2">
        <v>39430</v>
      </c>
      <c r="I26" s="2">
        <v>2016122</v>
      </c>
    </row>
    <row r="27" spans="1:9" x14ac:dyDescent="0.3">
      <c r="A27" t="s">
        <v>237</v>
      </c>
      <c r="B27" s="1">
        <v>45926</v>
      </c>
      <c r="C27" s="2">
        <v>3579</v>
      </c>
      <c r="D27" t="s">
        <v>48</v>
      </c>
      <c r="E27" t="s">
        <v>198</v>
      </c>
      <c r="H27" s="2">
        <v>50192</v>
      </c>
      <c r="I27" s="2">
        <v>1965930</v>
      </c>
    </row>
    <row r="28" spans="1:9" x14ac:dyDescent="0.3">
      <c r="A28" t="s">
        <v>238</v>
      </c>
      <c r="B28" s="1">
        <v>45926</v>
      </c>
      <c r="C28" s="2">
        <v>3580</v>
      </c>
      <c r="D28" t="s">
        <v>70</v>
      </c>
      <c r="E28" t="s">
        <v>22</v>
      </c>
      <c r="H28" s="2">
        <v>925857</v>
      </c>
      <c r="I28" s="2">
        <v>1040073</v>
      </c>
    </row>
    <row r="29" spans="1:9" x14ac:dyDescent="0.3">
      <c r="A29" t="s">
        <v>239</v>
      </c>
      <c r="B29" s="1">
        <v>45926</v>
      </c>
      <c r="C29" s="2">
        <v>3581</v>
      </c>
      <c r="D29" t="s">
        <v>20</v>
      </c>
      <c r="E29" t="s">
        <v>19</v>
      </c>
      <c r="H29" s="2">
        <v>943249</v>
      </c>
      <c r="I29" s="2">
        <v>96824</v>
      </c>
    </row>
    <row r="30" spans="1:9" x14ac:dyDescent="0.3">
      <c r="A30" t="s">
        <v>240</v>
      </c>
      <c r="B30" s="1">
        <v>45926</v>
      </c>
      <c r="C30" s="2">
        <v>3582</v>
      </c>
      <c r="D30" t="s">
        <v>51</v>
      </c>
      <c r="E30" t="s">
        <v>50</v>
      </c>
      <c r="H30" s="2">
        <v>491676</v>
      </c>
      <c r="I30" s="2">
        <v>-394852</v>
      </c>
    </row>
    <row r="31" spans="1:9" x14ac:dyDescent="0.3">
      <c r="D31" t="s">
        <v>119</v>
      </c>
    </row>
    <row r="32" spans="1:9" x14ac:dyDescent="0.3">
      <c r="A32" t="s">
        <v>119</v>
      </c>
      <c r="D32" t="s">
        <v>241</v>
      </c>
      <c r="G32" s="2">
        <v>10596806</v>
      </c>
      <c r="H32" s="2">
        <v>4474516</v>
      </c>
    </row>
    <row r="33" spans="1:9" x14ac:dyDescent="0.3">
      <c r="A33" t="s">
        <v>241</v>
      </c>
      <c r="D33" t="s">
        <v>121</v>
      </c>
      <c r="I33" s="3">
        <v>-394852</v>
      </c>
    </row>
    <row r="34" spans="1:9" x14ac:dyDescent="0.3">
      <c r="A34" t="s">
        <v>121</v>
      </c>
      <c r="D34" t="s">
        <v>122</v>
      </c>
    </row>
    <row r="35" spans="1:9" x14ac:dyDescent="0.3">
      <c r="A35" t="s">
        <v>122</v>
      </c>
      <c r="D35" t="s">
        <v>1</v>
      </c>
    </row>
    <row r="36" spans="1:9" x14ac:dyDescent="0.3">
      <c r="A36" t="s">
        <v>1</v>
      </c>
      <c r="B36" t="s">
        <v>2</v>
      </c>
      <c r="C36" t="s">
        <v>3</v>
      </c>
      <c r="D36">
        <v>0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</row>
    <row r="37" spans="1:9" x14ac:dyDescent="0.3">
      <c r="A37" t="s">
        <v>212</v>
      </c>
      <c r="B37" s="1">
        <v>45896</v>
      </c>
      <c r="C37" s="2">
        <v>3496</v>
      </c>
      <c r="D37" t="s">
        <v>51</v>
      </c>
      <c r="E37" t="s">
        <v>50</v>
      </c>
      <c r="H37">
        <v>479.8</v>
      </c>
      <c r="I37">
        <v>-479.8</v>
      </c>
    </row>
    <row r="38" spans="1:9" x14ac:dyDescent="0.3">
      <c r="A38" t="s">
        <v>213</v>
      </c>
      <c r="B38" s="1">
        <v>45896</v>
      </c>
      <c r="C38" s="2">
        <v>3506</v>
      </c>
      <c r="D38" t="s">
        <v>70</v>
      </c>
      <c r="E38" t="s">
        <v>22</v>
      </c>
      <c r="H38">
        <v>487.61</v>
      </c>
      <c r="I38">
        <v>-967.41</v>
      </c>
    </row>
    <row r="39" spans="1:9" x14ac:dyDescent="0.3">
      <c r="A39" t="s">
        <v>52</v>
      </c>
      <c r="B39" s="1">
        <v>45897</v>
      </c>
      <c r="C39" s="2">
        <v>3504</v>
      </c>
      <c r="D39" t="s">
        <v>48</v>
      </c>
      <c r="E39" t="s">
        <v>198</v>
      </c>
      <c r="H39">
        <v>203.9</v>
      </c>
      <c r="I39" s="3">
        <v>-1171.31</v>
      </c>
    </row>
    <row r="40" spans="1:9" x14ac:dyDescent="0.3">
      <c r="A40" t="s">
        <v>237</v>
      </c>
      <c r="B40" s="1">
        <v>45926</v>
      </c>
      <c r="C40" s="2">
        <v>3579</v>
      </c>
      <c r="D40" t="s">
        <v>48</v>
      </c>
      <c r="E40" t="s">
        <v>198</v>
      </c>
      <c r="H40">
        <v>239.08</v>
      </c>
      <c r="I40" s="3">
        <v>-1410.39</v>
      </c>
    </row>
    <row r="41" spans="1:9" x14ac:dyDescent="0.3">
      <c r="A41" t="s">
        <v>237</v>
      </c>
      <c r="B41" s="1">
        <v>45926</v>
      </c>
      <c r="C41" s="2">
        <v>3579</v>
      </c>
      <c r="D41" t="s">
        <v>48</v>
      </c>
      <c r="E41" t="s">
        <v>198</v>
      </c>
      <c r="G41">
        <v>39.94</v>
      </c>
      <c r="I41" s="3">
        <v>-1370.45</v>
      </c>
    </row>
    <row r="42" spans="1:9" x14ac:dyDescent="0.3">
      <c r="A42" t="s">
        <v>238</v>
      </c>
      <c r="B42" s="1">
        <v>45926</v>
      </c>
      <c r="C42" s="2">
        <v>3580</v>
      </c>
      <c r="D42" t="s">
        <v>70</v>
      </c>
      <c r="E42" t="s">
        <v>22</v>
      </c>
      <c r="G42">
        <v>487.61</v>
      </c>
      <c r="I42">
        <v>-882.84</v>
      </c>
    </row>
    <row r="43" spans="1:9" x14ac:dyDescent="0.3">
      <c r="A43" t="s">
        <v>238</v>
      </c>
      <c r="B43" s="1">
        <v>45926</v>
      </c>
      <c r="C43" s="2">
        <v>3580</v>
      </c>
      <c r="D43" t="s">
        <v>70</v>
      </c>
      <c r="E43" t="s">
        <v>22</v>
      </c>
      <c r="H43">
        <v>137.11000000000001</v>
      </c>
      <c r="I43" s="3">
        <v>-1019.95</v>
      </c>
    </row>
    <row r="44" spans="1:9" x14ac:dyDescent="0.3">
      <c r="A44" t="s">
        <v>240</v>
      </c>
      <c r="B44" s="1">
        <v>45926</v>
      </c>
      <c r="C44" s="2">
        <v>3582</v>
      </c>
      <c r="D44" t="s">
        <v>51</v>
      </c>
      <c r="E44" t="s">
        <v>50</v>
      </c>
      <c r="G44">
        <v>479.8</v>
      </c>
      <c r="I44">
        <v>-540.15</v>
      </c>
    </row>
    <row r="45" spans="1:9" x14ac:dyDescent="0.3">
      <c r="A45" t="s">
        <v>240</v>
      </c>
      <c r="B45" s="1">
        <v>45926</v>
      </c>
      <c r="C45" s="2">
        <v>3582</v>
      </c>
      <c r="D45" t="s">
        <v>51</v>
      </c>
      <c r="E45" t="s">
        <v>50</v>
      </c>
      <c r="H45">
        <v>79.349999999999994</v>
      </c>
      <c r="I45">
        <v>-619.5</v>
      </c>
    </row>
    <row r="46" spans="1:9" x14ac:dyDescent="0.3">
      <c r="A46" t="s">
        <v>119</v>
      </c>
      <c r="G46" s="3">
        <v>1007.35</v>
      </c>
      <c r="H46" s="3">
        <v>1626.85</v>
      </c>
    </row>
    <row r="47" spans="1:9" x14ac:dyDescent="0.3">
      <c r="A47" t="s">
        <v>241</v>
      </c>
      <c r="I47">
        <v>-619.5</v>
      </c>
    </row>
    <row r="48" spans="1:9" x14ac:dyDescent="0.3">
      <c r="A48" t="s">
        <v>123</v>
      </c>
    </row>
    <row r="49" spans="1:1" x14ac:dyDescent="0.3">
      <c r="A49" t="s">
        <v>124</v>
      </c>
    </row>
  </sheetData>
  <autoFilter ref="A1:I49" xr:uid="{BBC32566-40EF-4D86-84AB-A4D31DCED50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23A7-3FF8-4104-99E4-D79FC77C40B4}">
  <sheetPr>
    <tabColor rgb="FFFFC000"/>
  </sheetPr>
  <dimension ref="A1:L75"/>
  <sheetViews>
    <sheetView topLeftCell="A55" workbookViewId="0">
      <selection activeCell="I80" sqref="I80"/>
    </sheetView>
  </sheetViews>
  <sheetFormatPr baseColWidth="10" defaultRowHeight="14" x14ac:dyDescent="0.3"/>
  <cols>
    <col min="4" max="4" width="24.69921875" customWidth="1"/>
    <col min="6" max="6" width="28" customWidth="1"/>
    <col min="11" max="11" width="13.69921875" bestFit="1" customWidth="1"/>
  </cols>
  <sheetData>
    <row r="1" spans="1:10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21</v>
      </c>
      <c r="B2" s="1">
        <v>45772</v>
      </c>
      <c r="C2" s="2">
        <v>2561</v>
      </c>
      <c r="D2" t="s">
        <v>23</v>
      </c>
      <c r="E2" t="s">
        <v>22</v>
      </c>
      <c r="H2" s="6">
        <v>806870</v>
      </c>
      <c r="I2" s="2">
        <f>-H2</f>
        <v>-806870</v>
      </c>
    </row>
    <row r="3" spans="1:10" x14ac:dyDescent="0.3">
      <c r="A3" t="s">
        <v>31</v>
      </c>
      <c r="B3" s="1">
        <v>45792</v>
      </c>
      <c r="C3" s="2">
        <v>2744</v>
      </c>
      <c r="D3" t="s">
        <v>32</v>
      </c>
      <c r="E3" t="s">
        <v>22</v>
      </c>
      <c r="G3" s="6">
        <v>806870</v>
      </c>
      <c r="I3" s="2">
        <f>+I2+G3</f>
        <v>0</v>
      </c>
    </row>
    <row r="4" spans="1:10" x14ac:dyDescent="0.3">
      <c r="A4" t="s">
        <v>21</v>
      </c>
      <c r="B4" s="1">
        <v>45772</v>
      </c>
      <c r="C4" s="2">
        <v>2561</v>
      </c>
      <c r="D4" t="s">
        <v>23</v>
      </c>
      <c r="E4" t="s">
        <v>22</v>
      </c>
      <c r="H4" s="7">
        <v>706.36</v>
      </c>
      <c r="I4" s="2">
        <f>-H4</f>
        <v>-706.36</v>
      </c>
    </row>
    <row r="5" spans="1:10" x14ac:dyDescent="0.3">
      <c r="A5" t="s">
        <v>21</v>
      </c>
      <c r="B5" s="1">
        <v>45772</v>
      </c>
      <c r="C5" s="2">
        <v>2561</v>
      </c>
      <c r="D5" t="s">
        <v>23</v>
      </c>
      <c r="E5" t="s">
        <v>22</v>
      </c>
      <c r="G5" s="7">
        <v>706.36</v>
      </c>
      <c r="I5" s="2">
        <f>+I4-G5</f>
        <v>-1412.72</v>
      </c>
    </row>
    <row r="6" spans="1:10" x14ac:dyDescent="0.3">
      <c r="A6" t="s">
        <v>43</v>
      </c>
      <c r="B6" s="1">
        <v>45805</v>
      </c>
      <c r="C6" s="2">
        <v>2909</v>
      </c>
      <c r="D6" t="s">
        <v>44</v>
      </c>
      <c r="E6" t="s">
        <v>22</v>
      </c>
      <c r="H6" s="6">
        <v>100449</v>
      </c>
      <c r="I6" s="2">
        <f>-H6</f>
        <v>-100449</v>
      </c>
    </row>
    <row r="7" spans="1:10" x14ac:dyDescent="0.3">
      <c r="A7" t="s">
        <v>43</v>
      </c>
      <c r="B7" s="1">
        <v>45805</v>
      </c>
      <c r="C7" s="2">
        <v>2909</v>
      </c>
      <c r="D7" t="s">
        <v>44</v>
      </c>
      <c r="E7" t="s">
        <v>22</v>
      </c>
      <c r="H7" s="8">
        <v>1710.39</v>
      </c>
      <c r="I7" s="2">
        <f>-H7</f>
        <v>-1710.39</v>
      </c>
    </row>
    <row r="8" spans="1:10" x14ac:dyDescent="0.3">
      <c r="A8" t="s">
        <v>57</v>
      </c>
      <c r="B8" s="1">
        <v>45820</v>
      </c>
      <c r="C8" s="2">
        <v>2859</v>
      </c>
      <c r="D8" t="s">
        <v>32</v>
      </c>
      <c r="E8" t="s">
        <v>22</v>
      </c>
      <c r="G8" s="6">
        <v>100449</v>
      </c>
      <c r="I8" s="2">
        <f>I6+G8</f>
        <v>0</v>
      </c>
    </row>
    <row r="9" spans="1:10" x14ac:dyDescent="0.3">
      <c r="A9" t="s">
        <v>69</v>
      </c>
      <c r="B9" s="1">
        <v>45834</v>
      </c>
      <c r="C9" s="2">
        <v>2916</v>
      </c>
      <c r="D9" t="s">
        <v>70</v>
      </c>
      <c r="E9" t="s">
        <v>22</v>
      </c>
      <c r="G9" s="8">
        <v>1710.39</v>
      </c>
      <c r="I9" s="2">
        <f>I7+G9</f>
        <v>0</v>
      </c>
    </row>
    <row r="10" spans="1:10" x14ac:dyDescent="0.3">
      <c r="A10" t="s">
        <v>69</v>
      </c>
      <c r="B10" s="1">
        <v>45834</v>
      </c>
      <c r="C10" s="2">
        <v>2916</v>
      </c>
      <c r="D10" t="s">
        <v>70</v>
      </c>
      <c r="E10" t="s">
        <v>22</v>
      </c>
      <c r="H10" s="6">
        <v>2020460</v>
      </c>
      <c r="I10" s="2">
        <f>-H10</f>
        <v>-2020460</v>
      </c>
    </row>
    <row r="11" spans="1:10" x14ac:dyDescent="0.3">
      <c r="A11" t="s">
        <v>76</v>
      </c>
      <c r="B11" s="1">
        <v>45848</v>
      </c>
      <c r="C11" s="2">
        <v>3050</v>
      </c>
      <c r="D11" t="s">
        <v>32</v>
      </c>
      <c r="E11" t="s">
        <v>22</v>
      </c>
      <c r="G11" s="6">
        <v>2020460</v>
      </c>
      <c r="I11" s="2">
        <f>+I10+G11</f>
        <v>0</v>
      </c>
    </row>
    <row r="12" spans="1:10" x14ac:dyDescent="0.3">
      <c r="A12" t="s">
        <v>81</v>
      </c>
      <c r="B12" s="1">
        <v>45867</v>
      </c>
      <c r="C12" s="2">
        <v>3093</v>
      </c>
      <c r="D12" t="s">
        <v>70</v>
      </c>
      <c r="E12" t="s">
        <v>22</v>
      </c>
      <c r="H12" s="2">
        <v>1476513</v>
      </c>
      <c r="I12" s="2">
        <f>-H12</f>
        <v>-1476513</v>
      </c>
    </row>
    <row r="13" spans="1:10" x14ac:dyDescent="0.3">
      <c r="A13" t="s">
        <v>91</v>
      </c>
      <c r="B13" s="1">
        <v>45869</v>
      </c>
      <c r="C13" s="2">
        <v>3276</v>
      </c>
      <c r="D13" t="s">
        <v>92</v>
      </c>
      <c r="E13" t="s">
        <v>22</v>
      </c>
      <c r="H13" s="2">
        <v>3388645</v>
      </c>
      <c r="I13" s="2">
        <f>I12+G13-H13</f>
        <v>-4865158</v>
      </c>
    </row>
    <row r="14" spans="1:10" x14ac:dyDescent="0.3">
      <c r="A14" t="s">
        <v>103</v>
      </c>
      <c r="B14" s="1">
        <v>45869</v>
      </c>
      <c r="C14" s="2">
        <v>3301</v>
      </c>
      <c r="D14" t="s">
        <v>104</v>
      </c>
      <c r="E14" t="s">
        <v>22</v>
      </c>
      <c r="H14" s="2">
        <v>1326542</v>
      </c>
      <c r="I14" s="2">
        <f t="shared" ref="I14:I15" si="0">I13+G14-H14</f>
        <v>-6191700</v>
      </c>
    </row>
    <row r="15" spans="1:10" x14ac:dyDescent="0.3">
      <c r="A15" t="s">
        <v>113</v>
      </c>
      <c r="B15" s="1">
        <v>45869</v>
      </c>
      <c r="C15" s="2">
        <v>3306</v>
      </c>
      <c r="D15" t="s">
        <v>114</v>
      </c>
      <c r="E15" t="s">
        <v>22</v>
      </c>
      <c r="H15" s="2">
        <v>46444</v>
      </c>
      <c r="I15" s="2">
        <f t="shared" si="0"/>
        <v>-6238144</v>
      </c>
    </row>
    <row r="16" spans="1:10" x14ac:dyDescent="0.3">
      <c r="A16" t="s">
        <v>69</v>
      </c>
      <c r="B16" s="1">
        <v>45834</v>
      </c>
      <c r="C16" s="2">
        <v>2916</v>
      </c>
      <c r="D16" t="s">
        <v>70</v>
      </c>
      <c r="E16" t="s">
        <v>22</v>
      </c>
      <c r="H16">
        <v>664.62</v>
      </c>
      <c r="I16" s="2">
        <f>I7+G16-H16</f>
        <v>-2375.0100000000002</v>
      </c>
      <c r="J16" s="4">
        <f>H16*936.29</f>
        <v>622277.05979999993</v>
      </c>
    </row>
    <row r="17" spans="1:9" x14ac:dyDescent="0.3">
      <c r="A17" t="s">
        <v>81</v>
      </c>
      <c r="B17" s="1">
        <v>45867</v>
      </c>
      <c r="C17" s="2">
        <v>3093</v>
      </c>
      <c r="D17" t="s">
        <v>70</v>
      </c>
      <c r="E17" t="s">
        <v>22</v>
      </c>
      <c r="G17">
        <v>664.62</v>
      </c>
      <c r="I17" s="2">
        <f>I9+G17-H17</f>
        <v>664.62</v>
      </c>
    </row>
    <row r="18" spans="1:9" x14ac:dyDescent="0.3">
      <c r="G18" s="4">
        <f>SUM(G2:G17)</f>
        <v>2930860.37</v>
      </c>
      <c r="H18" s="4">
        <f>SUM(H2:H17)</f>
        <v>9169004.3699999992</v>
      </c>
      <c r="I18" s="5">
        <f>H18-G18</f>
        <v>6238143.9999999991</v>
      </c>
    </row>
    <row r="21" spans="1:9" x14ac:dyDescent="0.3">
      <c r="D21" s="9" t="s">
        <v>126</v>
      </c>
      <c r="F21" s="10">
        <v>1476513</v>
      </c>
    </row>
    <row r="22" spans="1:9" x14ac:dyDescent="0.3">
      <c r="F22" s="5"/>
    </row>
    <row r="23" spans="1:9" x14ac:dyDescent="0.3">
      <c r="B23" s="11" t="s">
        <v>2</v>
      </c>
      <c r="C23" s="11" t="s">
        <v>3</v>
      </c>
      <c r="D23" s="11"/>
      <c r="E23" s="11" t="s">
        <v>4</v>
      </c>
      <c r="G23" s="11" t="s">
        <v>6</v>
      </c>
      <c r="H23" s="11" t="s">
        <v>7</v>
      </c>
      <c r="I23" s="11" t="s">
        <v>8</v>
      </c>
    </row>
    <row r="24" spans="1:9" x14ac:dyDescent="0.3">
      <c r="B24" s="1">
        <v>45772</v>
      </c>
      <c r="C24" s="2">
        <v>2561</v>
      </c>
      <c r="D24" t="s">
        <v>23</v>
      </c>
      <c r="E24" t="s">
        <v>22</v>
      </c>
      <c r="H24" s="6">
        <v>806870</v>
      </c>
      <c r="I24" s="2">
        <v>-4472434</v>
      </c>
    </row>
    <row r="25" spans="1:9" x14ac:dyDescent="0.3">
      <c r="B25" s="1">
        <v>45785</v>
      </c>
      <c r="C25" s="2">
        <v>2723</v>
      </c>
      <c r="D25" t="s">
        <v>139</v>
      </c>
      <c r="E25" t="s">
        <v>22</v>
      </c>
      <c r="G25" s="2">
        <v>15336</v>
      </c>
      <c r="I25" s="2">
        <v>-4439332</v>
      </c>
    </row>
    <row r="26" spans="1:9" x14ac:dyDescent="0.3">
      <c r="B26" s="1">
        <v>45792</v>
      </c>
      <c r="C26" s="2">
        <v>2744</v>
      </c>
      <c r="D26" t="s">
        <v>32</v>
      </c>
      <c r="E26" t="s">
        <v>22</v>
      </c>
      <c r="G26" s="6">
        <v>806870</v>
      </c>
      <c r="I26" s="2">
        <v>-461997</v>
      </c>
    </row>
    <row r="27" spans="1:9" x14ac:dyDescent="0.3">
      <c r="B27" s="1">
        <v>45805</v>
      </c>
      <c r="C27" s="2">
        <v>2909</v>
      </c>
      <c r="D27" t="s">
        <v>44</v>
      </c>
      <c r="E27" t="s">
        <v>22</v>
      </c>
      <c r="H27" s="6">
        <v>100449</v>
      </c>
      <c r="I27" s="2">
        <v>-337221</v>
      </c>
    </row>
    <row r="28" spans="1:9" x14ac:dyDescent="0.3">
      <c r="B28" s="1">
        <v>45820</v>
      </c>
      <c r="C28" s="2">
        <v>2859</v>
      </c>
      <c r="D28" t="s">
        <v>32</v>
      </c>
      <c r="E28" t="s">
        <v>22</v>
      </c>
      <c r="G28" s="6">
        <v>100449</v>
      </c>
      <c r="I28" s="2">
        <v>-185685</v>
      </c>
    </row>
    <row r="29" spans="1:9" x14ac:dyDescent="0.3">
      <c r="B29" s="1">
        <v>45834</v>
      </c>
      <c r="C29" s="2">
        <v>2916</v>
      </c>
      <c r="D29" t="s">
        <v>70</v>
      </c>
      <c r="E29" t="s">
        <v>22</v>
      </c>
      <c r="H29" s="6">
        <v>2020460</v>
      </c>
      <c r="I29" s="2">
        <v>-3592848</v>
      </c>
    </row>
    <row r="30" spans="1:9" x14ac:dyDescent="0.3">
      <c r="B30" s="1">
        <v>45848</v>
      </c>
      <c r="C30" s="2">
        <v>3050</v>
      </c>
      <c r="D30" t="s">
        <v>32</v>
      </c>
      <c r="E30" t="s">
        <v>22</v>
      </c>
      <c r="G30" s="6">
        <v>2020460</v>
      </c>
      <c r="I30" s="2">
        <v>-524788</v>
      </c>
    </row>
    <row r="31" spans="1:9" x14ac:dyDescent="0.3">
      <c r="B31" s="1">
        <v>45867</v>
      </c>
      <c r="C31" s="2">
        <v>3093</v>
      </c>
      <c r="D31" t="s">
        <v>70</v>
      </c>
      <c r="E31" t="s">
        <v>22</v>
      </c>
      <c r="H31" s="12">
        <v>1476513</v>
      </c>
      <c r="I31" s="2">
        <v>-3755343</v>
      </c>
    </row>
    <row r="32" spans="1:9" x14ac:dyDescent="0.3">
      <c r="B32" s="1">
        <v>45869</v>
      </c>
      <c r="C32" s="2">
        <v>3276</v>
      </c>
      <c r="D32" t="s">
        <v>92</v>
      </c>
      <c r="E32" t="s">
        <v>22</v>
      </c>
      <c r="H32" s="13">
        <v>3388645</v>
      </c>
      <c r="I32" s="2">
        <v>-14255289</v>
      </c>
    </row>
    <row r="33" spans="2:10" x14ac:dyDescent="0.3">
      <c r="B33" s="1">
        <v>45869</v>
      </c>
      <c r="C33" s="2">
        <v>3301</v>
      </c>
      <c r="D33" t="s">
        <v>104</v>
      </c>
      <c r="E33" t="s">
        <v>22</v>
      </c>
      <c r="H33" s="13">
        <v>1326542</v>
      </c>
      <c r="I33" s="2">
        <v>-20889556</v>
      </c>
      <c r="J33">
        <v>2011</v>
      </c>
    </row>
    <row r="34" spans="2:10" x14ac:dyDescent="0.3">
      <c r="B34" s="1">
        <v>45869</v>
      </c>
      <c r="C34" s="2">
        <v>3306</v>
      </c>
      <c r="D34" t="s">
        <v>114</v>
      </c>
      <c r="E34" t="s">
        <v>22</v>
      </c>
      <c r="H34" s="13">
        <v>46444</v>
      </c>
      <c r="I34" s="2">
        <v>-22199356</v>
      </c>
    </row>
    <row r="35" spans="2:10" x14ac:dyDescent="0.3">
      <c r="B35" s="1">
        <v>45869</v>
      </c>
      <c r="C35" s="2">
        <v>3451</v>
      </c>
      <c r="D35" t="s">
        <v>156</v>
      </c>
      <c r="E35" t="s">
        <v>22</v>
      </c>
      <c r="H35" s="2">
        <v>15336</v>
      </c>
      <c r="I35" s="2">
        <v>-24836047</v>
      </c>
    </row>
    <row r="37" spans="2:10" x14ac:dyDescent="0.3">
      <c r="B37" s="14" t="s">
        <v>2</v>
      </c>
      <c r="C37" s="14" t="s">
        <v>3</v>
      </c>
      <c r="D37" s="14"/>
      <c r="E37" s="14" t="s">
        <v>4</v>
      </c>
      <c r="F37" s="14" t="s">
        <v>5</v>
      </c>
      <c r="G37" s="14" t="s">
        <v>6</v>
      </c>
      <c r="H37" s="14" t="s">
        <v>7</v>
      </c>
      <c r="I37" s="14" t="s">
        <v>8</v>
      </c>
    </row>
    <row r="38" spans="2:10" x14ac:dyDescent="0.3">
      <c r="B38" s="1">
        <v>45772</v>
      </c>
      <c r="C38" s="2">
        <v>2561</v>
      </c>
      <c r="D38" t="s">
        <v>23</v>
      </c>
      <c r="E38" t="s">
        <v>22</v>
      </c>
      <c r="H38" s="2">
        <v>806870</v>
      </c>
      <c r="I38" s="2">
        <f>-H38</f>
        <v>-806870</v>
      </c>
    </row>
    <row r="39" spans="2:10" x14ac:dyDescent="0.3">
      <c r="B39" s="1">
        <v>45785</v>
      </c>
      <c r="C39" s="2">
        <v>2723</v>
      </c>
      <c r="D39" t="s">
        <v>139</v>
      </c>
      <c r="E39" t="s">
        <v>22</v>
      </c>
      <c r="G39" s="2">
        <v>15336</v>
      </c>
      <c r="I39" s="2">
        <f>I38+G39-H39</f>
        <v>-791534</v>
      </c>
    </row>
    <row r="40" spans="2:10" x14ac:dyDescent="0.3">
      <c r="B40" s="1">
        <v>45792</v>
      </c>
      <c r="C40" s="2">
        <v>2744</v>
      </c>
      <c r="D40" t="s">
        <v>32</v>
      </c>
      <c r="E40" t="s">
        <v>22</v>
      </c>
      <c r="G40" s="2">
        <v>806870</v>
      </c>
      <c r="I40" s="2">
        <f t="shared" ref="I40:I53" si="1">I39+G40-H40</f>
        <v>15336</v>
      </c>
    </row>
    <row r="41" spans="2:10" x14ac:dyDescent="0.3">
      <c r="B41" s="1">
        <v>45805</v>
      </c>
      <c r="C41" s="2">
        <v>2909</v>
      </c>
      <c r="D41" t="s">
        <v>44</v>
      </c>
      <c r="E41" t="s">
        <v>22</v>
      </c>
      <c r="H41" s="2">
        <v>100449</v>
      </c>
      <c r="I41" s="2">
        <f t="shared" si="1"/>
        <v>-85113</v>
      </c>
    </row>
    <row r="42" spans="2:10" x14ac:dyDescent="0.3">
      <c r="B42" s="1">
        <v>45820</v>
      </c>
      <c r="C42" s="2">
        <v>2859</v>
      </c>
      <c r="D42" t="s">
        <v>32</v>
      </c>
      <c r="E42" t="s">
        <v>22</v>
      </c>
      <c r="G42" s="2">
        <v>100449</v>
      </c>
      <c r="I42" s="2">
        <f t="shared" si="1"/>
        <v>15336</v>
      </c>
    </row>
    <row r="43" spans="2:10" x14ac:dyDescent="0.3">
      <c r="B43" s="1">
        <v>45834</v>
      </c>
      <c r="C43" s="2">
        <v>2916</v>
      </c>
      <c r="D43" t="s">
        <v>70</v>
      </c>
      <c r="E43" t="s">
        <v>22</v>
      </c>
      <c r="H43" s="2">
        <v>2020460</v>
      </c>
      <c r="I43" s="2">
        <f t="shared" si="1"/>
        <v>-2005124</v>
      </c>
    </row>
    <row r="44" spans="2:10" x14ac:dyDescent="0.3">
      <c r="B44" s="1">
        <v>45848</v>
      </c>
      <c r="C44" s="2">
        <v>3050</v>
      </c>
      <c r="D44" t="s">
        <v>32</v>
      </c>
      <c r="E44" t="s">
        <v>22</v>
      </c>
      <c r="G44" s="2">
        <v>2020460</v>
      </c>
      <c r="I44" s="2">
        <f t="shared" si="1"/>
        <v>15336</v>
      </c>
    </row>
    <row r="45" spans="2:10" x14ac:dyDescent="0.3">
      <c r="B45" s="1">
        <v>45867</v>
      </c>
      <c r="C45" s="2">
        <v>3093</v>
      </c>
      <c r="D45" t="s">
        <v>70</v>
      </c>
      <c r="E45" t="s">
        <v>22</v>
      </c>
      <c r="H45" s="2">
        <v>1476513</v>
      </c>
      <c r="I45" s="2">
        <f t="shared" si="1"/>
        <v>-1461177</v>
      </c>
    </row>
    <row r="46" spans="2:10" x14ac:dyDescent="0.3">
      <c r="B46" s="1">
        <v>45869</v>
      </c>
      <c r="C46" s="2">
        <v>3276</v>
      </c>
      <c r="D46" t="s">
        <v>92</v>
      </c>
      <c r="E46" t="s">
        <v>22</v>
      </c>
      <c r="H46" s="2">
        <v>3388645</v>
      </c>
      <c r="I46" s="2">
        <f t="shared" si="1"/>
        <v>-4849822</v>
      </c>
    </row>
    <row r="47" spans="2:10" x14ac:dyDescent="0.3">
      <c r="B47" s="1">
        <v>45869</v>
      </c>
      <c r="C47" s="2">
        <v>3301</v>
      </c>
      <c r="D47" t="s">
        <v>104</v>
      </c>
      <c r="E47" t="s">
        <v>22</v>
      </c>
      <c r="H47" s="2">
        <v>1326542</v>
      </c>
      <c r="I47" s="2">
        <f t="shared" si="1"/>
        <v>-6176364</v>
      </c>
    </row>
    <row r="48" spans="2:10" x14ac:dyDescent="0.3">
      <c r="B48" s="1">
        <v>45869</v>
      </c>
      <c r="C48" s="2">
        <v>3306</v>
      </c>
      <c r="D48" t="s">
        <v>114</v>
      </c>
      <c r="E48" t="s">
        <v>22</v>
      </c>
      <c r="H48" s="2">
        <v>46444</v>
      </c>
      <c r="I48" s="2">
        <f t="shared" si="1"/>
        <v>-6222808</v>
      </c>
    </row>
    <row r="49" spans="1:9" x14ac:dyDescent="0.3">
      <c r="B49" s="1">
        <v>45869</v>
      </c>
      <c r="C49" s="2">
        <v>3451</v>
      </c>
      <c r="D49" t="s">
        <v>156</v>
      </c>
      <c r="E49" t="s">
        <v>22</v>
      </c>
      <c r="H49" s="2">
        <v>15336</v>
      </c>
      <c r="I49" s="2">
        <f t="shared" si="1"/>
        <v>-6238144</v>
      </c>
    </row>
    <row r="50" spans="1:9" x14ac:dyDescent="0.3">
      <c r="B50" s="1">
        <v>45869</v>
      </c>
      <c r="C50" s="2">
        <v>3574</v>
      </c>
      <c r="D50" t="s">
        <v>194</v>
      </c>
      <c r="E50" t="s">
        <v>22</v>
      </c>
      <c r="G50" s="2">
        <v>1326542</v>
      </c>
      <c r="I50" s="2">
        <f t="shared" si="1"/>
        <v>-4911602</v>
      </c>
    </row>
    <row r="51" spans="1:9" x14ac:dyDescent="0.3">
      <c r="B51" s="1">
        <v>45693</v>
      </c>
      <c r="C51" s="2">
        <v>2278</v>
      </c>
      <c r="D51" t="s">
        <v>173</v>
      </c>
      <c r="E51" t="s">
        <v>22</v>
      </c>
      <c r="G51" s="2">
        <v>1611355</v>
      </c>
      <c r="I51" s="2">
        <f t="shared" si="1"/>
        <v>-3300247</v>
      </c>
    </row>
    <row r="52" spans="1:9" x14ac:dyDescent="0.3">
      <c r="B52" s="1">
        <v>45701</v>
      </c>
      <c r="C52" s="2">
        <v>2284</v>
      </c>
      <c r="D52" t="s">
        <v>173</v>
      </c>
      <c r="E52" t="s">
        <v>22</v>
      </c>
      <c r="G52" s="2">
        <v>1777290</v>
      </c>
      <c r="I52" s="2">
        <f t="shared" si="1"/>
        <v>-1522957</v>
      </c>
    </row>
    <row r="53" spans="1:9" x14ac:dyDescent="0.3">
      <c r="B53" s="1">
        <v>45762</v>
      </c>
      <c r="C53" s="2">
        <v>2509</v>
      </c>
      <c r="D53" t="s">
        <v>186</v>
      </c>
      <c r="E53" t="s">
        <v>22</v>
      </c>
      <c r="G53" s="2">
        <v>46444</v>
      </c>
      <c r="I53" s="15">
        <f t="shared" si="1"/>
        <v>-1476513</v>
      </c>
    </row>
    <row r="54" spans="1:9" x14ac:dyDescent="0.3">
      <c r="B54" s="1">
        <v>45882</v>
      </c>
      <c r="C54" s="2">
        <v>3260</v>
      </c>
      <c r="D54" t="s">
        <v>206</v>
      </c>
      <c r="E54" t="s">
        <v>22</v>
      </c>
      <c r="G54" s="2">
        <v>1476513</v>
      </c>
      <c r="I54" s="2">
        <f>I53+G54-H54</f>
        <v>0</v>
      </c>
    </row>
    <row r="55" spans="1:9" x14ac:dyDescent="0.3">
      <c r="B55" s="1">
        <v>45896</v>
      </c>
      <c r="C55" s="2">
        <v>3506</v>
      </c>
      <c r="D55" t="s">
        <v>70</v>
      </c>
      <c r="E55" t="s">
        <v>22</v>
      </c>
      <c r="H55" s="2">
        <v>408970</v>
      </c>
      <c r="I55" s="2">
        <f t="shared" ref="I55:I64" si="2">I54+G55-H55</f>
        <v>-408970</v>
      </c>
    </row>
    <row r="56" spans="1:9" x14ac:dyDescent="0.3">
      <c r="B56" s="1"/>
      <c r="C56" s="2"/>
      <c r="D56" s="16" t="s">
        <v>243</v>
      </c>
      <c r="H56" s="2">
        <f>28000+137718</f>
        <v>165718</v>
      </c>
      <c r="I56" s="2">
        <f t="shared" si="2"/>
        <v>-574688</v>
      </c>
    </row>
    <row r="57" spans="1:9" x14ac:dyDescent="0.3">
      <c r="B57" s="1">
        <v>45911</v>
      </c>
      <c r="C57" s="2">
        <v>3535</v>
      </c>
      <c r="D57" t="s">
        <v>228</v>
      </c>
      <c r="E57" t="s">
        <v>22</v>
      </c>
      <c r="G57" s="2">
        <v>408970</v>
      </c>
      <c r="I57" s="2">
        <f t="shared" si="2"/>
        <v>-165718</v>
      </c>
    </row>
    <row r="58" spans="1:9" x14ac:dyDescent="0.3">
      <c r="B58" s="1">
        <v>45926</v>
      </c>
      <c r="C58" s="2">
        <v>3580</v>
      </c>
      <c r="D58" t="s">
        <v>70</v>
      </c>
      <c r="E58" t="s">
        <v>22</v>
      </c>
      <c r="H58" s="6">
        <v>925857</v>
      </c>
      <c r="I58" s="2">
        <f t="shared" si="2"/>
        <v>-1091575</v>
      </c>
    </row>
    <row r="59" spans="1:9" x14ac:dyDescent="0.3">
      <c r="A59" t="s">
        <v>244</v>
      </c>
      <c r="B59" s="1">
        <v>45944</v>
      </c>
      <c r="C59" s="2">
        <v>3748</v>
      </c>
      <c r="D59" t="s">
        <v>22</v>
      </c>
      <c r="G59" s="2">
        <v>925857</v>
      </c>
      <c r="I59" s="2">
        <f t="shared" si="2"/>
        <v>-165718</v>
      </c>
    </row>
    <row r="60" spans="1:9" x14ac:dyDescent="0.3">
      <c r="A60" t="s">
        <v>245</v>
      </c>
      <c r="B60" s="1">
        <v>45958</v>
      </c>
      <c r="C60" s="2">
        <v>3802</v>
      </c>
      <c r="D60" t="s">
        <v>22</v>
      </c>
      <c r="H60" s="2">
        <v>2007310</v>
      </c>
      <c r="I60" s="2">
        <f t="shared" si="2"/>
        <v>-2173028</v>
      </c>
    </row>
    <row r="61" spans="1:9" x14ac:dyDescent="0.3">
      <c r="A61" t="s">
        <v>254</v>
      </c>
      <c r="B61" s="1">
        <v>45974</v>
      </c>
      <c r="C61" s="2">
        <v>3906</v>
      </c>
      <c r="E61" t="s">
        <v>22</v>
      </c>
      <c r="G61" s="2">
        <v>2007310</v>
      </c>
      <c r="I61" s="2">
        <f t="shared" si="2"/>
        <v>-165718</v>
      </c>
    </row>
    <row r="62" spans="1:9" x14ac:dyDescent="0.3">
      <c r="A62" t="s">
        <v>255</v>
      </c>
      <c r="B62" s="1">
        <v>45987</v>
      </c>
      <c r="C62" s="2">
        <v>3954</v>
      </c>
      <c r="D62" t="str">
        <f t="shared" ref="D62" si="3">+A62</f>
        <v>adig/1766</v>
      </c>
      <c r="E62" t="s">
        <v>22</v>
      </c>
      <c r="H62" s="2">
        <v>1908028</v>
      </c>
      <c r="I62" s="2">
        <f t="shared" si="2"/>
        <v>-2073746</v>
      </c>
    </row>
    <row r="63" spans="1:9" x14ac:dyDescent="0.3">
      <c r="A63" t="s">
        <v>265</v>
      </c>
      <c r="B63" s="1">
        <v>46006</v>
      </c>
      <c r="C63" s="2">
        <v>4058</v>
      </c>
      <c r="D63" t="s">
        <v>228</v>
      </c>
      <c r="E63" t="s">
        <v>22</v>
      </c>
      <c r="G63" s="2">
        <v>1908028</v>
      </c>
      <c r="I63" s="2">
        <f t="shared" si="2"/>
        <v>-165718</v>
      </c>
    </row>
    <row r="64" spans="1:9" x14ac:dyDescent="0.3">
      <c r="A64" t="s">
        <v>266</v>
      </c>
      <c r="B64" s="1">
        <v>46017</v>
      </c>
      <c r="C64" s="2">
        <v>4130</v>
      </c>
      <c r="D64" t="s">
        <v>267</v>
      </c>
      <c r="E64" t="s">
        <v>22</v>
      </c>
      <c r="H64" s="2">
        <v>596065</v>
      </c>
      <c r="I64" s="20">
        <f t="shared" si="2"/>
        <v>-761783</v>
      </c>
    </row>
    <row r="65" spans="1:12" x14ac:dyDescent="0.3">
      <c r="B65" s="1"/>
      <c r="C65" s="2"/>
      <c r="G65" s="2"/>
      <c r="I65" s="2"/>
    </row>
    <row r="66" spans="1:12" x14ac:dyDescent="0.3">
      <c r="B66" s="1"/>
      <c r="C66" s="2"/>
      <c r="H66" s="2"/>
      <c r="I66" s="2"/>
    </row>
    <row r="67" spans="1:12" x14ac:dyDescent="0.3">
      <c r="B67" s="1">
        <v>45896</v>
      </c>
      <c r="C67" s="2">
        <v>3506</v>
      </c>
      <c r="D67" t="s">
        <v>70</v>
      </c>
      <c r="E67" t="s">
        <v>22</v>
      </c>
      <c r="H67">
        <v>487.61</v>
      </c>
      <c r="I67">
        <f>-H67</f>
        <v>-487.61</v>
      </c>
      <c r="J67" s="4"/>
      <c r="K67" s="17"/>
    </row>
    <row r="68" spans="1:12" x14ac:dyDescent="0.3">
      <c r="B68" s="1">
        <v>45926</v>
      </c>
      <c r="C68" s="2">
        <v>3580</v>
      </c>
      <c r="D68" t="s">
        <v>70</v>
      </c>
      <c r="E68" t="s">
        <v>22</v>
      </c>
      <c r="G68">
        <v>487.61</v>
      </c>
      <c r="I68">
        <f>I67+G68-H68</f>
        <v>0</v>
      </c>
      <c r="J68" s="4"/>
    </row>
    <row r="69" spans="1:12" x14ac:dyDescent="0.3">
      <c r="B69" s="1">
        <v>45926</v>
      </c>
      <c r="C69" s="2">
        <v>3580</v>
      </c>
      <c r="D69" t="s">
        <v>70</v>
      </c>
      <c r="E69" t="s">
        <v>22</v>
      </c>
      <c r="H69" s="7">
        <v>137.11000000000001</v>
      </c>
      <c r="I69">
        <f>I68+G69-H69</f>
        <v>-137.11000000000001</v>
      </c>
      <c r="J69" s="4"/>
    </row>
    <row r="70" spans="1:12" x14ac:dyDescent="0.3">
      <c r="B70" s="1">
        <v>45958</v>
      </c>
      <c r="C70" s="2">
        <v>3802</v>
      </c>
      <c r="E70" t="s">
        <v>22</v>
      </c>
      <c r="G70">
        <v>137.11000000000001</v>
      </c>
      <c r="I70">
        <f t="shared" ref="I70:I75" si="4">I69+G70-H70</f>
        <v>0</v>
      </c>
      <c r="J70" s="2"/>
      <c r="K70">
        <v>-2041897</v>
      </c>
    </row>
    <row r="71" spans="1:12" x14ac:dyDescent="0.3">
      <c r="B71" s="1">
        <v>45958</v>
      </c>
      <c r="C71" s="2">
        <v>3802</v>
      </c>
      <c r="E71" t="s">
        <v>22</v>
      </c>
      <c r="H71">
        <v>1139.58</v>
      </c>
      <c r="I71">
        <f t="shared" si="4"/>
        <v>-1139.58</v>
      </c>
      <c r="J71" s="2">
        <f>-H73*928.16</f>
        <v>-119519.16320000001</v>
      </c>
      <c r="K71" s="19">
        <f>+J71+I62</f>
        <v>-2193265.1631999998</v>
      </c>
      <c r="L71" s="2">
        <f>K71-K70</f>
        <v>-151368.16319999984</v>
      </c>
    </row>
    <row r="72" spans="1:12" x14ac:dyDescent="0.3">
      <c r="A72" t="s">
        <v>255</v>
      </c>
      <c r="B72" s="1">
        <v>45987</v>
      </c>
      <c r="C72" s="2">
        <v>3954</v>
      </c>
      <c r="D72" t="str">
        <f t="shared" ref="D72" si="5">+A72</f>
        <v>adig/1766</v>
      </c>
      <c r="E72" t="s">
        <v>22</v>
      </c>
      <c r="G72" s="3">
        <v>1139.58</v>
      </c>
      <c r="I72">
        <f t="shared" si="4"/>
        <v>0</v>
      </c>
    </row>
    <row r="73" spans="1:12" x14ac:dyDescent="0.3">
      <c r="A73" t="s">
        <v>255</v>
      </c>
      <c r="B73">
        <v>45987</v>
      </c>
      <c r="C73">
        <v>3954</v>
      </c>
      <c r="D73" t="s">
        <v>255</v>
      </c>
      <c r="E73" t="s">
        <v>22</v>
      </c>
      <c r="H73">
        <v>128.77000000000001</v>
      </c>
      <c r="I73">
        <f t="shared" si="4"/>
        <v>-128.77000000000001</v>
      </c>
    </row>
    <row r="74" spans="1:12" x14ac:dyDescent="0.3">
      <c r="A74" t="s">
        <v>266</v>
      </c>
      <c r="B74" s="1">
        <v>46017</v>
      </c>
      <c r="C74" s="2">
        <v>4130</v>
      </c>
      <c r="D74" t="s">
        <v>267</v>
      </c>
      <c r="E74" t="s">
        <v>22</v>
      </c>
      <c r="G74">
        <v>128.77000000000001</v>
      </c>
      <c r="I74">
        <f t="shared" si="4"/>
        <v>0</v>
      </c>
    </row>
    <row r="75" spans="1:12" x14ac:dyDescent="0.3">
      <c r="A75" t="s">
        <v>266</v>
      </c>
      <c r="B75" s="1">
        <v>46017</v>
      </c>
      <c r="C75" s="2">
        <v>4130</v>
      </c>
      <c r="D75" t="s">
        <v>267</v>
      </c>
      <c r="E75" t="s">
        <v>22</v>
      </c>
      <c r="H75">
        <v>667.63</v>
      </c>
      <c r="I75" s="21">
        <f t="shared" si="4"/>
        <v>-667.63</v>
      </c>
      <c r="J75" s="2">
        <f>-H75*907.13</f>
        <v>-605627.20189999999</v>
      </c>
      <c r="K75" s="19">
        <f>+J75+I64</f>
        <v>-1367410.2019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5604-3FA6-44FF-B029-53958B16D462}">
  <dimension ref="A1:K407"/>
  <sheetViews>
    <sheetView tabSelected="1" topLeftCell="A397" workbookViewId="0">
      <selection activeCell="H397" sqref="H397"/>
    </sheetView>
  </sheetViews>
  <sheetFormatPr baseColWidth="10" defaultRowHeight="14" x14ac:dyDescent="0.3"/>
  <cols>
    <col min="7" max="8" width="11.19921875" style="4"/>
    <col min="9" max="9" width="12.59765625" style="4" bestFit="1" customWidth="1"/>
  </cols>
  <sheetData>
    <row r="1" spans="1:9" x14ac:dyDescent="0.3">
      <c r="A1" s="24" t="s">
        <v>295</v>
      </c>
      <c r="B1" s="24" t="s">
        <v>296</v>
      </c>
      <c r="C1" s="24" t="s">
        <v>297</v>
      </c>
      <c r="D1" s="24" t="s">
        <v>298</v>
      </c>
      <c r="E1" s="24" t="s">
        <v>299</v>
      </c>
      <c r="F1" s="24" t="s">
        <v>300</v>
      </c>
      <c r="G1" s="27" t="s">
        <v>301</v>
      </c>
      <c r="H1" s="27" t="s">
        <v>302</v>
      </c>
      <c r="I1" s="27"/>
    </row>
    <row r="2" spans="1:9" x14ac:dyDescent="0.3">
      <c r="A2" s="16" t="s">
        <v>303</v>
      </c>
      <c r="B2" s="16" t="s">
        <v>304</v>
      </c>
      <c r="C2" s="25">
        <v>45667</v>
      </c>
      <c r="D2" s="16" t="s">
        <v>305</v>
      </c>
      <c r="E2" s="16" t="s">
        <v>306</v>
      </c>
      <c r="F2" s="16" t="s">
        <v>307</v>
      </c>
      <c r="G2" s="28">
        <v>0</v>
      </c>
      <c r="H2" s="28">
        <v>350570</v>
      </c>
      <c r="I2" s="28">
        <f>+G2-H2</f>
        <v>-350570</v>
      </c>
    </row>
    <row r="3" spans="1:9" x14ac:dyDescent="0.3">
      <c r="A3" s="16" t="s">
        <v>303</v>
      </c>
      <c r="B3" s="16" t="s">
        <v>304</v>
      </c>
      <c r="C3" s="25">
        <v>45667</v>
      </c>
      <c r="D3" s="16" t="s">
        <v>305</v>
      </c>
      <c r="E3" s="16" t="s">
        <v>306</v>
      </c>
      <c r="F3" s="16" t="s">
        <v>307</v>
      </c>
      <c r="G3" s="28">
        <v>0</v>
      </c>
      <c r="H3" s="28">
        <v>51920</v>
      </c>
      <c r="I3" s="28">
        <f>I2+G3-H3</f>
        <v>-402490</v>
      </c>
    </row>
    <row r="4" spans="1:9" x14ac:dyDescent="0.3">
      <c r="A4" s="16" t="s">
        <v>303</v>
      </c>
      <c r="B4" s="16" t="s">
        <v>304</v>
      </c>
      <c r="C4" s="25">
        <v>45670</v>
      </c>
      <c r="D4" s="16" t="s">
        <v>308</v>
      </c>
      <c r="E4" s="16" t="s">
        <v>309</v>
      </c>
      <c r="F4" s="16" t="s">
        <v>310</v>
      </c>
      <c r="G4" s="28">
        <v>2919571</v>
      </c>
      <c r="H4" s="28">
        <v>0</v>
      </c>
      <c r="I4" s="28">
        <f t="shared" ref="I4:I67" si="0">I3+G4-H4</f>
        <v>2517081</v>
      </c>
    </row>
    <row r="5" spans="1:9" x14ac:dyDescent="0.3">
      <c r="A5" s="16" t="s">
        <v>303</v>
      </c>
      <c r="B5" s="16" t="s">
        <v>304</v>
      </c>
      <c r="C5" s="25">
        <v>45670</v>
      </c>
      <c r="D5" s="16" t="s">
        <v>305</v>
      </c>
      <c r="E5" s="16" t="s">
        <v>311</v>
      </c>
      <c r="F5" s="16"/>
      <c r="G5" s="28">
        <v>0</v>
      </c>
      <c r="H5" s="28">
        <v>697</v>
      </c>
      <c r="I5" s="28">
        <f t="shared" si="0"/>
        <v>2516384</v>
      </c>
    </row>
    <row r="6" spans="1:9" x14ac:dyDescent="0.3">
      <c r="A6" s="16" t="s">
        <v>303</v>
      </c>
      <c r="B6" s="16" t="s">
        <v>304</v>
      </c>
      <c r="C6" s="25">
        <v>45673</v>
      </c>
      <c r="D6" s="16" t="s">
        <v>312</v>
      </c>
      <c r="E6" s="16" t="s">
        <v>313</v>
      </c>
      <c r="F6" s="16" t="s">
        <v>314</v>
      </c>
      <c r="G6" s="28">
        <v>0</v>
      </c>
      <c r="H6" s="28">
        <v>110880</v>
      </c>
      <c r="I6" s="28">
        <f t="shared" si="0"/>
        <v>2405504</v>
      </c>
    </row>
    <row r="7" spans="1:9" x14ac:dyDescent="0.3">
      <c r="A7" s="16" t="s">
        <v>303</v>
      </c>
      <c r="B7" s="16" t="s">
        <v>304</v>
      </c>
      <c r="C7" s="25">
        <v>45675</v>
      </c>
      <c r="D7" s="16" t="s">
        <v>305</v>
      </c>
      <c r="E7" s="16" t="s">
        <v>306</v>
      </c>
      <c r="F7" s="16" t="s">
        <v>315</v>
      </c>
      <c r="G7" s="28">
        <v>0</v>
      </c>
      <c r="H7" s="28">
        <v>26000</v>
      </c>
      <c r="I7" s="28">
        <f t="shared" si="0"/>
        <v>2379504</v>
      </c>
    </row>
    <row r="8" spans="1:9" x14ac:dyDescent="0.3">
      <c r="A8" s="16" t="s">
        <v>303</v>
      </c>
      <c r="B8" s="16" t="s">
        <v>304</v>
      </c>
      <c r="C8" s="25">
        <v>45675</v>
      </c>
      <c r="D8" s="16" t="s">
        <v>305</v>
      </c>
      <c r="E8" s="16" t="s">
        <v>306</v>
      </c>
      <c r="F8" s="16" t="s">
        <v>316</v>
      </c>
      <c r="G8" s="28">
        <v>0</v>
      </c>
      <c r="H8" s="28">
        <v>5681.58</v>
      </c>
      <c r="I8" s="28">
        <f t="shared" si="0"/>
        <v>2373822.42</v>
      </c>
    </row>
    <row r="9" spans="1:9" x14ac:dyDescent="0.3">
      <c r="A9" s="16" t="s">
        <v>303</v>
      </c>
      <c r="B9" s="16" t="s">
        <v>304</v>
      </c>
      <c r="C9" s="25">
        <v>45675</v>
      </c>
      <c r="D9" s="16" t="s">
        <v>305</v>
      </c>
      <c r="E9" s="16" t="s">
        <v>306</v>
      </c>
      <c r="F9" s="16" t="s">
        <v>317</v>
      </c>
      <c r="G9" s="28">
        <v>0</v>
      </c>
      <c r="H9" s="28">
        <v>6877.18</v>
      </c>
      <c r="I9" s="28">
        <f t="shared" si="0"/>
        <v>2366945.2399999998</v>
      </c>
    </row>
    <row r="10" spans="1:9" x14ac:dyDescent="0.3">
      <c r="A10" s="16" t="s">
        <v>303</v>
      </c>
      <c r="B10" s="16" t="s">
        <v>304</v>
      </c>
      <c r="C10" s="25">
        <v>45677</v>
      </c>
      <c r="D10" s="16" t="s">
        <v>305</v>
      </c>
      <c r="E10" s="16" t="s">
        <v>311</v>
      </c>
      <c r="F10" s="16"/>
      <c r="G10" s="28">
        <v>0</v>
      </c>
      <c r="H10" s="28">
        <v>889</v>
      </c>
      <c r="I10" s="28">
        <f t="shared" si="0"/>
        <v>2366056.2399999998</v>
      </c>
    </row>
    <row r="11" spans="1:9" x14ac:dyDescent="0.3">
      <c r="A11" s="16" t="s">
        <v>303</v>
      </c>
      <c r="B11" s="16" t="s">
        <v>304</v>
      </c>
      <c r="C11" s="25">
        <v>45677</v>
      </c>
      <c r="D11" s="16" t="s">
        <v>305</v>
      </c>
      <c r="E11" s="16" t="s">
        <v>311</v>
      </c>
      <c r="F11" s="16"/>
      <c r="G11" s="28">
        <v>0</v>
      </c>
      <c r="H11" s="28">
        <v>141</v>
      </c>
      <c r="I11" s="28">
        <f t="shared" si="0"/>
        <v>2365915.2399999998</v>
      </c>
    </row>
    <row r="12" spans="1:9" x14ac:dyDescent="0.3">
      <c r="A12" s="16" t="s">
        <v>303</v>
      </c>
      <c r="B12" s="16" t="s">
        <v>304</v>
      </c>
      <c r="C12" s="25">
        <v>45677</v>
      </c>
      <c r="D12" s="16" t="s">
        <v>305</v>
      </c>
      <c r="E12" s="16" t="s">
        <v>311</v>
      </c>
      <c r="F12" s="16"/>
      <c r="G12" s="28">
        <v>0</v>
      </c>
      <c r="H12" s="28">
        <v>172</v>
      </c>
      <c r="I12" s="28">
        <f t="shared" si="0"/>
        <v>2365743.2399999998</v>
      </c>
    </row>
    <row r="13" spans="1:9" x14ac:dyDescent="0.3">
      <c r="A13" s="16" t="s">
        <v>303</v>
      </c>
      <c r="B13" s="16" t="s">
        <v>304</v>
      </c>
      <c r="C13" s="25">
        <v>45681</v>
      </c>
      <c r="D13" s="16" t="s">
        <v>318</v>
      </c>
      <c r="E13" s="16" t="s">
        <v>319</v>
      </c>
      <c r="F13" s="16"/>
      <c r="G13" s="28">
        <v>0</v>
      </c>
      <c r="H13" s="28">
        <v>0.01</v>
      </c>
      <c r="I13" s="28">
        <f t="shared" si="0"/>
        <v>2365743.23</v>
      </c>
    </row>
    <row r="14" spans="1:9" x14ac:dyDescent="0.3">
      <c r="A14" s="16" t="s">
        <v>303</v>
      </c>
      <c r="B14" s="16" t="s">
        <v>304</v>
      </c>
      <c r="C14" s="25">
        <v>45681</v>
      </c>
      <c r="D14" s="16" t="s">
        <v>312</v>
      </c>
      <c r="E14" s="16" t="s">
        <v>313</v>
      </c>
      <c r="F14" s="16" t="s">
        <v>320</v>
      </c>
      <c r="G14" s="28">
        <v>0</v>
      </c>
      <c r="H14" s="28">
        <v>814728</v>
      </c>
      <c r="I14" s="28">
        <f t="shared" si="0"/>
        <v>1551015.23</v>
      </c>
    </row>
    <row r="15" spans="1:9" x14ac:dyDescent="0.3">
      <c r="A15" s="16" t="s">
        <v>303</v>
      </c>
      <c r="B15" s="16" t="s">
        <v>304</v>
      </c>
      <c r="C15" s="25">
        <v>45681</v>
      </c>
      <c r="D15" s="16" t="s">
        <v>312</v>
      </c>
      <c r="E15" s="16" t="s">
        <v>313</v>
      </c>
      <c r="F15" s="16" t="s">
        <v>321</v>
      </c>
      <c r="G15" s="28">
        <v>0</v>
      </c>
      <c r="H15" s="28">
        <v>96556</v>
      </c>
      <c r="I15" s="28">
        <f t="shared" si="0"/>
        <v>1454459.23</v>
      </c>
    </row>
    <row r="16" spans="1:9" x14ac:dyDescent="0.3">
      <c r="A16" s="16" t="s">
        <v>303</v>
      </c>
      <c r="B16" s="16" t="s">
        <v>304</v>
      </c>
      <c r="C16" s="25">
        <v>45686</v>
      </c>
      <c r="D16" s="16" t="s">
        <v>305</v>
      </c>
      <c r="E16" s="16" t="s">
        <v>311</v>
      </c>
      <c r="F16" s="16"/>
      <c r="G16" s="28">
        <v>0</v>
      </c>
      <c r="H16" s="28">
        <v>3839</v>
      </c>
      <c r="I16" s="28">
        <f t="shared" si="0"/>
        <v>1450620.23</v>
      </c>
    </row>
    <row r="17" spans="1:9" x14ac:dyDescent="0.3">
      <c r="A17" s="16" t="s">
        <v>303</v>
      </c>
      <c r="B17" s="16" t="s">
        <v>304</v>
      </c>
      <c r="C17" s="25">
        <v>45687</v>
      </c>
      <c r="D17" s="16" t="s">
        <v>305</v>
      </c>
      <c r="E17" s="16" t="s">
        <v>306</v>
      </c>
      <c r="F17" s="16" t="s">
        <v>322</v>
      </c>
      <c r="G17" s="28">
        <v>0</v>
      </c>
      <c r="H17" s="28">
        <v>27311.08</v>
      </c>
      <c r="I17" s="28">
        <f t="shared" si="0"/>
        <v>1423309.15</v>
      </c>
    </row>
    <row r="18" spans="1:9" x14ac:dyDescent="0.3">
      <c r="A18" s="16" t="s">
        <v>303</v>
      </c>
      <c r="B18" s="16" t="s">
        <v>304</v>
      </c>
      <c r="C18" s="25">
        <v>45687</v>
      </c>
      <c r="D18" s="16" t="s">
        <v>305</v>
      </c>
      <c r="E18" s="16" t="s">
        <v>306</v>
      </c>
      <c r="F18" s="16" t="s">
        <v>323</v>
      </c>
      <c r="G18" s="28">
        <v>0</v>
      </c>
      <c r="H18" s="28">
        <v>34870.050000000003</v>
      </c>
      <c r="I18" s="28">
        <f t="shared" si="0"/>
        <v>1388439.0999999999</v>
      </c>
    </row>
    <row r="19" spans="1:9" x14ac:dyDescent="0.3">
      <c r="A19" s="16" t="s">
        <v>303</v>
      </c>
      <c r="B19" s="16" t="s">
        <v>304</v>
      </c>
      <c r="C19" s="25">
        <v>45688</v>
      </c>
      <c r="D19" s="16" t="s">
        <v>305</v>
      </c>
      <c r="E19" s="16" t="s">
        <v>306</v>
      </c>
      <c r="F19" s="16" t="s">
        <v>324</v>
      </c>
      <c r="G19" s="28">
        <v>0</v>
      </c>
      <c r="H19" s="28">
        <v>1520151</v>
      </c>
      <c r="I19" s="28">
        <f t="shared" si="0"/>
        <v>-131711.90000000014</v>
      </c>
    </row>
    <row r="20" spans="1:9" x14ac:dyDescent="0.3">
      <c r="A20" s="16" t="s">
        <v>303</v>
      </c>
      <c r="B20" s="16" t="s">
        <v>304</v>
      </c>
      <c r="C20" s="25">
        <v>45688</v>
      </c>
      <c r="D20" s="16" t="s">
        <v>305</v>
      </c>
      <c r="E20" s="16" t="s">
        <v>306</v>
      </c>
      <c r="F20" s="16" t="s">
        <v>325</v>
      </c>
      <c r="G20" s="28">
        <v>0</v>
      </c>
      <c r="H20" s="28">
        <v>399065</v>
      </c>
      <c r="I20" s="28">
        <f t="shared" si="0"/>
        <v>-530776.90000000014</v>
      </c>
    </row>
    <row r="21" spans="1:9" x14ac:dyDescent="0.3">
      <c r="A21" s="16" t="s">
        <v>303</v>
      </c>
      <c r="B21" s="16" t="s">
        <v>304</v>
      </c>
      <c r="C21" s="25">
        <v>45690</v>
      </c>
      <c r="D21" s="16" t="s">
        <v>305</v>
      </c>
      <c r="E21" s="16" t="s">
        <v>306</v>
      </c>
      <c r="F21" s="16" t="s">
        <v>326</v>
      </c>
      <c r="G21" s="28">
        <v>0</v>
      </c>
      <c r="H21" s="28">
        <v>13036.99</v>
      </c>
      <c r="I21" s="28">
        <f t="shared" si="0"/>
        <v>-543813.89000000013</v>
      </c>
    </row>
    <row r="22" spans="1:9" x14ac:dyDescent="0.3">
      <c r="A22" s="16" t="s">
        <v>303</v>
      </c>
      <c r="B22" s="16" t="s">
        <v>304</v>
      </c>
      <c r="C22" s="25">
        <v>45692</v>
      </c>
      <c r="D22" s="16" t="s">
        <v>305</v>
      </c>
      <c r="E22" s="16" t="s">
        <v>306</v>
      </c>
      <c r="F22" s="16" t="s">
        <v>327</v>
      </c>
      <c r="G22" s="28">
        <v>0</v>
      </c>
      <c r="H22" s="28">
        <v>667150</v>
      </c>
      <c r="I22" s="28">
        <f t="shared" si="0"/>
        <v>-1210963.8900000001</v>
      </c>
    </row>
    <row r="23" spans="1:9" x14ac:dyDescent="0.3">
      <c r="A23" s="16" t="s">
        <v>303</v>
      </c>
      <c r="B23" s="16" t="s">
        <v>304</v>
      </c>
      <c r="C23" s="25">
        <v>45693</v>
      </c>
      <c r="D23" s="16" t="s">
        <v>308</v>
      </c>
      <c r="E23" s="16" t="s">
        <v>309</v>
      </c>
      <c r="F23" s="16" t="s">
        <v>328</v>
      </c>
      <c r="G23" s="28">
        <v>1611355</v>
      </c>
      <c r="H23" s="28">
        <v>0</v>
      </c>
      <c r="I23" s="28">
        <f t="shared" si="0"/>
        <v>400391.10999999987</v>
      </c>
    </row>
    <row r="24" spans="1:9" x14ac:dyDescent="0.3">
      <c r="A24" s="16" t="s">
        <v>303</v>
      </c>
      <c r="B24" s="16" t="s">
        <v>304</v>
      </c>
      <c r="C24" s="25">
        <v>45693</v>
      </c>
      <c r="D24" s="16" t="s">
        <v>305</v>
      </c>
      <c r="E24" s="16" t="s">
        <v>306</v>
      </c>
      <c r="F24" s="16" t="s">
        <v>329</v>
      </c>
      <c r="G24" s="28">
        <v>0</v>
      </c>
      <c r="H24" s="28">
        <v>355520</v>
      </c>
      <c r="I24" s="28">
        <f t="shared" si="0"/>
        <v>44871.10999999987</v>
      </c>
    </row>
    <row r="25" spans="1:9" x14ac:dyDescent="0.3">
      <c r="A25" s="16" t="s">
        <v>303</v>
      </c>
      <c r="B25" s="16" t="s">
        <v>304</v>
      </c>
      <c r="C25" s="25">
        <v>45693</v>
      </c>
      <c r="D25" s="16" t="s">
        <v>305</v>
      </c>
      <c r="E25" s="16" t="s">
        <v>306</v>
      </c>
      <c r="F25" s="16" t="s">
        <v>330</v>
      </c>
      <c r="G25" s="28">
        <v>0</v>
      </c>
      <c r="H25" s="28">
        <v>64779</v>
      </c>
      <c r="I25" s="28">
        <f t="shared" si="0"/>
        <v>-19907.89000000013</v>
      </c>
    </row>
    <row r="26" spans="1:9" x14ac:dyDescent="0.3">
      <c r="A26" s="16" t="s">
        <v>303</v>
      </c>
      <c r="B26" s="16" t="s">
        <v>304</v>
      </c>
      <c r="C26" s="25">
        <v>45694</v>
      </c>
      <c r="D26" s="16" t="s">
        <v>305</v>
      </c>
      <c r="E26" s="16" t="s">
        <v>306</v>
      </c>
      <c r="F26" s="16" t="s">
        <v>331</v>
      </c>
      <c r="G26" s="28">
        <v>0</v>
      </c>
      <c r="H26" s="28">
        <v>11950</v>
      </c>
      <c r="I26" s="28">
        <f t="shared" si="0"/>
        <v>-31857.89000000013</v>
      </c>
    </row>
    <row r="27" spans="1:9" x14ac:dyDescent="0.3">
      <c r="A27" s="16" t="s">
        <v>303</v>
      </c>
      <c r="B27" s="16" t="s">
        <v>304</v>
      </c>
      <c r="C27" s="25">
        <v>45694</v>
      </c>
      <c r="D27" s="16" t="s">
        <v>305</v>
      </c>
      <c r="E27" s="16" t="s">
        <v>306</v>
      </c>
      <c r="F27" s="16" t="s">
        <v>332</v>
      </c>
      <c r="G27" s="28">
        <v>0</v>
      </c>
      <c r="H27" s="28">
        <v>53207</v>
      </c>
      <c r="I27" s="28">
        <f t="shared" si="0"/>
        <v>-85064.89000000013</v>
      </c>
    </row>
    <row r="28" spans="1:9" x14ac:dyDescent="0.3">
      <c r="A28" s="16" t="s">
        <v>303</v>
      </c>
      <c r="B28" s="16" t="s">
        <v>304</v>
      </c>
      <c r="C28" s="25">
        <v>45701</v>
      </c>
      <c r="D28" s="16" t="s">
        <v>308</v>
      </c>
      <c r="E28" s="16" t="s">
        <v>309</v>
      </c>
      <c r="F28" s="16" t="s">
        <v>333</v>
      </c>
      <c r="G28" s="28">
        <v>1777290</v>
      </c>
      <c r="H28" s="28">
        <v>0</v>
      </c>
      <c r="I28" s="28">
        <f t="shared" si="0"/>
        <v>1692225.1099999999</v>
      </c>
    </row>
    <row r="29" spans="1:9" x14ac:dyDescent="0.3">
      <c r="A29" s="16" t="s">
        <v>303</v>
      </c>
      <c r="B29" s="16" t="s">
        <v>304</v>
      </c>
      <c r="C29" s="25">
        <v>45713</v>
      </c>
      <c r="D29" s="16" t="s">
        <v>312</v>
      </c>
      <c r="E29" s="16" t="s">
        <v>334</v>
      </c>
      <c r="F29" s="16" t="s">
        <v>335</v>
      </c>
      <c r="G29" s="28">
        <v>0</v>
      </c>
      <c r="H29" s="28">
        <v>71240</v>
      </c>
      <c r="I29" s="28">
        <f t="shared" si="0"/>
        <v>1620985.1099999999</v>
      </c>
    </row>
    <row r="30" spans="1:9" x14ac:dyDescent="0.3">
      <c r="A30" s="16" t="s">
        <v>303</v>
      </c>
      <c r="B30" s="16" t="s">
        <v>304</v>
      </c>
      <c r="C30" s="25">
        <v>45714</v>
      </c>
      <c r="D30" s="16" t="s">
        <v>305</v>
      </c>
      <c r="E30" s="16" t="s">
        <v>311</v>
      </c>
      <c r="F30" s="16"/>
      <c r="G30" s="28">
        <v>0</v>
      </c>
      <c r="H30" s="28">
        <v>49</v>
      </c>
      <c r="I30" s="28">
        <f t="shared" si="0"/>
        <v>1620936.1099999999</v>
      </c>
    </row>
    <row r="31" spans="1:9" x14ac:dyDescent="0.3">
      <c r="A31" s="16" t="s">
        <v>303</v>
      </c>
      <c r="B31" s="16" t="s">
        <v>304</v>
      </c>
      <c r="C31" s="25">
        <v>45714</v>
      </c>
      <c r="D31" s="16" t="s">
        <v>305</v>
      </c>
      <c r="E31" s="16" t="s">
        <v>311</v>
      </c>
      <c r="F31" s="16"/>
      <c r="G31" s="28">
        <v>0</v>
      </c>
      <c r="H31" s="28">
        <v>3862</v>
      </c>
      <c r="I31" s="28">
        <f t="shared" si="0"/>
        <v>1617074.1099999999</v>
      </c>
    </row>
    <row r="32" spans="1:9" x14ac:dyDescent="0.3">
      <c r="A32" s="16" t="s">
        <v>303</v>
      </c>
      <c r="B32" s="16" t="s">
        <v>304</v>
      </c>
      <c r="C32" s="25">
        <v>45714</v>
      </c>
      <c r="D32" s="16" t="s">
        <v>305</v>
      </c>
      <c r="E32" s="16" t="s">
        <v>311</v>
      </c>
      <c r="F32" s="16"/>
      <c r="G32" s="28">
        <v>0</v>
      </c>
      <c r="H32" s="28">
        <v>1835</v>
      </c>
      <c r="I32" s="28">
        <f t="shared" si="0"/>
        <v>1615239.1099999999</v>
      </c>
    </row>
    <row r="33" spans="1:9" x14ac:dyDescent="0.3">
      <c r="A33" s="16" t="s">
        <v>303</v>
      </c>
      <c r="B33" s="16" t="s">
        <v>304</v>
      </c>
      <c r="C33" s="25">
        <v>45715</v>
      </c>
      <c r="D33" s="16" t="s">
        <v>305</v>
      </c>
      <c r="E33" s="16" t="s">
        <v>306</v>
      </c>
      <c r="F33" s="16" t="s">
        <v>336</v>
      </c>
      <c r="G33" s="28">
        <v>0</v>
      </c>
      <c r="H33" s="28">
        <v>23352</v>
      </c>
      <c r="I33" s="28">
        <f t="shared" si="0"/>
        <v>1591887.1099999999</v>
      </c>
    </row>
    <row r="34" spans="1:9" x14ac:dyDescent="0.3">
      <c r="A34" s="16" t="s">
        <v>303</v>
      </c>
      <c r="B34" s="16" t="s">
        <v>304</v>
      </c>
      <c r="C34" s="25">
        <v>45716</v>
      </c>
      <c r="D34" s="16" t="s">
        <v>337</v>
      </c>
      <c r="E34" s="16" t="s">
        <v>311</v>
      </c>
      <c r="F34" s="16"/>
      <c r="G34" s="28">
        <v>1141.8900000000001</v>
      </c>
      <c r="H34" s="28">
        <v>0</v>
      </c>
      <c r="I34" s="28">
        <f t="shared" si="0"/>
        <v>1593028.9999999998</v>
      </c>
    </row>
    <row r="35" spans="1:9" x14ac:dyDescent="0.3">
      <c r="A35" s="16" t="s">
        <v>303</v>
      </c>
      <c r="B35" s="16" t="s">
        <v>304</v>
      </c>
      <c r="C35" s="25">
        <v>45723</v>
      </c>
      <c r="D35" s="16" t="s">
        <v>308</v>
      </c>
      <c r="E35" s="16" t="s">
        <v>309</v>
      </c>
      <c r="F35" s="16" t="s">
        <v>338</v>
      </c>
      <c r="G35" s="28">
        <v>1326542</v>
      </c>
      <c r="H35" s="28">
        <v>0</v>
      </c>
      <c r="I35" s="28">
        <f t="shared" si="0"/>
        <v>2919571</v>
      </c>
    </row>
    <row r="36" spans="1:9" x14ac:dyDescent="0.3">
      <c r="A36" s="16" t="s">
        <v>303</v>
      </c>
      <c r="B36" s="16" t="s">
        <v>304</v>
      </c>
      <c r="C36" s="25">
        <v>45732</v>
      </c>
      <c r="D36" s="16" t="s">
        <v>305</v>
      </c>
      <c r="E36" s="16" t="s">
        <v>339</v>
      </c>
      <c r="F36" s="16"/>
      <c r="G36" s="28">
        <v>0</v>
      </c>
      <c r="H36" s="28">
        <v>22214</v>
      </c>
      <c r="I36" s="28">
        <f t="shared" si="0"/>
        <v>2897357</v>
      </c>
    </row>
    <row r="37" spans="1:9" x14ac:dyDescent="0.3">
      <c r="A37" s="16" t="s">
        <v>303</v>
      </c>
      <c r="B37" s="16" t="s">
        <v>304</v>
      </c>
      <c r="C37" s="25">
        <v>45733</v>
      </c>
      <c r="D37" s="16" t="s">
        <v>305</v>
      </c>
      <c r="E37" s="16" t="s">
        <v>339</v>
      </c>
      <c r="F37" s="16"/>
      <c r="G37" s="28">
        <v>0</v>
      </c>
      <c r="H37" s="28">
        <v>8354</v>
      </c>
      <c r="I37" s="28">
        <f t="shared" si="0"/>
        <v>2889003</v>
      </c>
    </row>
    <row r="38" spans="1:9" x14ac:dyDescent="0.3">
      <c r="A38" s="16" t="s">
        <v>303</v>
      </c>
      <c r="B38" s="16" t="s">
        <v>304</v>
      </c>
      <c r="C38" s="25">
        <v>45733</v>
      </c>
      <c r="D38" s="16" t="s">
        <v>305</v>
      </c>
      <c r="E38" s="16" t="s">
        <v>339</v>
      </c>
      <c r="F38" s="16"/>
      <c r="G38" s="28">
        <v>0</v>
      </c>
      <c r="H38" s="28">
        <v>110552</v>
      </c>
      <c r="I38" s="28">
        <f t="shared" si="0"/>
        <v>2778451</v>
      </c>
    </row>
    <row r="39" spans="1:9" x14ac:dyDescent="0.3">
      <c r="A39" s="16" t="s">
        <v>303</v>
      </c>
      <c r="B39" s="16" t="s">
        <v>304</v>
      </c>
      <c r="C39" s="25">
        <v>45734</v>
      </c>
      <c r="D39" s="16" t="s">
        <v>305</v>
      </c>
      <c r="E39" s="16" t="s">
        <v>311</v>
      </c>
      <c r="F39" s="16"/>
      <c r="G39" s="28">
        <v>0</v>
      </c>
      <c r="H39" s="28">
        <v>553</v>
      </c>
      <c r="I39" s="28">
        <f t="shared" si="0"/>
        <v>2777898</v>
      </c>
    </row>
    <row r="40" spans="1:9" x14ac:dyDescent="0.3">
      <c r="A40" s="16" t="s">
        <v>303</v>
      </c>
      <c r="B40" s="16" t="s">
        <v>304</v>
      </c>
      <c r="C40" s="25">
        <v>45734</v>
      </c>
      <c r="D40" s="16" t="s">
        <v>305</v>
      </c>
      <c r="E40" s="16" t="s">
        <v>311</v>
      </c>
      <c r="F40" s="16"/>
      <c r="G40" s="28">
        <v>0</v>
      </c>
      <c r="H40" s="28">
        <v>206</v>
      </c>
      <c r="I40" s="28">
        <f t="shared" si="0"/>
        <v>2777692</v>
      </c>
    </row>
    <row r="41" spans="1:9" x14ac:dyDescent="0.3">
      <c r="A41" s="16" t="s">
        <v>303</v>
      </c>
      <c r="B41" s="16" t="s">
        <v>304</v>
      </c>
      <c r="C41" s="25">
        <v>45734</v>
      </c>
      <c r="D41" s="16" t="s">
        <v>305</v>
      </c>
      <c r="E41" s="16" t="s">
        <v>311</v>
      </c>
      <c r="F41" s="16"/>
      <c r="G41" s="28">
        <v>0</v>
      </c>
      <c r="H41" s="28">
        <v>2735</v>
      </c>
      <c r="I41" s="28">
        <f t="shared" si="0"/>
        <v>2774957</v>
      </c>
    </row>
    <row r="42" spans="1:9" x14ac:dyDescent="0.3">
      <c r="A42" s="16" t="s">
        <v>303</v>
      </c>
      <c r="B42" s="16" t="s">
        <v>304</v>
      </c>
      <c r="C42" s="25">
        <v>45734</v>
      </c>
      <c r="D42" s="16" t="s">
        <v>305</v>
      </c>
      <c r="E42" s="16" t="s">
        <v>339</v>
      </c>
      <c r="F42" s="16"/>
      <c r="G42" s="28">
        <v>0</v>
      </c>
      <c r="H42" s="28">
        <v>454715</v>
      </c>
      <c r="I42" s="28">
        <f t="shared" si="0"/>
        <v>2320242</v>
      </c>
    </row>
    <row r="43" spans="1:9" x14ac:dyDescent="0.3">
      <c r="A43" s="16" t="s">
        <v>303</v>
      </c>
      <c r="B43" s="16" t="s">
        <v>304</v>
      </c>
      <c r="C43" s="25">
        <v>45735</v>
      </c>
      <c r="D43" s="16" t="s">
        <v>305</v>
      </c>
      <c r="E43" s="16" t="s">
        <v>311</v>
      </c>
      <c r="F43" s="16"/>
      <c r="G43" s="28">
        <v>0</v>
      </c>
      <c r="H43" s="28">
        <v>11263</v>
      </c>
      <c r="I43" s="28">
        <f t="shared" si="0"/>
        <v>2308979</v>
      </c>
    </row>
    <row r="44" spans="1:9" x14ac:dyDescent="0.3">
      <c r="A44" s="16" t="s">
        <v>303</v>
      </c>
      <c r="B44" s="16" t="s">
        <v>304</v>
      </c>
      <c r="C44" s="25">
        <v>45735</v>
      </c>
      <c r="D44" s="16" t="s">
        <v>305</v>
      </c>
      <c r="E44" s="16" t="s">
        <v>339</v>
      </c>
      <c r="F44" s="16"/>
      <c r="G44" s="28">
        <v>0</v>
      </c>
      <c r="H44" s="28">
        <v>15015</v>
      </c>
      <c r="I44" s="28">
        <f t="shared" si="0"/>
        <v>2293964</v>
      </c>
    </row>
    <row r="45" spans="1:9" x14ac:dyDescent="0.3">
      <c r="A45" s="16" t="s">
        <v>303</v>
      </c>
      <c r="B45" s="16" t="s">
        <v>304</v>
      </c>
      <c r="C45" s="25">
        <v>45736</v>
      </c>
      <c r="D45" s="16" t="s">
        <v>305</v>
      </c>
      <c r="E45" s="16" t="s">
        <v>311</v>
      </c>
      <c r="F45" s="16"/>
      <c r="G45" s="28">
        <v>0</v>
      </c>
      <c r="H45" s="28">
        <v>375</v>
      </c>
      <c r="I45" s="28">
        <f t="shared" si="0"/>
        <v>2293589</v>
      </c>
    </row>
    <row r="46" spans="1:9" x14ac:dyDescent="0.3">
      <c r="A46" s="16" t="s">
        <v>303</v>
      </c>
      <c r="B46" s="16" t="s">
        <v>304</v>
      </c>
      <c r="C46" s="25">
        <v>45736</v>
      </c>
      <c r="D46" s="16" t="s">
        <v>305</v>
      </c>
      <c r="E46" s="16" t="s">
        <v>339</v>
      </c>
      <c r="F46" s="16"/>
      <c r="G46" s="28">
        <v>0</v>
      </c>
      <c r="H46" s="28">
        <v>2782</v>
      </c>
      <c r="I46" s="28">
        <f t="shared" si="0"/>
        <v>2290807</v>
      </c>
    </row>
    <row r="47" spans="1:9" x14ac:dyDescent="0.3">
      <c r="A47" s="16" t="s">
        <v>303</v>
      </c>
      <c r="B47" s="16" t="s">
        <v>304</v>
      </c>
      <c r="C47" s="25">
        <v>45737</v>
      </c>
      <c r="D47" s="16" t="s">
        <v>305</v>
      </c>
      <c r="E47" s="16" t="s">
        <v>311</v>
      </c>
      <c r="F47" s="16"/>
      <c r="G47" s="28">
        <v>0</v>
      </c>
      <c r="H47" s="28">
        <v>66</v>
      </c>
      <c r="I47" s="28">
        <f t="shared" si="0"/>
        <v>2290741</v>
      </c>
    </row>
    <row r="48" spans="1:9" x14ac:dyDescent="0.3">
      <c r="A48" s="16" t="s">
        <v>303</v>
      </c>
      <c r="B48" s="16" t="s">
        <v>304</v>
      </c>
      <c r="C48" s="25">
        <v>45737</v>
      </c>
      <c r="D48" s="16" t="s">
        <v>305</v>
      </c>
      <c r="E48" s="16" t="s">
        <v>339</v>
      </c>
      <c r="F48" s="16"/>
      <c r="G48" s="28">
        <v>0</v>
      </c>
      <c r="H48" s="28">
        <v>20247</v>
      </c>
      <c r="I48" s="28">
        <f t="shared" si="0"/>
        <v>2270494</v>
      </c>
    </row>
    <row r="49" spans="1:9" x14ac:dyDescent="0.3">
      <c r="A49" s="16" t="s">
        <v>303</v>
      </c>
      <c r="B49" s="16" t="s">
        <v>304</v>
      </c>
      <c r="C49" s="25">
        <v>45737</v>
      </c>
      <c r="D49" s="16" t="s">
        <v>305</v>
      </c>
      <c r="E49" s="16" t="s">
        <v>339</v>
      </c>
      <c r="F49" s="16"/>
      <c r="G49" s="28">
        <v>0</v>
      </c>
      <c r="H49" s="28">
        <v>34410</v>
      </c>
      <c r="I49" s="28">
        <f t="shared" si="0"/>
        <v>2236084</v>
      </c>
    </row>
    <row r="50" spans="1:9" x14ac:dyDescent="0.3">
      <c r="A50" s="16" t="s">
        <v>303</v>
      </c>
      <c r="B50" s="16" t="s">
        <v>304</v>
      </c>
      <c r="C50" s="25">
        <v>45738</v>
      </c>
      <c r="D50" s="16" t="s">
        <v>305</v>
      </c>
      <c r="E50" s="16" t="s">
        <v>339</v>
      </c>
      <c r="F50" s="16"/>
      <c r="G50" s="28">
        <v>0</v>
      </c>
      <c r="H50" s="28">
        <v>26000</v>
      </c>
      <c r="I50" s="28">
        <f t="shared" si="0"/>
        <v>2210084</v>
      </c>
    </row>
    <row r="51" spans="1:9" x14ac:dyDescent="0.3">
      <c r="A51" s="16" t="s">
        <v>303</v>
      </c>
      <c r="B51" s="16" t="s">
        <v>304</v>
      </c>
      <c r="C51" s="25">
        <v>45740</v>
      </c>
      <c r="D51" s="16" t="s">
        <v>305</v>
      </c>
      <c r="E51" s="16" t="s">
        <v>311</v>
      </c>
      <c r="F51" s="16"/>
      <c r="G51" s="28">
        <v>0</v>
      </c>
      <c r="H51" s="28">
        <v>506</v>
      </c>
      <c r="I51" s="28">
        <f t="shared" si="0"/>
        <v>2209578</v>
      </c>
    </row>
    <row r="52" spans="1:9" x14ac:dyDescent="0.3">
      <c r="A52" s="16" t="s">
        <v>303</v>
      </c>
      <c r="B52" s="16" t="s">
        <v>304</v>
      </c>
      <c r="C52" s="25">
        <v>45740</v>
      </c>
      <c r="D52" s="16" t="s">
        <v>305</v>
      </c>
      <c r="E52" s="16" t="s">
        <v>311</v>
      </c>
      <c r="F52" s="16"/>
      <c r="G52" s="28">
        <v>0</v>
      </c>
      <c r="H52" s="28">
        <v>853</v>
      </c>
      <c r="I52" s="28">
        <f t="shared" si="0"/>
        <v>2208725</v>
      </c>
    </row>
    <row r="53" spans="1:9" x14ac:dyDescent="0.3">
      <c r="A53" s="16" t="s">
        <v>303</v>
      </c>
      <c r="B53" s="16" t="s">
        <v>304</v>
      </c>
      <c r="C53" s="25">
        <v>45743</v>
      </c>
      <c r="D53" s="16" t="s">
        <v>305</v>
      </c>
      <c r="E53" s="16" t="s">
        <v>311</v>
      </c>
      <c r="F53" s="16"/>
      <c r="G53" s="28">
        <v>0</v>
      </c>
      <c r="H53" s="28">
        <v>3887</v>
      </c>
      <c r="I53" s="28">
        <f t="shared" si="0"/>
        <v>2204838</v>
      </c>
    </row>
    <row r="54" spans="1:9" x14ac:dyDescent="0.3">
      <c r="A54" s="16" t="s">
        <v>303</v>
      </c>
      <c r="B54" s="16" t="s">
        <v>304</v>
      </c>
      <c r="C54" s="25">
        <v>45748</v>
      </c>
      <c r="D54" s="16" t="s">
        <v>305</v>
      </c>
      <c r="E54" s="16" t="s">
        <v>306</v>
      </c>
      <c r="F54" s="16" t="s">
        <v>340</v>
      </c>
      <c r="G54" s="28">
        <v>0</v>
      </c>
      <c r="H54" s="28">
        <v>8354</v>
      </c>
      <c r="I54" s="28">
        <f t="shared" si="0"/>
        <v>2196484</v>
      </c>
    </row>
    <row r="55" spans="1:9" x14ac:dyDescent="0.3">
      <c r="A55" s="16" t="s">
        <v>303</v>
      </c>
      <c r="B55" s="16" t="s">
        <v>304</v>
      </c>
      <c r="C55" s="25">
        <v>45748</v>
      </c>
      <c r="D55" s="16" t="s">
        <v>305</v>
      </c>
      <c r="E55" s="16" t="s">
        <v>306</v>
      </c>
      <c r="F55" s="16" t="s">
        <v>341</v>
      </c>
      <c r="G55" s="28">
        <v>0</v>
      </c>
      <c r="H55" s="28">
        <v>20247</v>
      </c>
      <c r="I55" s="28">
        <f t="shared" si="0"/>
        <v>2176237</v>
      </c>
    </row>
    <row r="56" spans="1:9" x14ac:dyDescent="0.3">
      <c r="A56" s="16" t="s">
        <v>303</v>
      </c>
      <c r="B56" s="16" t="s">
        <v>304</v>
      </c>
      <c r="C56" s="25">
        <v>45748</v>
      </c>
      <c r="D56" s="16" t="s">
        <v>305</v>
      </c>
      <c r="E56" s="16" t="s">
        <v>306</v>
      </c>
      <c r="F56" s="16" t="s">
        <v>342</v>
      </c>
      <c r="G56" s="28">
        <v>0</v>
      </c>
      <c r="H56" s="28">
        <v>22214</v>
      </c>
      <c r="I56" s="28">
        <f t="shared" si="0"/>
        <v>2154023</v>
      </c>
    </row>
    <row r="57" spans="1:9" x14ac:dyDescent="0.3">
      <c r="A57" s="16" t="s">
        <v>303</v>
      </c>
      <c r="B57" s="16" t="s">
        <v>304</v>
      </c>
      <c r="C57" s="25">
        <v>45748</v>
      </c>
      <c r="D57" s="16" t="s">
        <v>305</v>
      </c>
      <c r="E57" s="16" t="s">
        <v>306</v>
      </c>
      <c r="F57" s="16" t="s">
        <v>343</v>
      </c>
      <c r="G57" s="28">
        <v>0</v>
      </c>
      <c r="H57" s="28">
        <v>110552</v>
      </c>
      <c r="I57" s="28">
        <f t="shared" si="0"/>
        <v>2043471</v>
      </c>
    </row>
    <row r="58" spans="1:9" x14ac:dyDescent="0.3">
      <c r="A58" s="16" t="s">
        <v>303</v>
      </c>
      <c r="B58" s="16" t="s">
        <v>304</v>
      </c>
      <c r="C58" s="25">
        <v>45748</v>
      </c>
      <c r="D58" s="16" t="s">
        <v>305</v>
      </c>
      <c r="E58" s="16" t="s">
        <v>306</v>
      </c>
      <c r="F58" s="16" t="s">
        <v>344</v>
      </c>
      <c r="G58" s="28">
        <v>0</v>
      </c>
      <c r="H58" s="28">
        <v>15015</v>
      </c>
      <c r="I58" s="28">
        <f t="shared" si="0"/>
        <v>2028456</v>
      </c>
    </row>
    <row r="59" spans="1:9" x14ac:dyDescent="0.3">
      <c r="A59" s="16" t="s">
        <v>303</v>
      </c>
      <c r="B59" s="16" t="s">
        <v>304</v>
      </c>
      <c r="C59" s="25">
        <v>45748</v>
      </c>
      <c r="D59" s="16" t="s">
        <v>305</v>
      </c>
      <c r="E59" s="16" t="s">
        <v>306</v>
      </c>
      <c r="F59" s="16" t="s">
        <v>344</v>
      </c>
      <c r="G59" s="28">
        <v>0</v>
      </c>
      <c r="H59" s="28">
        <v>34410</v>
      </c>
      <c r="I59" s="28">
        <f t="shared" si="0"/>
        <v>1994046</v>
      </c>
    </row>
    <row r="60" spans="1:9" x14ac:dyDescent="0.3">
      <c r="A60" s="16" t="s">
        <v>303</v>
      </c>
      <c r="B60" s="16" t="s">
        <v>304</v>
      </c>
      <c r="C60" s="25">
        <v>45748</v>
      </c>
      <c r="D60" s="16" t="s">
        <v>305</v>
      </c>
      <c r="E60" s="16" t="s">
        <v>306</v>
      </c>
      <c r="F60" s="16" t="s">
        <v>345</v>
      </c>
      <c r="G60" s="28">
        <v>0</v>
      </c>
      <c r="H60" s="28">
        <v>26000</v>
      </c>
      <c r="I60" s="28">
        <f t="shared" si="0"/>
        <v>1968046</v>
      </c>
    </row>
    <row r="61" spans="1:9" x14ac:dyDescent="0.3">
      <c r="A61" s="16" t="s">
        <v>303</v>
      </c>
      <c r="B61" s="16" t="s">
        <v>304</v>
      </c>
      <c r="C61" s="25">
        <v>45748</v>
      </c>
      <c r="D61" s="16" t="s">
        <v>305</v>
      </c>
      <c r="E61" s="16" t="s">
        <v>306</v>
      </c>
      <c r="F61" s="16" t="s">
        <v>346</v>
      </c>
      <c r="G61" s="28">
        <v>0</v>
      </c>
      <c r="H61" s="28">
        <v>454715</v>
      </c>
      <c r="I61" s="28">
        <f t="shared" si="0"/>
        <v>1513331</v>
      </c>
    </row>
    <row r="62" spans="1:9" x14ac:dyDescent="0.3">
      <c r="A62" s="16" t="s">
        <v>303</v>
      </c>
      <c r="B62" s="16" t="s">
        <v>304</v>
      </c>
      <c r="C62" s="25">
        <v>45748</v>
      </c>
      <c r="D62" s="16" t="s">
        <v>337</v>
      </c>
      <c r="E62" s="16" t="s">
        <v>339</v>
      </c>
      <c r="F62" s="16"/>
      <c r="G62" s="28">
        <v>26000</v>
      </c>
      <c r="H62" s="28">
        <v>0</v>
      </c>
      <c r="I62" s="28">
        <f t="shared" si="0"/>
        <v>1539331</v>
      </c>
    </row>
    <row r="63" spans="1:9" x14ac:dyDescent="0.3">
      <c r="A63" s="16" t="s">
        <v>303</v>
      </c>
      <c r="B63" s="16" t="s">
        <v>304</v>
      </c>
      <c r="C63" s="25">
        <v>45748</v>
      </c>
      <c r="D63" s="16" t="s">
        <v>337</v>
      </c>
      <c r="E63" s="16" t="s">
        <v>339</v>
      </c>
      <c r="F63" s="16"/>
      <c r="G63" s="28">
        <v>34410</v>
      </c>
      <c r="H63" s="28">
        <v>0</v>
      </c>
      <c r="I63" s="28">
        <f t="shared" si="0"/>
        <v>1573741</v>
      </c>
    </row>
    <row r="64" spans="1:9" x14ac:dyDescent="0.3">
      <c r="A64" s="16" t="s">
        <v>303</v>
      </c>
      <c r="B64" s="16" t="s">
        <v>304</v>
      </c>
      <c r="C64" s="25">
        <v>45748</v>
      </c>
      <c r="D64" s="16" t="s">
        <v>337</v>
      </c>
      <c r="E64" s="16" t="s">
        <v>339</v>
      </c>
      <c r="F64" s="16"/>
      <c r="G64" s="28">
        <v>22214</v>
      </c>
      <c r="H64" s="28">
        <v>0</v>
      </c>
      <c r="I64" s="28">
        <f t="shared" si="0"/>
        <v>1595955</v>
      </c>
    </row>
    <row r="65" spans="1:9" x14ac:dyDescent="0.3">
      <c r="A65" s="16" t="s">
        <v>303</v>
      </c>
      <c r="B65" s="16" t="s">
        <v>304</v>
      </c>
      <c r="C65" s="25">
        <v>45748</v>
      </c>
      <c r="D65" s="16" t="s">
        <v>337</v>
      </c>
      <c r="E65" s="16" t="s">
        <v>339</v>
      </c>
      <c r="F65" s="16"/>
      <c r="G65" s="28">
        <v>15015</v>
      </c>
      <c r="H65" s="28">
        <v>0</v>
      </c>
      <c r="I65" s="28">
        <f t="shared" si="0"/>
        <v>1610970</v>
      </c>
    </row>
    <row r="66" spans="1:9" x14ac:dyDescent="0.3">
      <c r="A66" s="16" t="s">
        <v>303</v>
      </c>
      <c r="B66" s="16" t="s">
        <v>304</v>
      </c>
      <c r="C66" s="25">
        <v>45748</v>
      </c>
      <c r="D66" s="16" t="s">
        <v>337</v>
      </c>
      <c r="E66" s="16" t="s">
        <v>339</v>
      </c>
      <c r="F66" s="16"/>
      <c r="G66" s="28">
        <v>110552</v>
      </c>
      <c r="H66" s="28">
        <v>0</v>
      </c>
      <c r="I66" s="28">
        <f t="shared" si="0"/>
        <v>1721522</v>
      </c>
    </row>
    <row r="67" spans="1:9" x14ac:dyDescent="0.3">
      <c r="A67" s="16" t="s">
        <v>303</v>
      </c>
      <c r="B67" s="16" t="s">
        <v>304</v>
      </c>
      <c r="C67" s="25">
        <v>45748</v>
      </c>
      <c r="D67" s="16" t="s">
        <v>337</v>
      </c>
      <c r="E67" s="16" t="s">
        <v>339</v>
      </c>
      <c r="F67" s="16"/>
      <c r="G67" s="28">
        <v>20247</v>
      </c>
      <c r="H67" s="28">
        <v>0</v>
      </c>
      <c r="I67" s="28">
        <f t="shared" si="0"/>
        <v>1741769</v>
      </c>
    </row>
    <row r="68" spans="1:9" x14ac:dyDescent="0.3">
      <c r="A68" s="16" t="s">
        <v>303</v>
      </c>
      <c r="B68" s="16" t="s">
        <v>304</v>
      </c>
      <c r="C68" s="25">
        <v>45748</v>
      </c>
      <c r="D68" s="16" t="s">
        <v>337</v>
      </c>
      <c r="E68" s="16" t="s">
        <v>339</v>
      </c>
      <c r="F68" s="16"/>
      <c r="G68" s="28">
        <v>8354</v>
      </c>
      <c r="H68" s="28">
        <v>0</v>
      </c>
      <c r="I68" s="28">
        <f t="shared" ref="I68:I131" si="1">I67+G68-H68</f>
        <v>1750123</v>
      </c>
    </row>
    <row r="69" spans="1:9" x14ac:dyDescent="0.3">
      <c r="A69" s="16" t="s">
        <v>303</v>
      </c>
      <c r="B69" s="16" t="s">
        <v>304</v>
      </c>
      <c r="C69" s="25">
        <v>45748</v>
      </c>
      <c r="D69" s="16" t="s">
        <v>337</v>
      </c>
      <c r="E69" s="16" t="s">
        <v>339</v>
      </c>
      <c r="F69" s="16"/>
      <c r="G69" s="28">
        <v>454715</v>
      </c>
      <c r="H69" s="28">
        <v>0</v>
      </c>
      <c r="I69" s="28">
        <f t="shared" si="1"/>
        <v>2204838</v>
      </c>
    </row>
    <row r="70" spans="1:9" x14ac:dyDescent="0.3">
      <c r="A70" s="16" t="s">
        <v>303</v>
      </c>
      <c r="B70" s="16" t="s">
        <v>304</v>
      </c>
      <c r="C70" s="25">
        <v>45762</v>
      </c>
      <c r="D70" s="16" t="s">
        <v>308</v>
      </c>
      <c r="E70" s="16" t="s">
        <v>309</v>
      </c>
      <c r="F70" s="16" t="s">
        <v>347</v>
      </c>
      <c r="G70" s="28">
        <v>46444</v>
      </c>
      <c r="H70" s="28">
        <v>0</v>
      </c>
      <c r="I70" s="28">
        <f t="shared" si="1"/>
        <v>2251282</v>
      </c>
    </row>
    <row r="71" spans="1:9" x14ac:dyDescent="0.3">
      <c r="A71" s="16" t="s">
        <v>303</v>
      </c>
      <c r="B71" s="16" t="s">
        <v>304</v>
      </c>
      <c r="C71" s="25">
        <v>45762</v>
      </c>
      <c r="D71" s="16" t="s">
        <v>305</v>
      </c>
      <c r="E71" s="16" t="s">
        <v>311</v>
      </c>
      <c r="F71" s="16"/>
      <c r="G71" s="28">
        <v>0</v>
      </c>
      <c r="H71" s="28">
        <v>462</v>
      </c>
      <c r="I71" s="28">
        <f t="shared" si="1"/>
        <v>2250820</v>
      </c>
    </row>
    <row r="72" spans="1:9" x14ac:dyDescent="0.3">
      <c r="A72" s="16" t="s">
        <v>303</v>
      </c>
      <c r="B72" s="16" t="s">
        <v>304</v>
      </c>
      <c r="C72" s="25">
        <v>45770</v>
      </c>
      <c r="D72" s="16" t="s">
        <v>305</v>
      </c>
      <c r="E72" s="16" t="s">
        <v>339</v>
      </c>
      <c r="F72" s="16"/>
      <c r="G72" s="28">
        <v>0</v>
      </c>
      <c r="H72" s="28">
        <v>84444</v>
      </c>
      <c r="I72" s="28">
        <f t="shared" si="1"/>
        <v>2166376</v>
      </c>
    </row>
    <row r="73" spans="1:9" x14ac:dyDescent="0.3">
      <c r="A73" s="16" t="s">
        <v>303</v>
      </c>
      <c r="B73" s="16" t="s">
        <v>304</v>
      </c>
      <c r="C73" s="25">
        <v>45772</v>
      </c>
      <c r="D73" s="16" t="s">
        <v>305</v>
      </c>
      <c r="E73" s="16" t="s">
        <v>311</v>
      </c>
      <c r="F73" s="16"/>
      <c r="G73" s="28">
        <v>0</v>
      </c>
      <c r="H73" s="28">
        <v>3904</v>
      </c>
      <c r="I73" s="28">
        <f t="shared" si="1"/>
        <v>2162472</v>
      </c>
    </row>
    <row r="74" spans="1:9" x14ac:dyDescent="0.3">
      <c r="A74" s="16" t="s">
        <v>303</v>
      </c>
      <c r="B74" s="16" t="s">
        <v>304</v>
      </c>
      <c r="C74" s="25">
        <v>45772</v>
      </c>
      <c r="D74" s="16" t="s">
        <v>305</v>
      </c>
      <c r="E74" s="16" t="s">
        <v>311</v>
      </c>
      <c r="F74" s="16"/>
      <c r="G74" s="28">
        <v>0</v>
      </c>
      <c r="H74" s="28">
        <v>18764</v>
      </c>
      <c r="I74" s="28">
        <f t="shared" si="1"/>
        <v>2143708</v>
      </c>
    </row>
    <row r="75" spans="1:9" x14ac:dyDescent="0.3">
      <c r="A75" s="16" t="s">
        <v>303</v>
      </c>
      <c r="B75" s="16" t="s">
        <v>304</v>
      </c>
      <c r="C75" s="25">
        <v>45772</v>
      </c>
      <c r="D75" s="16" t="s">
        <v>305</v>
      </c>
      <c r="E75" s="16" t="s">
        <v>311</v>
      </c>
      <c r="F75" s="16"/>
      <c r="G75" s="28">
        <v>0</v>
      </c>
      <c r="H75" s="28">
        <v>22734.58</v>
      </c>
      <c r="I75" s="28">
        <f t="shared" si="1"/>
        <v>2120973.42</v>
      </c>
    </row>
    <row r="76" spans="1:9" x14ac:dyDescent="0.3">
      <c r="A76" s="16" t="s">
        <v>303</v>
      </c>
      <c r="B76" s="16" t="s">
        <v>304</v>
      </c>
      <c r="C76" s="25">
        <v>45774</v>
      </c>
      <c r="D76" s="16" t="s">
        <v>305</v>
      </c>
      <c r="E76" s="16" t="s">
        <v>339</v>
      </c>
      <c r="F76" s="16"/>
      <c r="G76" s="28">
        <v>0</v>
      </c>
      <c r="H76" s="28">
        <v>8272.42</v>
      </c>
      <c r="I76" s="28">
        <f t="shared" si="1"/>
        <v>2112701</v>
      </c>
    </row>
    <row r="77" spans="1:9" x14ac:dyDescent="0.3">
      <c r="A77" s="16" t="s">
        <v>303</v>
      </c>
      <c r="B77" s="16" t="s">
        <v>304</v>
      </c>
      <c r="C77" s="25">
        <v>45778</v>
      </c>
      <c r="D77" s="16" t="s">
        <v>305</v>
      </c>
      <c r="E77" s="16" t="s">
        <v>311</v>
      </c>
      <c r="F77" s="16"/>
      <c r="G77" s="28">
        <v>0</v>
      </c>
      <c r="H77" s="28">
        <v>211</v>
      </c>
      <c r="I77" s="28">
        <f t="shared" si="1"/>
        <v>2112490</v>
      </c>
    </row>
    <row r="78" spans="1:9" x14ac:dyDescent="0.3">
      <c r="A78" s="16" t="s">
        <v>303</v>
      </c>
      <c r="B78" s="16" t="s">
        <v>304</v>
      </c>
      <c r="C78" s="25">
        <v>45778</v>
      </c>
      <c r="D78" s="16" t="s">
        <v>305</v>
      </c>
      <c r="E78" s="16" t="s">
        <v>306</v>
      </c>
      <c r="F78" s="16" t="s">
        <v>348</v>
      </c>
      <c r="G78" s="28">
        <v>0</v>
      </c>
      <c r="H78" s="28">
        <v>8202</v>
      </c>
      <c r="I78" s="28">
        <f t="shared" si="1"/>
        <v>2104288</v>
      </c>
    </row>
    <row r="79" spans="1:9" x14ac:dyDescent="0.3">
      <c r="A79" s="16" t="s">
        <v>303</v>
      </c>
      <c r="B79" s="16" t="s">
        <v>304</v>
      </c>
      <c r="C79" s="25">
        <v>45778</v>
      </c>
      <c r="D79" s="16" t="s">
        <v>318</v>
      </c>
      <c r="E79" s="16" t="s">
        <v>319</v>
      </c>
      <c r="F79" s="16"/>
      <c r="G79" s="28">
        <v>0.01</v>
      </c>
      <c r="H79" s="28">
        <v>0</v>
      </c>
      <c r="I79" s="28">
        <f t="shared" si="1"/>
        <v>2104288.0099999998</v>
      </c>
    </row>
    <row r="80" spans="1:9" x14ac:dyDescent="0.3">
      <c r="A80" s="16" t="s">
        <v>303</v>
      </c>
      <c r="B80" s="16" t="s">
        <v>304</v>
      </c>
      <c r="C80" s="25">
        <v>45779</v>
      </c>
      <c r="D80" s="16" t="s">
        <v>305</v>
      </c>
      <c r="E80" s="16" t="s">
        <v>306</v>
      </c>
      <c r="F80" s="16" t="s">
        <v>349</v>
      </c>
      <c r="G80" s="28">
        <v>0</v>
      </c>
      <c r="H80" s="28">
        <v>7386</v>
      </c>
      <c r="I80" s="28">
        <f t="shared" si="1"/>
        <v>2096902.0099999998</v>
      </c>
    </row>
    <row r="81" spans="1:9" x14ac:dyDescent="0.3">
      <c r="A81" s="16" t="s">
        <v>303</v>
      </c>
      <c r="B81" s="16" t="s">
        <v>304</v>
      </c>
      <c r="C81" s="25">
        <v>45779</v>
      </c>
      <c r="D81" s="16" t="s">
        <v>318</v>
      </c>
      <c r="E81" s="16" t="s">
        <v>319</v>
      </c>
      <c r="F81" s="16"/>
      <c r="G81" s="28">
        <v>0</v>
      </c>
      <c r="H81" s="28">
        <v>0.48</v>
      </c>
      <c r="I81" s="28">
        <f t="shared" si="1"/>
        <v>2096901.5299999998</v>
      </c>
    </row>
    <row r="82" spans="1:9" x14ac:dyDescent="0.3">
      <c r="A82" s="16" t="s">
        <v>303</v>
      </c>
      <c r="B82" s="16" t="s">
        <v>304</v>
      </c>
      <c r="C82" s="25">
        <v>45780</v>
      </c>
      <c r="D82" s="16" t="s">
        <v>305</v>
      </c>
      <c r="E82" s="16" t="s">
        <v>306</v>
      </c>
      <c r="F82" s="16" t="s">
        <v>350</v>
      </c>
      <c r="G82" s="28">
        <v>0</v>
      </c>
      <c r="H82" s="28">
        <v>8380</v>
      </c>
      <c r="I82" s="28">
        <f t="shared" si="1"/>
        <v>2088521.5299999998</v>
      </c>
    </row>
    <row r="83" spans="1:9" x14ac:dyDescent="0.3">
      <c r="A83" s="16" t="s">
        <v>303</v>
      </c>
      <c r="B83" s="16" t="s">
        <v>304</v>
      </c>
      <c r="C83" s="25">
        <v>45780</v>
      </c>
      <c r="D83" s="16" t="s">
        <v>318</v>
      </c>
      <c r="E83" s="16" t="s">
        <v>319</v>
      </c>
      <c r="F83" s="16"/>
      <c r="G83" s="28">
        <v>0</v>
      </c>
      <c r="H83" s="28">
        <v>0.09</v>
      </c>
      <c r="I83" s="28">
        <f t="shared" si="1"/>
        <v>2088521.4399999997</v>
      </c>
    </row>
    <row r="84" spans="1:9" x14ac:dyDescent="0.3">
      <c r="A84" s="16" t="s">
        <v>303</v>
      </c>
      <c r="B84" s="16" t="s">
        <v>304</v>
      </c>
      <c r="C84" s="25">
        <v>45781</v>
      </c>
      <c r="D84" s="16" t="s">
        <v>305</v>
      </c>
      <c r="E84" s="16" t="s">
        <v>306</v>
      </c>
      <c r="F84" s="16" t="s">
        <v>351</v>
      </c>
      <c r="G84" s="28">
        <v>0</v>
      </c>
      <c r="H84" s="28">
        <v>9271</v>
      </c>
      <c r="I84" s="28">
        <f t="shared" si="1"/>
        <v>2079250.4399999997</v>
      </c>
    </row>
    <row r="85" spans="1:9" x14ac:dyDescent="0.3">
      <c r="A85" s="16" t="s">
        <v>303</v>
      </c>
      <c r="B85" s="16" t="s">
        <v>304</v>
      </c>
      <c r="C85" s="25">
        <v>45781</v>
      </c>
      <c r="D85" s="16" t="s">
        <v>318</v>
      </c>
      <c r="E85" s="16" t="s">
        <v>319</v>
      </c>
      <c r="F85" s="16"/>
      <c r="G85" s="28">
        <v>0.41</v>
      </c>
      <c r="H85" s="28">
        <v>0</v>
      </c>
      <c r="I85" s="28">
        <f t="shared" si="1"/>
        <v>2079250.8499999996</v>
      </c>
    </row>
    <row r="86" spans="1:9" x14ac:dyDescent="0.3">
      <c r="A86" s="16" t="s">
        <v>303</v>
      </c>
      <c r="B86" s="16" t="s">
        <v>304</v>
      </c>
      <c r="C86" s="25">
        <v>45782</v>
      </c>
      <c r="D86" s="16" t="s">
        <v>305</v>
      </c>
      <c r="E86" s="16" t="s">
        <v>311</v>
      </c>
      <c r="F86" s="16"/>
      <c r="G86" s="28">
        <v>0</v>
      </c>
      <c r="H86" s="28">
        <v>211</v>
      </c>
      <c r="I86" s="28">
        <f t="shared" si="1"/>
        <v>2079039.8499999996</v>
      </c>
    </row>
    <row r="87" spans="1:9" x14ac:dyDescent="0.3">
      <c r="A87" s="16" t="s">
        <v>303</v>
      </c>
      <c r="B87" s="16" t="s">
        <v>304</v>
      </c>
      <c r="C87" s="25">
        <v>45782</v>
      </c>
      <c r="D87" s="16" t="s">
        <v>305</v>
      </c>
      <c r="E87" s="16" t="s">
        <v>311</v>
      </c>
      <c r="F87" s="16"/>
      <c r="G87" s="28">
        <v>0</v>
      </c>
      <c r="H87" s="28">
        <v>191</v>
      </c>
      <c r="I87" s="28">
        <f t="shared" si="1"/>
        <v>2078848.8499999996</v>
      </c>
    </row>
    <row r="88" spans="1:9" x14ac:dyDescent="0.3">
      <c r="A88" s="16" t="s">
        <v>303</v>
      </c>
      <c r="B88" s="16" t="s">
        <v>304</v>
      </c>
      <c r="C88" s="25">
        <v>45782</v>
      </c>
      <c r="D88" s="16" t="s">
        <v>305</v>
      </c>
      <c r="E88" s="16" t="s">
        <v>311</v>
      </c>
      <c r="F88" s="16"/>
      <c r="G88" s="28">
        <v>0</v>
      </c>
      <c r="H88" s="28">
        <v>239</v>
      </c>
      <c r="I88" s="28">
        <f t="shared" si="1"/>
        <v>2078609.8499999996</v>
      </c>
    </row>
    <row r="89" spans="1:9" x14ac:dyDescent="0.3">
      <c r="A89" s="16" t="s">
        <v>303</v>
      </c>
      <c r="B89" s="16" t="s">
        <v>304</v>
      </c>
      <c r="C89" s="25">
        <v>45783</v>
      </c>
      <c r="D89" s="16" t="s">
        <v>305</v>
      </c>
      <c r="E89" s="16" t="s">
        <v>306</v>
      </c>
      <c r="F89" s="16" t="s">
        <v>352</v>
      </c>
      <c r="G89" s="28">
        <v>0</v>
      </c>
      <c r="H89" s="28">
        <v>36511</v>
      </c>
      <c r="I89" s="28">
        <f t="shared" si="1"/>
        <v>2042098.8499999996</v>
      </c>
    </row>
    <row r="90" spans="1:9" x14ac:dyDescent="0.3">
      <c r="A90" s="16" t="s">
        <v>303</v>
      </c>
      <c r="B90" s="16" t="s">
        <v>304</v>
      </c>
      <c r="C90" s="25">
        <v>45783</v>
      </c>
      <c r="D90" s="16" t="s">
        <v>318</v>
      </c>
      <c r="E90" s="16" t="s">
        <v>319</v>
      </c>
      <c r="F90" s="16"/>
      <c r="G90" s="28">
        <v>0.44</v>
      </c>
      <c r="H90" s="28">
        <v>0</v>
      </c>
      <c r="I90" s="28">
        <f t="shared" si="1"/>
        <v>2042099.2899999996</v>
      </c>
    </row>
    <row r="91" spans="1:9" x14ac:dyDescent="0.3">
      <c r="A91" s="16" t="s">
        <v>303</v>
      </c>
      <c r="B91" s="16" t="s">
        <v>304</v>
      </c>
      <c r="C91" s="25">
        <v>45784</v>
      </c>
      <c r="D91" s="16" t="s">
        <v>305</v>
      </c>
      <c r="E91" s="16" t="s">
        <v>311</v>
      </c>
      <c r="F91" s="16"/>
      <c r="G91" s="28">
        <v>0</v>
      </c>
      <c r="H91" s="28">
        <v>928</v>
      </c>
      <c r="I91" s="28">
        <f t="shared" si="1"/>
        <v>2041171.2899999996</v>
      </c>
    </row>
    <row r="92" spans="1:9" x14ac:dyDescent="0.3">
      <c r="A92" s="16" t="s">
        <v>303</v>
      </c>
      <c r="B92" s="16" t="s">
        <v>304</v>
      </c>
      <c r="C92" s="25">
        <v>45784</v>
      </c>
      <c r="D92" s="16" t="s">
        <v>305</v>
      </c>
      <c r="E92" s="16" t="s">
        <v>306</v>
      </c>
      <c r="F92" s="16" t="s">
        <v>315</v>
      </c>
      <c r="G92" s="28">
        <v>0</v>
      </c>
      <c r="H92" s="28">
        <v>26000</v>
      </c>
      <c r="I92" s="28">
        <f t="shared" si="1"/>
        <v>2015171.2899999996</v>
      </c>
    </row>
    <row r="93" spans="1:9" x14ac:dyDescent="0.3">
      <c r="A93" s="16" t="s">
        <v>303</v>
      </c>
      <c r="B93" s="16" t="s">
        <v>304</v>
      </c>
      <c r="C93" s="25">
        <v>45784</v>
      </c>
      <c r="D93" s="16" t="s">
        <v>305</v>
      </c>
      <c r="E93" s="16" t="s">
        <v>306</v>
      </c>
      <c r="F93" s="16" t="s">
        <v>353</v>
      </c>
      <c r="G93" s="28">
        <v>0</v>
      </c>
      <c r="H93" s="28">
        <v>13367</v>
      </c>
      <c r="I93" s="28">
        <f t="shared" si="1"/>
        <v>2001804.2899999996</v>
      </c>
    </row>
    <row r="94" spans="1:9" x14ac:dyDescent="0.3">
      <c r="A94" s="16" t="s">
        <v>303</v>
      </c>
      <c r="B94" s="16" t="s">
        <v>304</v>
      </c>
      <c r="C94" s="25">
        <v>45784</v>
      </c>
      <c r="D94" s="16" t="s">
        <v>305</v>
      </c>
      <c r="E94" s="16" t="s">
        <v>306</v>
      </c>
      <c r="F94" s="16" t="s">
        <v>354</v>
      </c>
      <c r="G94" s="28">
        <v>0</v>
      </c>
      <c r="H94" s="28">
        <v>120490</v>
      </c>
      <c r="I94" s="28">
        <f t="shared" si="1"/>
        <v>1881314.2899999996</v>
      </c>
    </row>
    <row r="95" spans="1:9" x14ac:dyDescent="0.3">
      <c r="A95" s="16" t="s">
        <v>303</v>
      </c>
      <c r="B95" s="16" t="s">
        <v>304</v>
      </c>
      <c r="C95" s="25">
        <v>45784</v>
      </c>
      <c r="D95" s="16" t="s">
        <v>318</v>
      </c>
      <c r="E95" s="16" t="s">
        <v>319</v>
      </c>
      <c r="F95" s="16"/>
      <c r="G95" s="28">
        <v>0.1</v>
      </c>
      <c r="H95" s="28">
        <v>0</v>
      </c>
      <c r="I95" s="28">
        <f t="shared" si="1"/>
        <v>1881314.3899999997</v>
      </c>
    </row>
    <row r="96" spans="1:9" x14ac:dyDescent="0.3">
      <c r="A96" s="16" t="s">
        <v>303</v>
      </c>
      <c r="B96" s="16" t="s">
        <v>304</v>
      </c>
      <c r="C96" s="25">
        <v>45784</v>
      </c>
      <c r="D96" s="16" t="s">
        <v>318</v>
      </c>
      <c r="E96" s="16" t="s">
        <v>319</v>
      </c>
      <c r="F96" s="16"/>
      <c r="G96" s="28">
        <v>0.46</v>
      </c>
      <c r="H96" s="28">
        <v>0</v>
      </c>
      <c r="I96" s="28">
        <f t="shared" si="1"/>
        <v>1881314.8499999996</v>
      </c>
    </row>
    <row r="97" spans="1:9" x14ac:dyDescent="0.3">
      <c r="A97" s="16" t="s">
        <v>303</v>
      </c>
      <c r="B97" s="16" t="s">
        <v>304</v>
      </c>
      <c r="C97" s="25">
        <v>45785</v>
      </c>
      <c r="D97" s="16" t="s">
        <v>305</v>
      </c>
      <c r="E97" s="16" t="s">
        <v>311</v>
      </c>
      <c r="F97" s="16"/>
      <c r="G97" s="28">
        <v>0</v>
      </c>
      <c r="H97" s="28">
        <v>345</v>
      </c>
      <c r="I97" s="28">
        <f t="shared" si="1"/>
        <v>1880969.8499999996</v>
      </c>
    </row>
    <row r="98" spans="1:9" x14ac:dyDescent="0.3">
      <c r="A98" s="16" t="s">
        <v>303</v>
      </c>
      <c r="B98" s="16" t="s">
        <v>304</v>
      </c>
      <c r="C98" s="25">
        <v>45785</v>
      </c>
      <c r="D98" s="16" t="s">
        <v>305</v>
      </c>
      <c r="E98" s="16" t="s">
        <v>311</v>
      </c>
      <c r="F98" s="16"/>
      <c r="G98" s="28">
        <v>0</v>
      </c>
      <c r="H98" s="28">
        <v>3072</v>
      </c>
      <c r="I98" s="28">
        <f t="shared" si="1"/>
        <v>1877897.8499999996</v>
      </c>
    </row>
    <row r="99" spans="1:9" x14ac:dyDescent="0.3">
      <c r="A99" s="16" t="s">
        <v>303</v>
      </c>
      <c r="B99" s="16" t="s">
        <v>304</v>
      </c>
      <c r="C99" s="25">
        <v>45791</v>
      </c>
      <c r="D99" s="16" t="s">
        <v>305</v>
      </c>
      <c r="E99" s="16" t="s">
        <v>311</v>
      </c>
      <c r="F99" s="16"/>
      <c r="G99" s="28">
        <v>0</v>
      </c>
      <c r="H99" s="28">
        <v>335</v>
      </c>
      <c r="I99" s="28">
        <f t="shared" si="1"/>
        <v>1877562.8499999996</v>
      </c>
    </row>
    <row r="100" spans="1:9" x14ac:dyDescent="0.3">
      <c r="A100" s="16" t="s">
        <v>303</v>
      </c>
      <c r="B100" s="16" t="s">
        <v>304</v>
      </c>
      <c r="C100" s="25">
        <v>45791</v>
      </c>
      <c r="D100" s="16" t="s">
        <v>305</v>
      </c>
      <c r="E100" s="16" t="s">
        <v>306</v>
      </c>
      <c r="F100" s="16"/>
      <c r="G100" s="28">
        <v>0</v>
      </c>
      <c r="H100" s="28">
        <v>12945.08</v>
      </c>
      <c r="I100" s="28">
        <f t="shared" si="1"/>
        <v>1864617.7699999996</v>
      </c>
    </row>
    <row r="101" spans="1:9" x14ac:dyDescent="0.3">
      <c r="A101" s="16" t="s">
        <v>303</v>
      </c>
      <c r="B101" s="16" t="s">
        <v>304</v>
      </c>
      <c r="C101" s="25">
        <v>45792</v>
      </c>
      <c r="D101" s="16" t="s">
        <v>308</v>
      </c>
      <c r="E101" s="16" t="s">
        <v>309</v>
      </c>
      <c r="F101" s="16" t="s">
        <v>347</v>
      </c>
      <c r="G101" s="28">
        <v>806870</v>
      </c>
      <c r="H101" s="28">
        <v>0</v>
      </c>
      <c r="I101" s="28">
        <f t="shared" si="1"/>
        <v>2671487.7699999996</v>
      </c>
    </row>
    <row r="102" spans="1:9" x14ac:dyDescent="0.3">
      <c r="A102" s="16" t="s">
        <v>303</v>
      </c>
      <c r="B102" s="16" t="s">
        <v>304</v>
      </c>
      <c r="C102" s="25">
        <v>45792</v>
      </c>
      <c r="D102" s="16" t="s">
        <v>305</v>
      </c>
      <c r="E102" s="16" t="s">
        <v>306</v>
      </c>
      <c r="F102" s="16" t="s">
        <v>355</v>
      </c>
      <c r="G102" s="28">
        <v>0</v>
      </c>
      <c r="H102" s="28">
        <v>3600</v>
      </c>
      <c r="I102" s="28">
        <f t="shared" si="1"/>
        <v>2667887.7699999996</v>
      </c>
    </row>
    <row r="103" spans="1:9" x14ac:dyDescent="0.3">
      <c r="A103" s="16" t="s">
        <v>303</v>
      </c>
      <c r="B103" s="16" t="s">
        <v>304</v>
      </c>
      <c r="C103" s="25">
        <v>45794</v>
      </c>
      <c r="D103" s="16" t="s">
        <v>305</v>
      </c>
      <c r="E103" s="16" t="s">
        <v>306</v>
      </c>
      <c r="F103" s="16" t="s">
        <v>356</v>
      </c>
      <c r="G103" s="28">
        <v>0</v>
      </c>
      <c r="H103" s="28">
        <v>3318</v>
      </c>
      <c r="I103" s="28">
        <f t="shared" si="1"/>
        <v>2664569.7699999996</v>
      </c>
    </row>
    <row r="104" spans="1:9" x14ac:dyDescent="0.3">
      <c r="A104" s="16" t="s">
        <v>303</v>
      </c>
      <c r="B104" s="16" t="s">
        <v>304</v>
      </c>
      <c r="C104" s="25">
        <v>45794</v>
      </c>
      <c r="D104" s="16" t="s">
        <v>305</v>
      </c>
      <c r="E104" s="16" t="s">
        <v>306</v>
      </c>
      <c r="F104" s="16" t="s">
        <v>357</v>
      </c>
      <c r="G104" s="28">
        <v>0</v>
      </c>
      <c r="H104" s="28">
        <v>5680</v>
      </c>
      <c r="I104" s="28">
        <f t="shared" si="1"/>
        <v>2658889.7699999996</v>
      </c>
    </row>
    <row r="105" spans="1:9" x14ac:dyDescent="0.3">
      <c r="A105" s="16" t="s">
        <v>303</v>
      </c>
      <c r="B105" s="16" t="s">
        <v>304</v>
      </c>
      <c r="C105" s="25">
        <v>45794</v>
      </c>
      <c r="D105" s="16" t="s">
        <v>305</v>
      </c>
      <c r="E105" s="16" t="s">
        <v>306</v>
      </c>
      <c r="F105" s="16" t="s">
        <v>358</v>
      </c>
      <c r="G105" s="28">
        <v>0</v>
      </c>
      <c r="H105" s="28">
        <v>43400</v>
      </c>
      <c r="I105" s="28">
        <f t="shared" si="1"/>
        <v>2615489.7699999996</v>
      </c>
    </row>
    <row r="106" spans="1:9" x14ac:dyDescent="0.3">
      <c r="A106" s="16" t="s">
        <v>303</v>
      </c>
      <c r="B106" s="16" t="s">
        <v>304</v>
      </c>
      <c r="C106" s="25">
        <v>45794</v>
      </c>
      <c r="D106" s="16" t="s">
        <v>318</v>
      </c>
      <c r="E106" s="16" t="s">
        <v>319</v>
      </c>
      <c r="F106" s="16"/>
      <c r="G106" s="28">
        <v>0</v>
      </c>
      <c r="H106" s="28">
        <v>0.23</v>
      </c>
      <c r="I106" s="28">
        <f t="shared" si="1"/>
        <v>2615489.5399999996</v>
      </c>
    </row>
    <row r="107" spans="1:9" x14ac:dyDescent="0.3">
      <c r="A107" s="16" t="s">
        <v>303</v>
      </c>
      <c r="B107" s="16" t="s">
        <v>304</v>
      </c>
      <c r="C107" s="25">
        <v>45794</v>
      </c>
      <c r="D107" s="16" t="s">
        <v>318</v>
      </c>
      <c r="E107" s="16" t="s">
        <v>319</v>
      </c>
      <c r="F107" s="16"/>
      <c r="G107" s="28">
        <v>0</v>
      </c>
      <c r="H107" s="28">
        <v>0.46</v>
      </c>
      <c r="I107" s="28">
        <f t="shared" si="1"/>
        <v>2615489.0799999996</v>
      </c>
    </row>
    <row r="108" spans="1:9" x14ac:dyDescent="0.3">
      <c r="A108" s="16" t="s">
        <v>303</v>
      </c>
      <c r="B108" s="16" t="s">
        <v>304</v>
      </c>
      <c r="C108" s="25">
        <v>45794</v>
      </c>
      <c r="D108" s="16" t="s">
        <v>318</v>
      </c>
      <c r="E108" s="16" t="s">
        <v>319</v>
      </c>
      <c r="F108" s="16"/>
      <c r="G108" s="28">
        <v>0</v>
      </c>
      <c r="H108" s="28">
        <v>0.28999999999999998</v>
      </c>
      <c r="I108" s="28">
        <f t="shared" si="1"/>
        <v>2615488.7899999996</v>
      </c>
    </row>
    <row r="109" spans="1:9" x14ac:dyDescent="0.3">
      <c r="A109" s="16" t="s">
        <v>303</v>
      </c>
      <c r="B109" s="16" t="s">
        <v>304</v>
      </c>
      <c r="C109" s="25">
        <v>45794</v>
      </c>
      <c r="D109" s="16" t="s">
        <v>318</v>
      </c>
      <c r="E109" s="16" t="s">
        <v>319</v>
      </c>
      <c r="F109" s="16"/>
      <c r="G109" s="28">
        <v>0</v>
      </c>
      <c r="H109" s="28">
        <v>0.11</v>
      </c>
      <c r="I109" s="28">
        <f t="shared" si="1"/>
        <v>2615488.6799999997</v>
      </c>
    </row>
    <row r="110" spans="1:9" x14ac:dyDescent="0.3">
      <c r="A110" s="16" t="s">
        <v>303</v>
      </c>
      <c r="B110" s="16" t="s">
        <v>304</v>
      </c>
      <c r="C110" s="25">
        <v>45795</v>
      </c>
      <c r="D110" s="16" t="s">
        <v>305</v>
      </c>
      <c r="E110" s="16" t="s">
        <v>306</v>
      </c>
      <c r="F110" s="16" t="s">
        <v>359</v>
      </c>
      <c r="G110" s="28">
        <v>0</v>
      </c>
      <c r="H110" s="28">
        <v>4574</v>
      </c>
      <c r="I110" s="28">
        <f t="shared" si="1"/>
        <v>2610914.6799999997</v>
      </c>
    </row>
    <row r="111" spans="1:9" x14ac:dyDescent="0.3">
      <c r="A111" s="16" t="s">
        <v>303</v>
      </c>
      <c r="B111" s="16" t="s">
        <v>304</v>
      </c>
      <c r="C111" s="25">
        <v>45795</v>
      </c>
      <c r="D111" s="16" t="s">
        <v>305</v>
      </c>
      <c r="E111" s="16" t="s">
        <v>306</v>
      </c>
      <c r="F111" s="16" t="s">
        <v>359</v>
      </c>
      <c r="G111" s="28">
        <v>0</v>
      </c>
      <c r="H111" s="28">
        <v>8033</v>
      </c>
      <c r="I111" s="28">
        <f t="shared" si="1"/>
        <v>2602881.6799999997</v>
      </c>
    </row>
    <row r="112" spans="1:9" x14ac:dyDescent="0.3">
      <c r="A112" s="16" t="s">
        <v>303</v>
      </c>
      <c r="B112" s="16" t="s">
        <v>304</v>
      </c>
      <c r="C112" s="25">
        <v>45795</v>
      </c>
      <c r="D112" s="16" t="s">
        <v>305</v>
      </c>
      <c r="E112" s="16" t="s">
        <v>306</v>
      </c>
      <c r="F112" s="16" t="s">
        <v>360</v>
      </c>
      <c r="G112" s="28">
        <v>0</v>
      </c>
      <c r="H112" s="28">
        <v>15645</v>
      </c>
      <c r="I112" s="28">
        <f t="shared" si="1"/>
        <v>2587236.6799999997</v>
      </c>
    </row>
    <row r="113" spans="1:9" x14ac:dyDescent="0.3">
      <c r="A113" s="16" t="s">
        <v>303</v>
      </c>
      <c r="B113" s="16" t="s">
        <v>304</v>
      </c>
      <c r="C113" s="25">
        <v>45795</v>
      </c>
      <c r="D113" s="16" t="s">
        <v>305</v>
      </c>
      <c r="E113" s="16" t="s">
        <v>306</v>
      </c>
      <c r="F113" s="16" t="s">
        <v>361</v>
      </c>
      <c r="G113" s="28">
        <v>0</v>
      </c>
      <c r="H113" s="28">
        <v>17856</v>
      </c>
      <c r="I113" s="28">
        <f t="shared" si="1"/>
        <v>2569380.6799999997</v>
      </c>
    </row>
    <row r="114" spans="1:9" x14ac:dyDescent="0.3">
      <c r="A114" s="16" t="s">
        <v>303</v>
      </c>
      <c r="B114" s="16" t="s">
        <v>304</v>
      </c>
      <c r="C114" s="25">
        <v>45795</v>
      </c>
      <c r="D114" s="16" t="s">
        <v>318</v>
      </c>
      <c r="E114" s="16" t="s">
        <v>319</v>
      </c>
      <c r="F114" s="16"/>
      <c r="G114" s="28">
        <v>0</v>
      </c>
      <c r="H114" s="28">
        <v>0.26</v>
      </c>
      <c r="I114" s="28">
        <f t="shared" si="1"/>
        <v>2569380.42</v>
      </c>
    </row>
    <row r="115" spans="1:9" x14ac:dyDescent="0.3">
      <c r="A115" s="16" t="s">
        <v>303</v>
      </c>
      <c r="B115" s="16" t="s">
        <v>304</v>
      </c>
      <c r="C115" s="25">
        <v>45795</v>
      </c>
      <c r="D115" s="16" t="s">
        <v>318</v>
      </c>
      <c r="E115" s="16" t="s">
        <v>319</v>
      </c>
      <c r="F115" s="16"/>
      <c r="G115" s="28">
        <v>0.28999999999999998</v>
      </c>
      <c r="H115" s="28">
        <v>0</v>
      </c>
      <c r="I115" s="28">
        <f t="shared" si="1"/>
        <v>2569380.71</v>
      </c>
    </row>
    <row r="116" spans="1:9" x14ac:dyDescent="0.3">
      <c r="A116" s="16" t="s">
        <v>303</v>
      </c>
      <c r="B116" s="16" t="s">
        <v>304</v>
      </c>
      <c r="C116" s="25">
        <v>45795</v>
      </c>
      <c r="D116" s="16" t="s">
        <v>318</v>
      </c>
      <c r="E116" s="16" t="s">
        <v>319</v>
      </c>
      <c r="F116" s="16"/>
      <c r="G116" s="28">
        <v>0</v>
      </c>
      <c r="H116" s="28">
        <v>0.37</v>
      </c>
      <c r="I116" s="28">
        <f t="shared" si="1"/>
        <v>2569380.34</v>
      </c>
    </row>
    <row r="117" spans="1:9" x14ac:dyDescent="0.3">
      <c r="A117" s="16" t="s">
        <v>303</v>
      </c>
      <c r="B117" s="16" t="s">
        <v>304</v>
      </c>
      <c r="C117" s="25">
        <v>45795</v>
      </c>
      <c r="D117" s="16" t="s">
        <v>318</v>
      </c>
      <c r="E117" s="16" t="s">
        <v>319</v>
      </c>
      <c r="F117" s="16"/>
      <c r="G117" s="28">
        <v>0</v>
      </c>
      <c r="H117" s="28">
        <v>0.9</v>
      </c>
      <c r="I117" s="28">
        <f t="shared" si="1"/>
        <v>2569379.44</v>
      </c>
    </row>
    <row r="118" spans="1:9" x14ac:dyDescent="0.3">
      <c r="A118" s="16" t="s">
        <v>303</v>
      </c>
      <c r="B118" s="16" t="s">
        <v>304</v>
      </c>
      <c r="C118" s="25">
        <v>45796</v>
      </c>
      <c r="D118" s="16" t="s">
        <v>305</v>
      </c>
      <c r="E118" s="16" t="s">
        <v>311</v>
      </c>
      <c r="F118" s="16"/>
      <c r="G118" s="28">
        <v>0</v>
      </c>
      <c r="H118" s="28">
        <v>86</v>
      </c>
      <c r="I118" s="28">
        <f t="shared" si="1"/>
        <v>2569293.44</v>
      </c>
    </row>
    <row r="119" spans="1:9" x14ac:dyDescent="0.3">
      <c r="A119" s="16" t="s">
        <v>303</v>
      </c>
      <c r="B119" s="16" t="s">
        <v>304</v>
      </c>
      <c r="C119" s="25">
        <v>45796</v>
      </c>
      <c r="D119" s="16" t="s">
        <v>305</v>
      </c>
      <c r="E119" s="16" t="s">
        <v>311</v>
      </c>
      <c r="F119" s="16"/>
      <c r="G119" s="28">
        <v>0</v>
      </c>
      <c r="H119" s="28">
        <v>144</v>
      </c>
      <c r="I119" s="28">
        <f t="shared" si="1"/>
        <v>2569149.4399999999</v>
      </c>
    </row>
    <row r="120" spans="1:9" x14ac:dyDescent="0.3">
      <c r="A120" s="16" t="s">
        <v>303</v>
      </c>
      <c r="B120" s="16" t="s">
        <v>304</v>
      </c>
      <c r="C120" s="25">
        <v>45796</v>
      </c>
      <c r="D120" s="16" t="s">
        <v>305</v>
      </c>
      <c r="E120" s="16" t="s">
        <v>311</v>
      </c>
      <c r="F120" s="16"/>
      <c r="G120" s="28">
        <v>0</v>
      </c>
      <c r="H120" s="28">
        <v>402</v>
      </c>
      <c r="I120" s="28">
        <f t="shared" si="1"/>
        <v>2568747.44</v>
      </c>
    </row>
    <row r="121" spans="1:9" x14ac:dyDescent="0.3">
      <c r="A121" s="16" t="s">
        <v>303</v>
      </c>
      <c r="B121" s="16" t="s">
        <v>304</v>
      </c>
      <c r="C121" s="25">
        <v>45796</v>
      </c>
      <c r="D121" s="16" t="s">
        <v>305</v>
      </c>
      <c r="E121" s="16" t="s">
        <v>311</v>
      </c>
      <c r="F121" s="16"/>
      <c r="G121" s="28">
        <v>0</v>
      </c>
      <c r="H121" s="28">
        <v>201</v>
      </c>
      <c r="I121" s="28">
        <f t="shared" si="1"/>
        <v>2568546.44</v>
      </c>
    </row>
    <row r="122" spans="1:9" x14ac:dyDescent="0.3">
      <c r="A122" s="16" t="s">
        <v>303</v>
      </c>
      <c r="B122" s="16" t="s">
        <v>304</v>
      </c>
      <c r="C122" s="25">
        <v>45796</v>
      </c>
      <c r="D122" s="16" t="s">
        <v>305</v>
      </c>
      <c r="E122" s="16" t="s">
        <v>311</v>
      </c>
      <c r="F122" s="16"/>
      <c r="G122" s="28">
        <v>0</v>
      </c>
      <c r="H122" s="28">
        <v>115</v>
      </c>
      <c r="I122" s="28">
        <f t="shared" si="1"/>
        <v>2568431.44</v>
      </c>
    </row>
    <row r="123" spans="1:9" x14ac:dyDescent="0.3">
      <c r="A123" s="16" t="s">
        <v>303</v>
      </c>
      <c r="B123" s="16" t="s">
        <v>304</v>
      </c>
      <c r="C123" s="25">
        <v>45796</v>
      </c>
      <c r="D123" s="16" t="s">
        <v>305</v>
      </c>
      <c r="E123" s="16" t="s">
        <v>311</v>
      </c>
      <c r="F123" s="16"/>
      <c r="G123" s="28">
        <v>0</v>
      </c>
      <c r="H123" s="28">
        <v>459</v>
      </c>
      <c r="I123" s="28">
        <f t="shared" si="1"/>
        <v>2567972.44</v>
      </c>
    </row>
    <row r="124" spans="1:9" x14ac:dyDescent="0.3">
      <c r="A124" s="16" t="s">
        <v>303</v>
      </c>
      <c r="B124" s="16" t="s">
        <v>304</v>
      </c>
      <c r="C124" s="25">
        <v>45796</v>
      </c>
      <c r="D124" s="16" t="s">
        <v>305</v>
      </c>
      <c r="E124" s="16" t="s">
        <v>311</v>
      </c>
      <c r="F124" s="16"/>
      <c r="G124" s="28">
        <v>0</v>
      </c>
      <c r="H124" s="28">
        <v>25073</v>
      </c>
      <c r="I124" s="28">
        <f t="shared" si="1"/>
        <v>2542899.44</v>
      </c>
    </row>
    <row r="125" spans="1:9" x14ac:dyDescent="0.3">
      <c r="A125" s="16" t="s">
        <v>303</v>
      </c>
      <c r="B125" s="16" t="s">
        <v>304</v>
      </c>
      <c r="C125" s="25">
        <v>45796</v>
      </c>
      <c r="D125" s="16" t="s">
        <v>305</v>
      </c>
      <c r="E125" s="16" t="s">
        <v>306</v>
      </c>
      <c r="F125" s="16" t="s">
        <v>359</v>
      </c>
      <c r="G125" s="28">
        <v>0</v>
      </c>
      <c r="H125" s="28">
        <v>18719</v>
      </c>
      <c r="I125" s="28">
        <f t="shared" si="1"/>
        <v>2524180.44</v>
      </c>
    </row>
    <row r="126" spans="1:9" x14ac:dyDescent="0.3">
      <c r="A126" s="16" t="s">
        <v>303</v>
      </c>
      <c r="B126" s="16" t="s">
        <v>304</v>
      </c>
      <c r="C126" s="25">
        <v>45796</v>
      </c>
      <c r="D126" s="16" t="s">
        <v>318</v>
      </c>
      <c r="E126" s="16" t="s">
        <v>319</v>
      </c>
      <c r="F126" s="16"/>
      <c r="G126" s="28">
        <v>0</v>
      </c>
      <c r="H126" s="28">
        <v>0.28000000000000003</v>
      </c>
      <c r="I126" s="28">
        <f t="shared" si="1"/>
        <v>2524180.16</v>
      </c>
    </row>
    <row r="127" spans="1:9" x14ac:dyDescent="0.3">
      <c r="A127" s="16" t="s">
        <v>303</v>
      </c>
      <c r="B127" s="16" t="s">
        <v>304</v>
      </c>
      <c r="C127" s="25">
        <v>45797</v>
      </c>
      <c r="D127" s="16" t="s">
        <v>305</v>
      </c>
      <c r="E127" s="16" t="s">
        <v>311</v>
      </c>
      <c r="F127" s="16"/>
      <c r="G127" s="28">
        <v>0</v>
      </c>
      <c r="H127" s="28">
        <v>1110</v>
      </c>
      <c r="I127" s="28">
        <f t="shared" si="1"/>
        <v>2523070.16</v>
      </c>
    </row>
    <row r="128" spans="1:9" x14ac:dyDescent="0.3">
      <c r="A128" s="16" t="s">
        <v>303</v>
      </c>
      <c r="B128" s="16" t="s">
        <v>304</v>
      </c>
      <c r="C128" s="25">
        <v>45797</v>
      </c>
      <c r="D128" s="16" t="s">
        <v>305</v>
      </c>
      <c r="E128" s="16" t="s">
        <v>311</v>
      </c>
      <c r="F128" s="16"/>
      <c r="G128" s="28">
        <v>0</v>
      </c>
      <c r="H128" s="28">
        <v>479</v>
      </c>
      <c r="I128" s="28">
        <f t="shared" si="1"/>
        <v>2522591.16</v>
      </c>
    </row>
    <row r="129" spans="1:9" x14ac:dyDescent="0.3">
      <c r="A129" s="16" t="s">
        <v>303</v>
      </c>
      <c r="B129" s="16" t="s">
        <v>304</v>
      </c>
      <c r="C129" s="25">
        <v>45797</v>
      </c>
      <c r="D129" s="16" t="s">
        <v>305</v>
      </c>
      <c r="E129" s="16" t="s">
        <v>306</v>
      </c>
      <c r="F129" s="16" t="s">
        <v>359</v>
      </c>
      <c r="G129" s="28">
        <v>0</v>
      </c>
      <c r="H129" s="28">
        <v>19900</v>
      </c>
      <c r="I129" s="28">
        <f t="shared" si="1"/>
        <v>2502691.16</v>
      </c>
    </row>
    <row r="130" spans="1:9" x14ac:dyDescent="0.3">
      <c r="A130" s="16" t="s">
        <v>303</v>
      </c>
      <c r="B130" s="16" t="s">
        <v>304</v>
      </c>
      <c r="C130" s="25">
        <v>45797</v>
      </c>
      <c r="D130" s="16" t="s">
        <v>318</v>
      </c>
      <c r="E130" s="16" t="s">
        <v>319</v>
      </c>
      <c r="F130" s="16"/>
      <c r="G130" s="28">
        <v>0</v>
      </c>
      <c r="H130" s="28">
        <v>0.37</v>
      </c>
      <c r="I130" s="28">
        <f t="shared" si="1"/>
        <v>2502690.79</v>
      </c>
    </row>
    <row r="131" spans="1:9" x14ac:dyDescent="0.3">
      <c r="A131" s="16" t="s">
        <v>303</v>
      </c>
      <c r="B131" s="16" t="s">
        <v>304</v>
      </c>
      <c r="C131" s="25">
        <v>45799</v>
      </c>
      <c r="D131" s="16" t="s">
        <v>305</v>
      </c>
      <c r="E131" s="16" t="s">
        <v>311</v>
      </c>
      <c r="F131" s="16"/>
      <c r="G131" s="28">
        <v>0</v>
      </c>
      <c r="H131" s="28">
        <v>507</v>
      </c>
      <c r="I131" s="28">
        <f t="shared" si="1"/>
        <v>2502183.79</v>
      </c>
    </row>
    <row r="132" spans="1:9" x14ac:dyDescent="0.3">
      <c r="A132" s="16" t="s">
        <v>303</v>
      </c>
      <c r="B132" s="16" t="s">
        <v>304</v>
      </c>
      <c r="C132" s="25">
        <v>45799</v>
      </c>
      <c r="D132" s="16" t="s">
        <v>305</v>
      </c>
      <c r="E132" s="16" t="s">
        <v>311</v>
      </c>
      <c r="F132" s="16"/>
      <c r="G132" s="28">
        <v>0</v>
      </c>
      <c r="H132" s="28">
        <v>526</v>
      </c>
      <c r="I132" s="28">
        <f t="shared" ref="I132:I195" si="2">I131+G132-H132</f>
        <v>2501657.79</v>
      </c>
    </row>
    <row r="133" spans="1:9" x14ac:dyDescent="0.3">
      <c r="A133" s="16" t="s">
        <v>303</v>
      </c>
      <c r="B133" s="16" t="s">
        <v>304</v>
      </c>
      <c r="C133" s="25">
        <v>45799</v>
      </c>
      <c r="D133" s="16" t="s">
        <v>305</v>
      </c>
      <c r="E133" s="16" t="s">
        <v>311</v>
      </c>
      <c r="F133" s="16"/>
      <c r="G133" s="28">
        <v>0</v>
      </c>
      <c r="H133" s="28">
        <v>191</v>
      </c>
      <c r="I133" s="28">
        <f t="shared" si="2"/>
        <v>2501466.79</v>
      </c>
    </row>
    <row r="134" spans="1:9" x14ac:dyDescent="0.3">
      <c r="A134" s="16" t="s">
        <v>303</v>
      </c>
      <c r="B134" s="16" t="s">
        <v>304</v>
      </c>
      <c r="C134" s="25">
        <v>45799</v>
      </c>
      <c r="D134" s="16" t="s">
        <v>305</v>
      </c>
      <c r="E134" s="16" t="s">
        <v>306</v>
      </c>
      <c r="F134" s="16" t="s">
        <v>362</v>
      </c>
      <c r="G134" s="28">
        <v>0</v>
      </c>
      <c r="H134" s="28">
        <v>7527</v>
      </c>
      <c r="I134" s="28">
        <f t="shared" si="2"/>
        <v>2493939.79</v>
      </c>
    </row>
    <row r="135" spans="1:9" x14ac:dyDescent="0.3">
      <c r="A135" s="16" t="s">
        <v>303</v>
      </c>
      <c r="B135" s="16" t="s">
        <v>304</v>
      </c>
      <c r="C135" s="25">
        <v>45799</v>
      </c>
      <c r="D135" s="16" t="s">
        <v>305</v>
      </c>
      <c r="E135" s="16" t="s">
        <v>306</v>
      </c>
      <c r="F135" s="16" t="s">
        <v>363</v>
      </c>
      <c r="G135" s="28">
        <v>0</v>
      </c>
      <c r="H135" s="28">
        <v>20519</v>
      </c>
      <c r="I135" s="28">
        <f t="shared" si="2"/>
        <v>2473420.79</v>
      </c>
    </row>
    <row r="136" spans="1:9" x14ac:dyDescent="0.3">
      <c r="A136" s="16" t="s">
        <v>303</v>
      </c>
      <c r="B136" s="16" t="s">
        <v>304</v>
      </c>
      <c r="C136" s="25">
        <v>45799</v>
      </c>
      <c r="D136" s="16" t="s">
        <v>305</v>
      </c>
      <c r="E136" s="16" t="s">
        <v>306</v>
      </c>
      <c r="F136" s="16" t="s">
        <v>359</v>
      </c>
      <c r="G136" s="28">
        <v>0</v>
      </c>
      <c r="H136" s="28">
        <v>16170</v>
      </c>
      <c r="I136" s="28">
        <f t="shared" si="2"/>
        <v>2457250.79</v>
      </c>
    </row>
    <row r="137" spans="1:9" x14ac:dyDescent="0.3">
      <c r="A137" s="16" t="s">
        <v>303</v>
      </c>
      <c r="B137" s="16" t="s">
        <v>304</v>
      </c>
      <c r="C137" s="25">
        <v>45799</v>
      </c>
      <c r="D137" s="16" t="s">
        <v>305</v>
      </c>
      <c r="E137" s="16" t="s">
        <v>306</v>
      </c>
      <c r="F137" s="16" t="s">
        <v>361</v>
      </c>
      <c r="G137" s="28">
        <v>0</v>
      </c>
      <c r="H137" s="28">
        <v>33680</v>
      </c>
      <c r="I137" s="28">
        <f t="shared" si="2"/>
        <v>2423570.79</v>
      </c>
    </row>
    <row r="138" spans="1:9" x14ac:dyDescent="0.3">
      <c r="A138" s="16" t="s">
        <v>303</v>
      </c>
      <c r="B138" s="16" t="s">
        <v>304</v>
      </c>
      <c r="C138" s="25">
        <v>45799</v>
      </c>
      <c r="D138" s="16" t="s">
        <v>318</v>
      </c>
      <c r="E138" s="16" t="s">
        <v>319</v>
      </c>
      <c r="F138" s="16"/>
      <c r="G138" s="28">
        <v>0</v>
      </c>
      <c r="H138" s="28">
        <v>0.03</v>
      </c>
      <c r="I138" s="28">
        <f t="shared" si="2"/>
        <v>2423570.7600000002</v>
      </c>
    </row>
    <row r="139" spans="1:9" x14ac:dyDescent="0.3">
      <c r="A139" s="16" t="s">
        <v>303</v>
      </c>
      <c r="B139" s="16" t="s">
        <v>304</v>
      </c>
      <c r="C139" s="25">
        <v>45799</v>
      </c>
      <c r="D139" s="16" t="s">
        <v>318</v>
      </c>
      <c r="E139" s="16" t="s">
        <v>319</v>
      </c>
      <c r="F139" s="16"/>
      <c r="G139" s="28">
        <v>0</v>
      </c>
      <c r="H139" s="28">
        <v>0.08</v>
      </c>
      <c r="I139" s="28">
        <f t="shared" si="2"/>
        <v>2423570.6800000002</v>
      </c>
    </row>
    <row r="140" spans="1:9" x14ac:dyDescent="0.3">
      <c r="A140" s="16" t="s">
        <v>303</v>
      </c>
      <c r="B140" s="16" t="s">
        <v>304</v>
      </c>
      <c r="C140" s="25">
        <v>45799</v>
      </c>
      <c r="D140" s="16" t="s">
        <v>318</v>
      </c>
      <c r="E140" s="16" t="s">
        <v>319</v>
      </c>
      <c r="F140" s="16"/>
      <c r="G140" s="28">
        <v>0.37</v>
      </c>
      <c r="H140" s="28">
        <v>0</v>
      </c>
      <c r="I140" s="28">
        <f t="shared" si="2"/>
        <v>2423571.0500000003</v>
      </c>
    </row>
    <row r="141" spans="1:9" x14ac:dyDescent="0.3">
      <c r="A141" s="16" t="s">
        <v>303</v>
      </c>
      <c r="B141" s="16" t="s">
        <v>304</v>
      </c>
      <c r="C141" s="25">
        <v>45800</v>
      </c>
      <c r="D141" s="16" t="s">
        <v>305</v>
      </c>
      <c r="E141" s="16" t="s">
        <v>311</v>
      </c>
      <c r="F141" s="16"/>
      <c r="G141" s="28">
        <v>0</v>
      </c>
      <c r="H141" s="28">
        <v>823</v>
      </c>
      <c r="I141" s="28">
        <f t="shared" si="2"/>
        <v>2422748.0500000003</v>
      </c>
    </row>
    <row r="142" spans="1:9" x14ac:dyDescent="0.3">
      <c r="A142" s="16" t="s">
        <v>303</v>
      </c>
      <c r="B142" s="16" t="s">
        <v>304</v>
      </c>
      <c r="C142" s="25">
        <v>45800</v>
      </c>
      <c r="D142" s="16" t="s">
        <v>305</v>
      </c>
      <c r="E142" s="16" t="s">
        <v>311</v>
      </c>
      <c r="F142" s="16"/>
      <c r="G142" s="28">
        <v>0</v>
      </c>
      <c r="H142" s="28">
        <v>479</v>
      </c>
      <c r="I142" s="28">
        <f t="shared" si="2"/>
        <v>2422269.0500000003</v>
      </c>
    </row>
    <row r="143" spans="1:9" x14ac:dyDescent="0.3">
      <c r="A143" s="16" t="s">
        <v>303</v>
      </c>
      <c r="B143" s="16" t="s">
        <v>304</v>
      </c>
      <c r="C143" s="25">
        <v>45800</v>
      </c>
      <c r="D143" s="16" t="s">
        <v>305</v>
      </c>
      <c r="E143" s="16" t="s">
        <v>311</v>
      </c>
      <c r="F143" s="16"/>
      <c r="G143" s="28">
        <v>0</v>
      </c>
      <c r="H143" s="28">
        <v>861</v>
      </c>
      <c r="I143" s="28">
        <f t="shared" si="2"/>
        <v>2421408.0500000003</v>
      </c>
    </row>
    <row r="144" spans="1:9" x14ac:dyDescent="0.3">
      <c r="A144" s="16" t="s">
        <v>303</v>
      </c>
      <c r="B144" s="16" t="s">
        <v>304</v>
      </c>
      <c r="C144" s="25">
        <v>45800</v>
      </c>
      <c r="D144" s="16" t="s">
        <v>305</v>
      </c>
      <c r="E144" s="16" t="s">
        <v>306</v>
      </c>
      <c r="F144" s="16" t="s">
        <v>359</v>
      </c>
      <c r="G144" s="28">
        <v>0</v>
      </c>
      <c r="H144" s="28">
        <v>18869</v>
      </c>
      <c r="I144" s="28">
        <f t="shared" si="2"/>
        <v>2402539.0500000003</v>
      </c>
    </row>
    <row r="145" spans="1:9" x14ac:dyDescent="0.3">
      <c r="A145" s="16" t="s">
        <v>303</v>
      </c>
      <c r="B145" s="16" t="s">
        <v>304</v>
      </c>
      <c r="C145" s="25">
        <v>45800</v>
      </c>
      <c r="D145" s="16" t="s">
        <v>305</v>
      </c>
      <c r="E145" s="16" t="s">
        <v>306</v>
      </c>
      <c r="F145" s="16" t="s">
        <v>364</v>
      </c>
      <c r="G145" s="28">
        <v>0</v>
      </c>
      <c r="H145" s="28">
        <v>32114</v>
      </c>
      <c r="I145" s="28">
        <f t="shared" si="2"/>
        <v>2370425.0500000003</v>
      </c>
    </row>
    <row r="146" spans="1:9" x14ac:dyDescent="0.3">
      <c r="A146" s="16" t="s">
        <v>303</v>
      </c>
      <c r="B146" s="16" t="s">
        <v>304</v>
      </c>
      <c r="C146" s="25">
        <v>45800</v>
      </c>
      <c r="D146" s="16" t="s">
        <v>305</v>
      </c>
      <c r="E146" s="16" t="s">
        <v>306</v>
      </c>
      <c r="F146" s="16" t="s">
        <v>365</v>
      </c>
      <c r="G146" s="28">
        <v>0</v>
      </c>
      <c r="H146" s="28">
        <v>21353</v>
      </c>
      <c r="I146" s="28">
        <f t="shared" si="2"/>
        <v>2349072.0500000003</v>
      </c>
    </row>
    <row r="147" spans="1:9" x14ac:dyDescent="0.3">
      <c r="A147" s="16" t="s">
        <v>303</v>
      </c>
      <c r="B147" s="16" t="s">
        <v>304</v>
      </c>
      <c r="C147" s="25">
        <v>45800</v>
      </c>
      <c r="D147" s="16" t="s">
        <v>305</v>
      </c>
      <c r="E147" s="16" t="s">
        <v>306</v>
      </c>
      <c r="F147" s="16" t="s">
        <v>366</v>
      </c>
      <c r="G147" s="28">
        <v>0</v>
      </c>
      <c r="H147" s="28">
        <v>21250</v>
      </c>
      <c r="I147" s="28">
        <f t="shared" si="2"/>
        <v>2327822.0500000003</v>
      </c>
    </row>
    <row r="148" spans="1:9" x14ac:dyDescent="0.3">
      <c r="A148" s="16" t="s">
        <v>303</v>
      </c>
      <c r="B148" s="16" t="s">
        <v>304</v>
      </c>
      <c r="C148" s="25">
        <v>45800</v>
      </c>
      <c r="D148" s="16" t="s">
        <v>305</v>
      </c>
      <c r="E148" s="16" t="s">
        <v>306</v>
      </c>
      <c r="F148" s="16" t="s">
        <v>367</v>
      </c>
      <c r="G148" s="28">
        <v>0</v>
      </c>
      <c r="H148" s="28">
        <v>982523</v>
      </c>
      <c r="I148" s="28">
        <f t="shared" si="2"/>
        <v>1345299.0500000003</v>
      </c>
    </row>
    <row r="149" spans="1:9" x14ac:dyDescent="0.3">
      <c r="A149" s="16" t="s">
        <v>303</v>
      </c>
      <c r="B149" s="16" t="s">
        <v>304</v>
      </c>
      <c r="C149" s="25">
        <v>45800</v>
      </c>
      <c r="D149" s="16" t="s">
        <v>305</v>
      </c>
      <c r="E149" s="16" t="s">
        <v>306</v>
      </c>
      <c r="F149" s="16" t="s">
        <v>368</v>
      </c>
      <c r="G149" s="28">
        <v>0</v>
      </c>
      <c r="H149" s="28">
        <v>95584</v>
      </c>
      <c r="I149" s="28">
        <f t="shared" si="2"/>
        <v>1249715.0500000003</v>
      </c>
    </row>
    <row r="150" spans="1:9" x14ac:dyDescent="0.3">
      <c r="A150" s="16" t="s">
        <v>303</v>
      </c>
      <c r="B150" s="16" t="s">
        <v>304</v>
      </c>
      <c r="C150" s="25">
        <v>45800</v>
      </c>
      <c r="D150" s="16" t="s">
        <v>318</v>
      </c>
      <c r="E150" s="16" t="s">
        <v>319</v>
      </c>
      <c r="F150" s="16"/>
      <c r="G150" s="28">
        <v>0</v>
      </c>
      <c r="H150" s="28">
        <v>0.28999999999999998</v>
      </c>
      <c r="I150" s="28">
        <f t="shared" si="2"/>
        <v>1249714.7600000002</v>
      </c>
    </row>
    <row r="151" spans="1:9" x14ac:dyDescent="0.3">
      <c r="A151" s="16" t="s">
        <v>303</v>
      </c>
      <c r="B151" s="16" t="s">
        <v>304</v>
      </c>
      <c r="C151" s="25">
        <v>45800</v>
      </c>
      <c r="D151" s="16" t="s">
        <v>318</v>
      </c>
      <c r="E151" s="16" t="s">
        <v>319</v>
      </c>
      <c r="F151" s="16"/>
      <c r="G151" s="28">
        <v>0</v>
      </c>
      <c r="H151" s="28">
        <v>0.18</v>
      </c>
      <c r="I151" s="28">
        <f t="shared" si="2"/>
        <v>1249714.5800000003</v>
      </c>
    </row>
    <row r="152" spans="1:9" x14ac:dyDescent="0.3">
      <c r="A152" s="16" t="s">
        <v>303</v>
      </c>
      <c r="B152" s="16" t="s">
        <v>304</v>
      </c>
      <c r="C152" s="25">
        <v>45800</v>
      </c>
      <c r="D152" s="16" t="s">
        <v>318</v>
      </c>
      <c r="E152" s="16" t="s">
        <v>319</v>
      </c>
      <c r="F152" s="16"/>
      <c r="G152" s="28">
        <v>0.38</v>
      </c>
      <c r="H152" s="28">
        <v>0</v>
      </c>
      <c r="I152" s="28">
        <f t="shared" si="2"/>
        <v>1249714.9600000002</v>
      </c>
    </row>
    <row r="153" spans="1:9" x14ac:dyDescent="0.3">
      <c r="A153" s="16" t="s">
        <v>303</v>
      </c>
      <c r="B153" s="16" t="s">
        <v>304</v>
      </c>
      <c r="C153" s="25">
        <v>45800</v>
      </c>
      <c r="D153" s="16" t="s">
        <v>318</v>
      </c>
      <c r="E153" s="16" t="s">
        <v>319</v>
      </c>
      <c r="F153" s="16"/>
      <c r="G153" s="28">
        <v>0</v>
      </c>
      <c r="H153" s="28">
        <v>0.3</v>
      </c>
      <c r="I153" s="28">
        <f t="shared" si="2"/>
        <v>1249714.6600000001</v>
      </c>
    </row>
    <row r="154" spans="1:9" x14ac:dyDescent="0.3">
      <c r="A154" s="16" t="s">
        <v>303</v>
      </c>
      <c r="B154" s="16" t="s">
        <v>304</v>
      </c>
      <c r="C154" s="25">
        <v>45800</v>
      </c>
      <c r="D154" s="16" t="s">
        <v>318</v>
      </c>
      <c r="E154" s="16" t="s">
        <v>319</v>
      </c>
      <c r="F154" s="16"/>
      <c r="G154" s="28">
        <v>0</v>
      </c>
      <c r="H154" s="28">
        <v>0.26</v>
      </c>
      <c r="I154" s="28">
        <f t="shared" si="2"/>
        <v>1249714.4000000001</v>
      </c>
    </row>
    <row r="155" spans="1:9" x14ac:dyDescent="0.3">
      <c r="A155" s="16" t="s">
        <v>303</v>
      </c>
      <c r="B155" s="16" t="s">
        <v>304</v>
      </c>
      <c r="C155" s="25">
        <v>45800</v>
      </c>
      <c r="D155" s="16" t="s">
        <v>318</v>
      </c>
      <c r="E155" s="16" t="s">
        <v>319</v>
      </c>
      <c r="F155" s="16"/>
      <c r="G155" s="28">
        <v>0.3</v>
      </c>
      <c r="H155" s="28">
        <v>0</v>
      </c>
      <c r="I155" s="28">
        <f t="shared" si="2"/>
        <v>1249714.7000000002</v>
      </c>
    </row>
    <row r="156" spans="1:9" x14ac:dyDescent="0.3">
      <c r="A156" s="16" t="s">
        <v>303</v>
      </c>
      <c r="B156" s="16" t="s">
        <v>304</v>
      </c>
      <c r="C156" s="25">
        <v>45800</v>
      </c>
      <c r="D156" s="16" t="s">
        <v>305</v>
      </c>
      <c r="E156" s="16" t="s">
        <v>306</v>
      </c>
      <c r="F156" s="16"/>
      <c r="G156" s="28">
        <v>0</v>
      </c>
      <c r="H156" s="28">
        <v>26000</v>
      </c>
      <c r="I156" s="28">
        <f t="shared" si="2"/>
        <v>1223714.7000000002</v>
      </c>
    </row>
    <row r="157" spans="1:9" x14ac:dyDescent="0.3">
      <c r="A157" s="16" t="s">
        <v>303</v>
      </c>
      <c r="B157" s="16" t="s">
        <v>304</v>
      </c>
      <c r="C157" s="25">
        <v>45803</v>
      </c>
      <c r="D157" s="16" t="s">
        <v>305</v>
      </c>
      <c r="E157" s="16" t="s">
        <v>311</v>
      </c>
      <c r="F157" s="16"/>
      <c r="G157" s="28">
        <v>0</v>
      </c>
      <c r="H157" s="28">
        <v>412</v>
      </c>
      <c r="I157" s="28">
        <f t="shared" si="2"/>
        <v>1223302.7000000002</v>
      </c>
    </row>
    <row r="158" spans="1:9" x14ac:dyDescent="0.3">
      <c r="A158" s="16" t="s">
        <v>303</v>
      </c>
      <c r="B158" s="16" t="s">
        <v>304</v>
      </c>
      <c r="C158" s="25">
        <v>45803</v>
      </c>
      <c r="D158" s="16" t="s">
        <v>305</v>
      </c>
      <c r="E158" s="16" t="s">
        <v>311</v>
      </c>
      <c r="F158" s="16"/>
      <c r="G158" s="28">
        <v>0</v>
      </c>
      <c r="H158" s="28">
        <v>2441</v>
      </c>
      <c r="I158" s="28">
        <f t="shared" si="2"/>
        <v>1220861.7000000002</v>
      </c>
    </row>
    <row r="159" spans="1:9" x14ac:dyDescent="0.3">
      <c r="A159" s="16" t="s">
        <v>303</v>
      </c>
      <c r="B159" s="16" t="s">
        <v>304</v>
      </c>
      <c r="C159" s="25">
        <v>45803</v>
      </c>
      <c r="D159" s="16" t="s">
        <v>305</v>
      </c>
      <c r="E159" s="16" t="s">
        <v>311</v>
      </c>
      <c r="F159" s="16"/>
      <c r="G159" s="28">
        <v>0</v>
      </c>
      <c r="H159" s="28">
        <v>545</v>
      </c>
      <c r="I159" s="28">
        <f t="shared" si="2"/>
        <v>1220316.7000000002</v>
      </c>
    </row>
    <row r="160" spans="1:9" x14ac:dyDescent="0.3">
      <c r="A160" s="16" t="s">
        <v>303</v>
      </c>
      <c r="B160" s="16" t="s">
        <v>304</v>
      </c>
      <c r="C160" s="25">
        <v>45803</v>
      </c>
      <c r="D160" s="16" t="s">
        <v>305</v>
      </c>
      <c r="E160" s="16" t="s">
        <v>311</v>
      </c>
      <c r="F160" s="16"/>
      <c r="G160" s="28">
        <v>0</v>
      </c>
      <c r="H160" s="28">
        <v>545</v>
      </c>
      <c r="I160" s="28">
        <f t="shared" si="2"/>
        <v>1219771.7000000002</v>
      </c>
    </row>
    <row r="161" spans="1:9" x14ac:dyDescent="0.3">
      <c r="A161" s="16" t="s">
        <v>303</v>
      </c>
      <c r="B161" s="16" t="s">
        <v>304</v>
      </c>
      <c r="C161" s="25">
        <v>45805</v>
      </c>
      <c r="D161" s="16" t="s">
        <v>305</v>
      </c>
      <c r="E161" s="16" t="s">
        <v>311</v>
      </c>
      <c r="F161" s="16"/>
      <c r="G161" s="28">
        <v>0</v>
      </c>
      <c r="H161" s="28">
        <v>3918</v>
      </c>
      <c r="I161" s="28">
        <f t="shared" si="2"/>
        <v>1215853.7000000002</v>
      </c>
    </row>
    <row r="162" spans="1:9" x14ac:dyDescent="0.3">
      <c r="A162" s="16" t="s">
        <v>303</v>
      </c>
      <c r="B162" s="16" t="s">
        <v>304</v>
      </c>
      <c r="C162" s="25">
        <v>45809</v>
      </c>
      <c r="D162" s="16" t="s">
        <v>305</v>
      </c>
      <c r="E162" s="16" t="s">
        <v>339</v>
      </c>
      <c r="F162" s="16"/>
      <c r="G162" s="28">
        <v>0</v>
      </c>
      <c r="H162" s="28">
        <v>3600</v>
      </c>
      <c r="I162" s="28">
        <f t="shared" si="2"/>
        <v>1212253.7000000002</v>
      </c>
    </row>
    <row r="163" spans="1:9" x14ac:dyDescent="0.3">
      <c r="A163" s="16" t="s">
        <v>303</v>
      </c>
      <c r="B163" s="16" t="s">
        <v>304</v>
      </c>
      <c r="C163" s="25">
        <v>45810</v>
      </c>
      <c r="D163" s="16" t="s">
        <v>305</v>
      </c>
      <c r="E163" s="16" t="s">
        <v>339</v>
      </c>
      <c r="F163" s="16"/>
      <c r="G163" s="28">
        <v>0</v>
      </c>
      <c r="H163" s="28">
        <v>44541.22</v>
      </c>
      <c r="I163" s="28">
        <f t="shared" si="2"/>
        <v>1167712.4800000002</v>
      </c>
    </row>
    <row r="164" spans="1:9" x14ac:dyDescent="0.3">
      <c r="A164" s="16" t="s">
        <v>303</v>
      </c>
      <c r="B164" s="16" t="s">
        <v>304</v>
      </c>
      <c r="C164" s="25">
        <v>45810</v>
      </c>
      <c r="D164" s="16" t="s">
        <v>305</v>
      </c>
      <c r="E164" s="16" t="s">
        <v>339</v>
      </c>
      <c r="F164" s="16"/>
      <c r="G164" s="28">
        <v>0</v>
      </c>
      <c r="H164" s="28">
        <v>6924.48</v>
      </c>
      <c r="I164" s="28">
        <f t="shared" si="2"/>
        <v>1160788.0000000002</v>
      </c>
    </row>
    <row r="165" spans="1:9" x14ac:dyDescent="0.3">
      <c r="A165" s="16" t="s">
        <v>303</v>
      </c>
      <c r="B165" s="16" t="s">
        <v>304</v>
      </c>
      <c r="C165" s="25">
        <v>45810</v>
      </c>
      <c r="D165" s="16" t="s">
        <v>305</v>
      </c>
      <c r="E165" s="16" t="s">
        <v>339</v>
      </c>
      <c r="F165" s="16"/>
      <c r="G165" s="28">
        <v>0</v>
      </c>
      <c r="H165" s="28">
        <v>37017.870000000003</v>
      </c>
      <c r="I165" s="28">
        <f t="shared" si="2"/>
        <v>1123770.1300000001</v>
      </c>
    </row>
    <row r="166" spans="1:9" x14ac:dyDescent="0.3">
      <c r="A166" s="16" t="s">
        <v>303</v>
      </c>
      <c r="B166" s="16" t="s">
        <v>304</v>
      </c>
      <c r="C166" s="25">
        <v>45810</v>
      </c>
      <c r="D166" s="16" t="s">
        <v>305</v>
      </c>
      <c r="E166" s="16" t="s">
        <v>339</v>
      </c>
      <c r="F166" s="16"/>
      <c r="G166" s="28">
        <v>0</v>
      </c>
      <c r="H166" s="28">
        <v>8767.8799999999992</v>
      </c>
      <c r="I166" s="28">
        <f t="shared" si="2"/>
        <v>1115002.2500000002</v>
      </c>
    </row>
    <row r="167" spans="1:9" x14ac:dyDescent="0.3">
      <c r="A167" s="16" t="s">
        <v>303</v>
      </c>
      <c r="B167" s="16" t="s">
        <v>304</v>
      </c>
      <c r="C167" s="25">
        <v>45810</v>
      </c>
      <c r="D167" s="16" t="s">
        <v>305</v>
      </c>
      <c r="E167" s="16" t="s">
        <v>339</v>
      </c>
      <c r="F167" s="16"/>
      <c r="G167" s="28">
        <v>0</v>
      </c>
      <c r="H167" s="28">
        <v>2049.27</v>
      </c>
      <c r="I167" s="28">
        <f t="shared" si="2"/>
        <v>1112952.9800000002</v>
      </c>
    </row>
    <row r="168" spans="1:9" x14ac:dyDescent="0.3">
      <c r="A168" s="16" t="s">
        <v>303</v>
      </c>
      <c r="B168" s="16" t="s">
        <v>304</v>
      </c>
      <c r="C168" s="25">
        <v>45810</v>
      </c>
      <c r="D168" s="16" t="s">
        <v>305</v>
      </c>
      <c r="E168" s="16" t="s">
        <v>339</v>
      </c>
      <c r="F168" s="16"/>
      <c r="G168" s="28">
        <v>0</v>
      </c>
      <c r="H168" s="28">
        <v>4678.7</v>
      </c>
      <c r="I168" s="28">
        <f t="shared" si="2"/>
        <v>1108274.2800000003</v>
      </c>
    </row>
    <row r="169" spans="1:9" x14ac:dyDescent="0.3">
      <c r="A169" s="16" t="s">
        <v>303</v>
      </c>
      <c r="B169" s="16" t="s">
        <v>304</v>
      </c>
      <c r="C169" s="25">
        <v>45811</v>
      </c>
      <c r="D169" s="16" t="s">
        <v>305</v>
      </c>
      <c r="E169" s="16" t="s">
        <v>311</v>
      </c>
      <c r="F169" s="16"/>
      <c r="G169" s="28">
        <v>0</v>
      </c>
      <c r="H169" s="28">
        <v>1131</v>
      </c>
      <c r="I169" s="28">
        <f t="shared" si="2"/>
        <v>1107143.2800000003</v>
      </c>
    </row>
    <row r="170" spans="1:9" x14ac:dyDescent="0.3">
      <c r="A170" s="16" t="s">
        <v>303</v>
      </c>
      <c r="B170" s="16" t="s">
        <v>304</v>
      </c>
      <c r="C170" s="25">
        <v>45811</v>
      </c>
      <c r="D170" s="16" t="s">
        <v>305</v>
      </c>
      <c r="E170" s="16" t="s">
        <v>311</v>
      </c>
      <c r="F170" s="16"/>
      <c r="G170" s="28">
        <v>0</v>
      </c>
      <c r="H170" s="28">
        <v>180</v>
      </c>
      <c r="I170" s="28">
        <f t="shared" si="2"/>
        <v>1106963.2800000003</v>
      </c>
    </row>
    <row r="171" spans="1:9" x14ac:dyDescent="0.3">
      <c r="A171" s="16" t="s">
        <v>303</v>
      </c>
      <c r="B171" s="16" t="s">
        <v>304</v>
      </c>
      <c r="C171" s="25">
        <v>45811</v>
      </c>
      <c r="D171" s="16" t="s">
        <v>305</v>
      </c>
      <c r="E171" s="16" t="s">
        <v>311</v>
      </c>
      <c r="F171" s="16"/>
      <c r="G171" s="28">
        <v>0</v>
      </c>
      <c r="H171" s="28">
        <v>941</v>
      </c>
      <c r="I171" s="28">
        <f t="shared" si="2"/>
        <v>1106022.2800000003</v>
      </c>
    </row>
    <row r="172" spans="1:9" x14ac:dyDescent="0.3">
      <c r="A172" s="16" t="s">
        <v>303</v>
      </c>
      <c r="B172" s="16" t="s">
        <v>304</v>
      </c>
      <c r="C172" s="25">
        <v>45811</v>
      </c>
      <c r="D172" s="16" t="s">
        <v>305</v>
      </c>
      <c r="E172" s="16" t="s">
        <v>311</v>
      </c>
      <c r="F172" s="16"/>
      <c r="G172" s="28">
        <v>0</v>
      </c>
      <c r="H172" s="28">
        <v>219</v>
      </c>
      <c r="I172" s="28">
        <f t="shared" si="2"/>
        <v>1105803.2800000003</v>
      </c>
    </row>
    <row r="173" spans="1:9" x14ac:dyDescent="0.3">
      <c r="A173" s="16" t="s">
        <v>303</v>
      </c>
      <c r="B173" s="16" t="s">
        <v>304</v>
      </c>
      <c r="C173" s="25">
        <v>45811</v>
      </c>
      <c r="D173" s="16" t="s">
        <v>305</v>
      </c>
      <c r="E173" s="16" t="s">
        <v>311</v>
      </c>
      <c r="F173" s="16"/>
      <c r="G173" s="28">
        <v>0</v>
      </c>
      <c r="H173" s="28">
        <v>48</v>
      </c>
      <c r="I173" s="28">
        <f t="shared" si="2"/>
        <v>1105755.2800000003</v>
      </c>
    </row>
    <row r="174" spans="1:9" x14ac:dyDescent="0.3">
      <c r="A174" s="16" t="s">
        <v>303</v>
      </c>
      <c r="B174" s="16" t="s">
        <v>304</v>
      </c>
      <c r="C174" s="25">
        <v>45811</v>
      </c>
      <c r="D174" s="16" t="s">
        <v>305</v>
      </c>
      <c r="E174" s="16" t="s">
        <v>311</v>
      </c>
      <c r="F174" s="16"/>
      <c r="G174" s="28">
        <v>0</v>
      </c>
      <c r="H174" s="28">
        <v>124</v>
      </c>
      <c r="I174" s="28">
        <f t="shared" si="2"/>
        <v>1105631.2800000003</v>
      </c>
    </row>
    <row r="175" spans="1:9" x14ac:dyDescent="0.3">
      <c r="A175" s="16" t="s">
        <v>303</v>
      </c>
      <c r="B175" s="16" t="s">
        <v>304</v>
      </c>
      <c r="C175" s="25">
        <v>45811</v>
      </c>
      <c r="D175" s="16" t="s">
        <v>305</v>
      </c>
      <c r="E175" s="16" t="s">
        <v>339</v>
      </c>
      <c r="F175" s="16"/>
      <c r="G175" s="28">
        <v>0</v>
      </c>
      <c r="H175" s="28">
        <v>64388.27</v>
      </c>
      <c r="I175" s="28">
        <f t="shared" si="2"/>
        <v>1041243.0100000002</v>
      </c>
    </row>
    <row r="176" spans="1:9" x14ac:dyDescent="0.3">
      <c r="A176" s="16" t="s">
        <v>303</v>
      </c>
      <c r="B176" s="16" t="s">
        <v>304</v>
      </c>
      <c r="C176" s="25">
        <v>45811</v>
      </c>
      <c r="D176" s="16" t="s">
        <v>305</v>
      </c>
      <c r="E176" s="16" t="s">
        <v>339</v>
      </c>
      <c r="F176" s="16"/>
      <c r="G176" s="28">
        <v>0</v>
      </c>
      <c r="H176" s="28">
        <v>74091.89</v>
      </c>
      <c r="I176" s="28">
        <f t="shared" si="2"/>
        <v>967151.12000000023</v>
      </c>
    </row>
    <row r="177" spans="1:9" x14ac:dyDescent="0.3">
      <c r="A177" s="16" t="s">
        <v>303</v>
      </c>
      <c r="B177" s="16" t="s">
        <v>304</v>
      </c>
      <c r="C177" s="25">
        <v>45811</v>
      </c>
      <c r="D177" s="16" t="s">
        <v>305</v>
      </c>
      <c r="E177" s="16" t="s">
        <v>339</v>
      </c>
      <c r="F177" s="16"/>
      <c r="G177" s="28">
        <v>0</v>
      </c>
      <c r="H177" s="28">
        <v>2208.35</v>
      </c>
      <c r="I177" s="28">
        <f t="shared" si="2"/>
        <v>964942.77000000025</v>
      </c>
    </row>
    <row r="178" spans="1:9" x14ac:dyDescent="0.3">
      <c r="A178" s="16" t="s">
        <v>303</v>
      </c>
      <c r="B178" s="16" t="s">
        <v>304</v>
      </c>
      <c r="C178" s="25">
        <v>45812</v>
      </c>
      <c r="D178" s="16" t="s">
        <v>305</v>
      </c>
      <c r="E178" s="16" t="s">
        <v>311</v>
      </c>
      <c r="F178" s="16"/>
      <c r="G178" s="28">
        <v>0</v>
      </c>
      <c r="H178" s="28">
        <v>1634</v>
      </c>
      <c r="I178" s="28">
        <f t="shared" si="2"/>
        <v>963308.77000000025</v>
      </c>
    </row>
    <row r="179" spans="1:9" x14ac:dyDescent="0.3">
      <c r="A179" s="16" t="s">
        <v>303</v>
      </c>
      <c r="B179" s="16" t="s">
        <v>304</v>
      </c>
      <c r="C179" s="25">
        <v>45812</v>
      </c>
      <c r="D179" s="16" t="s">
        <v>305</v>
      </c>
      <c r="E179" s="16" t="s">
        <v>311</v>
      </c>
      <c r="F179" s="16"/>
      <c r="G179" s="28">
        <v>0</v>
      </c>
      <c r="H179" s="28">
        <v>1881</v>
      </c>
      <c r="I179" s="28">
        <f t="shared" si="2"/>
        <v>961427.77000000025</v>
      </c>
    </row>
    <row r="180" spans="1:9" x14ac:dyDescent="0.3">
      <c r="A180" s="16" t="s">
        <v>303</v>
      </c>
      <c r="B180" s="16" t="s">
        <v>304</v>
      </c>
      <c r="C180" s="25">
        <v>45812</v>
      </c>
      <c r="D180" s="16" t="s">
        <v>305</v>
      </c>
      <c r="E180" s="16" t="s">
        <v>311</v>
      </c>
      <c r="F180" s="16"/>
      <c r="G180" s="28">
        <v>0</v>
      </c>
      <c r="H180" s="28">
        <v>57</v>
      </c>
      <c r="I180" s="28">
        <f t="shared" si="2"/>
        <v>961370.77000000025</v>
      </c>
    </row>
    <row r="181" spans="1:9" x14ac:dyDescent="0.3">
      <c r="A181" s="16" t="s">
        <v>303</v>
      </c>
      <c r="B181" s="16" t="s">
        <v>304</v>
      </c>
      <c r="C181" s="25">
        <v>45812</v>
      </c>
      <c r="D181" s="16" t="s">
        <v>305</v>
      </c>
      <c r="E181" s="16" t="s">
        <v>339</v>
      </c>
      <c r="F181" s="16"/>
      <c r="G181" s="28">
        <v>0</v>
      </c>
      <c r="H181" s="28">
        <v>139705.98000000001</v>
      </c>
      <c r="I181" s="28">
        <f t="shared" si="2"/>
        <v>821664.79000000027</v>
      </c>
    </row>
    <row r="182" spans="1:9" x14ac:dyDescent="0.3">
      <c r="A182" s="16" t="s">
        <v>303</v>
      </c>
      <c r="B182" s="16" t="s">
        <v>304</v>
      </c>
      <c r="C182" s="25">
        <v>45812</v>
      </c>
      <c r="D182" s="16" t="s">
        <v>305</v>
      </c>
      <c r="E182" s="16" t="s">
        <v>339</v>
      </c>
      <c r="F182" s="16"/>
      <c r="G182" s="28">
        <v>0</v>
      </c>
      <c r="H182" s="28">
        <v>101041.21</v>
      </c>
      <c r="I182" s="28">
        <f t="shared" si="2"/>
        <v>720623.58000000031</v>
      </c>
    </row>
    <row r="183" spans="1:9" x14ac:dyDescent="0.3">
      <c r="A183" s="16" t="s">
        <v>303</v>
      </c>
      <c r="B183" s="16" t="s">
        <v>304</v>
      </c>
      <c r="C183" s="25">
        <v>45812</v>
      </c>
      <c r="D183" s="16" t="s">
        <v>305</v>
      </c>
      <c r="E183" s="16" t="s">
        <v>339</v>
      </c>
      <c r="F183" s="16"/>
      <c r="G183" s="28">
        <v>0</v>
      </c>
      <c r="H183" s="28">
        <v>5305.65</v>
      </c>
      <c r="I183" s="28">
        <f t="shared" si="2"/>
        <v>715317.93000000028</v>
      </c>
    </row>
    <row r="184" spans="1:9" x14ac:dyDescent="0.3">
      <c r="A184" s="16" t="s">
        <v>303</v>
      </c>
      <c r="B184" s="16" t="s">
        <v>304</v>
      </c>
      <c r="C184" s="25">
        <v>45813</v>
      </c>
      <c r="D184" s="16" t="s">
        <v>305</v>
      </c>
      <c r="E184" s="16" t="s">
        <v>311</v>
      </c>
      <c r="F184" s="16"/>
      <c r="G184" s="28">
        <v>0</v>
      </c>
      <c r="H184" s="28">
        <v>133</v>
      </c>
      <c r="I184" s="28">
        <f t="shared" si="2"/>
        <v>715184.93000000028</v>
      </c>
    </row>
    <row r="185" spans="1:9" x14ac:dyDescent="0.3">
      <c r="A185" s="16" t="s">
        <v>303</v>
      </c>
      <c r="B185" s="16" t="s">
        <v>304</v>
      </c>
      <c r="C185" s="25">
        <v>45813</v>
      </c>
      <c r="D185" s="16" t="s">
        <v>305</v>
      </c>
      <c r="E185" s="16" t="s">
        <v>311</v>
      </c>
      <c r="F185" s="16"/>
      <c r="G185" s="28">
        <v>0</v>
      </c>
      <c r="H185" s="28">
        <v>2565</v>
      </c>
      <c r="I185" s="28">
        <f t="shared" si="2"/>
        <v>712619.93000000028</v>
      </c>
    </row>
    <row r="186" spans="1:9" x14ac:dyDescent="0.3">
      <c r="A186" s="16" t="s">
        <v>303</v>
      </c>
      <c r="B186" s="16" t="s">
        <v>304</v>
      </c>
      <c r="C186" s="25">
        <v>45813</v>
      </c>
      <c r="D186" s="16" t="s">
        <v>305</v>
      </c>
      <c r="E186" s="16" t="s">
        <v>339</v>
      </c>
      <c r="F186" s="16"/>
      <c r="G186" s="28">
        <v>0</v>
      </c>
      <c r="H186" s="28">
        <v>44307.29</v>
      </c>
      <c r="I186" s="28">
        <f t="shared" si="2"/>
        <v>668312.64000000025</v>
      </c>
    </row>
    <row r="187" spans="1:9" x14ac:dyDescent="0.3">
      <c r="A187" s="16" t="s">
        <v>303</v>
      </c>
      <c r="B187" s="16" t="s">
        <v>304</v>
      </c>
      <c r="C187" s="25">
        <v>45813</v>
      </c>
      <c r="D187" s="16" t="s">
        <v>305</v>
      </c>
      <c r="E187" s="16" t="s">
        <v>339</v>
      </c>
      <c r="F187" s="16"/>
      <c r="G187" s="28">
        <v>0</v>
      </c>
      <c r="H187" s="28">
        <v>34154.51</v>
      </c>
      <c r="I187" s="28">
        <f t="shared" si="2"/>
        <v>634158.13000000024</v>
      </c>
    </row>
    <row r="188" spans="1:9" x14ac:dyDescent="0.3">
      <c r="A188" s="16" t="s">
        <v>303</v>
      </c>
      <c r="B188" s="16" t="s">
        <v>304</v>
      </c>
      <c r="C188" s="25">
        <v>45813</v>
      </c>
      <c r="D188" s="16" t="s">
        <v>305</v>
      </c>
      <c r="E188" s="16" t="s">
        <v>339</v>
      </c>
      <c r="F188" s="16"/>
      <c r="G188" s="28">
        <v>0</v>
      </c>
      <c r="H188" s="28">
        <v>2208.35</v>
      </c>
      <c r="I188" s="28">
        <f t="shared" si="2"/>
        <v>631949.78000000026</v>
      </c>
    </row>
    <row r="189" spans="1:9" x14ac:dyDescent="0.3">
      <c r="A189" s="16" t="s">
        <v>303</v>
      </c>
      <c r="B189" s="16" t="s">
        <v>304</v>
      </c>
      <c r="C189" s="25">
        <v>45813</v>
      </c>
      <c r="D189" s="16" t="s">
        <v>305</v>
      </c>
      <c r="E189" s="16" t="s">
        <v>339</v>
      </c>
      <c r="F189" s="16"/>
      <c r="G189" s="28">
        <v>0</v>
      </c>
      <c r="H189" s="28">
        <v>2442.2800000000002</v>
      </c>
      <c r="I189" s="28">
        <f t="shared" si="2"/>
        <v>629507.50000000023</v>
      </c>
    </row>
    <row r="190" spans="1:9" x14ac:dyDescent="0.3">
      <c r="A190" s="16" t="s">
        <v>303</v>
      </c>
      <c r="B190" s="16" t="s">
        <v>304</v>
      </c>
      <c r="C190" s="25">
        <v>45814</v>
      </c>
      <c r="D190" s="16" t="s">
        <v>305</v>
      </c>
      <c r="E190" s="16" t="s">
        <v>339</v>
      </c>
      <c r="F190" s="16"/>
      <c r="G190" s="28">
        <v>0</v>
      </c>
      <c r="H190" s="28">
        <v>26000</v>
      </c>
      <c r="I190" s="28">
        <f t="shared" si="2"/>
        <v>603507.50000000023</v>
      </c>
    </row>
    <row r="191" spans="1:9" x14ac:dyDescent="0.3">
      <c r="A191" s="16" t="s">
        <v>303</v>
      </c>
      <c r="B191" s="16" t="s">
        <v>304</v>
      </c>
      <c r="C191" s="25">
        <v>45814</v>
      </c>
      <c r="D191" s="16" t="s">
        <v>305</v>
      </c>
      <c r="E191" s="16" t="s">
        <v>311</v>
      </c>
      <c r="F191" s="16"/>
      <c r="G191" s="28">
        <v>0</v>
      </c>
      <c r="H191" s="28">
        <v>1121</v>
      </c>
      <c r="I191" s="28">
        <f t="shared" si="2"/>
        <v>602386.50000000023</v>
      </c>
    </row>
    <row r="192" spans="1:9" x14ac:dyDescent="0.3">
      <c r="A192" s="16" t="s">
        <v>303</v>
      </c>
      <c r="B192" s="16" t="s">
        <v>304</v>
      </c>
      <c r="C192" s="25">
        <v>45814</v>
      </c>
      <c r="D192" s="16" t="s">
        <v>305</v>
      </c>
      <c r="E192" s="16" t="s">
        <v>311</v>
      </c>
      <c r="F192" s="16"/>
      <c r="G192" s="28">
        <v>0</v>
      </c>
      <c r="H192" s="28">
        <v>865</v>
      </c>
      <c r="I192" s="28">
        <f t="shared" si="2"/>
        <v>601521.50000000023</v>
      </c>
    </row>
    <row r="193" spans="1:9" x14ac:dyDescent="0.3">
      <c r="A193" s="16" t="s">
        <v>303</v>
      </c>
      <c r="B193" s="16" t="s">
        <v>304</v>
      </c>
      <c r="C193" s="25">
        <v>45814</v>
      </c>
      <c r="D193" s="16" t="s">
        <v>305</v>
      </c>
      <c r="E193" s="16" t="s">
        <v>311</v>
      </c>
      <c r="F193" s="16"/>
      <c r="G193" s="28">
        <v>0</v>
      </c>
      <c r="H193" s="28">
        <v>3544</v>
      </c>
      <c r="I193" s="28">
        <f t="shared" si="2"/>
        <v>597977.50000000023</v>
      </c>
    </row>
    <row r="194" spans="1:9" x14ac:dyDescent="0.3">
      <c r="A194" s="16" t="s">
        <v>303</v>
      </c>
      <c r="B194" s="16" t="s">
        <v>304</v>
      </c>
      <c r="C194" s="25">
        <v>45814</v>
      </c>
      <c r="D194" s="16" t="s">
        <v>305</v>
      </c>
      <c r="E194" s="16" t="s">
        <v>311</v>
      </c>
      <c r="F194" s="16"/>
      <c r="G194" s="28">
        <v>0</v>
      </c>
      <c r="H194" s="28">
        <v>57</v>
      </c>
      <c r="I194" s="28">
        <f t="shared" si="2"/>
        <v>597920.50000000023</v>
      </c>
    </row>
    <row r="195" spans="1:9" x14ac:dyDescent="0.3">
      <c r="A195" s="16" t="s">
        <v>303</v>
      </c>
      <c r="B195" s="16" t="s">
        <v>304</v>
      </c>
      <c r="C195" s="25">
        <v>45814</v>
      </c>
      <c r="D195" s="16" t="s">
        <v>305</v>
      </c>
      <c r="E195" s="16" t="s">
        <v>339</v>
      </c>
      <c r="F195" s="16"/>
      <c r="G195" s="28">
        <v>0</v>
      </c>
      <c r="H195" s="28">
        <v>29082.799999999999</v>
      </c>
      <c r="I195" s="28">
        <f t="shared" si="2"/>
        <v>568837.70000000019</v>
      </c>
    </row>
    <row r="196" spans="1:9" x14ac:dyDescent="0.3">
      <c r="A196" s="16" t="s">
        <v>303</v>
      </c>
      <c r="B196" s="16" t="s">
        <v>304</v>
      </c>
      <c r="C196" s="25">
        <v>45814</v>
      </c>
      <c r="D196" s="16" t="s">
        <v>305</v>
      </c>
      <c r="E196" s="16" t="s">
        <v>339</v>
      </c>
      <c r="F196" s="16"/>
      <c r="G196" s="28">
        <v>0</v>
      </c>
      <c r="H196" s="28">
        <v>6550.18</v>
      </c>
      <c r="I196" s="28">
        <f t="shared" ref="I196:I259" si="3">I195+G196-H196</f>
        <v>562287.52000000014</v>
      </c>
    </row>
    <row r="197" spans="1:9" x14ac:dyDescent="0.3">
      <c r="A197" s="16" t="s">
        <v>303</v>
      </c>
      <c r="B197" s="16" t="s">
        <v>304</v>
      </c>
      <c r="C197" s="25">
        <v>45814</v>
      </c>
      <c r="D197" s="16" t="s">
        <v>305</v>
      </c>
      <c r="E197" s="16" t="s">
        <v>339</v>
      </c>
      <c r="F197" s="16"/>
      <c r="G197" s="28">
        <v>0</v>
      </c>
      <c r="H197" s="28">
        <v>12445.34</v>
      </c>
      <c r="I197" s="28">
        <f t="shared" si="3"/>
        <v>549842.18000000017</v>
      </c>
    </row>
    <row r="198" spans="1:9" x14ac:dyDescent="0.3">
      <c r="A198" s="16" t="s">
        <v>303</v>
      </c>
      <c r="B198" s="16" t="s">
        <v>304</v>
      </c>
      <c r="C198" s="25">
        <v>45817</v>
      </c>
      <c r="D198" s="16" t="s">
        <v>305</v>
      </c>
      <c r="E198" s="16" t="s">
        <v>311</v>
      </c>
      <c r="F198" s="16"/>
      <c r="G198" s="28">
        <v>0</v>
      </c>
      <c r="H198" s="28">
        <v>740</v>
      </c>
      <c r="I198" s="28">
        <f t="shared" si="3"/>
        <v>549102.18000000017</v>
      </c>
    </row>
    <row r="199" spans="1:9" x14ac:dyDescent="0.3">
      <c r="A199" s="16" t="s">
        <v>303</v>
      </c>
      <c r="B199" s="16" t="s">
        <v>304</v>
      </c>
      <c r="C199" s="25">
        <v>45817</v>
      </c>
      <c r="D199" s="16" t="s">
        <v>305</v>
      </c>
      <c r="E199" s="16" t="s">
        <v>311</v>
      </c>
      <c r="F199" s="16"/>
      <c r="G199" s="28">
        <v>0</v>
      </c>
      <c r="H199" s="28">
        <v>313</v>
      </c>
      <c r="I199" s="28">
        <f t="shared" si="3"/>
        <v>548789.18000000017</v>
      </c>
    </row>
    <row r="200" spans="1:9" x14ac:dyDescent="0.3">
      <c r="A200" s="16" t="s">
        <v>303</v>
      </c>
      <c r="B200" s="16" t="s">
        <v>304</v>
      </c>
      <c r="C200" s="25">
        <v>45817</v>
      </c>
      <c r="D200" s="16" t="s">
        <v>305</v>
      </c>
      <c r="E200" s="16" t="s">
        <v>311</v>
      </c>
      <c r="F200" s="16"/>
      <c r="G200" s="28">
        <v>0</v>
      </c>
      <c r="H200" s="28">
        <v>66</v>
      </c>
      <c r="I200" s="28">
        <f t="shared" si="3"/>
        <v>548723.18000000017</v>
      </c>
    </row>
    <row r="201" spans="1:9" x14ac:dyDescent="0.3">
      <c r="A201" s="16" t="s">
        <v>303</v>
      </c>
      <c r="B201" s="16" t="s">
        <v>304</v>
      </c>
      <c r="C201" s="25">
        <v>45817</v>
      </c>
      <c r="D201" s="16" t="s">
        <v>305</v>
      </c>
      <c r="E201" s="16" t="s">
        <v>311</v>
      </c>
      <c r="F201" s="16"/>
      <c r="G201" s="28">
        <v>0</v>
      </c>
      <c r="H201" s="28">
        <v>170</v>
      </c>
      <c r="I201" s="28">
        <f t="shared" si="3"/>
        <v>548553.18000000017</v>
      </c>
    </row>
    <row r="202" spans="1:9" x14ac:dyDescent="0.3">
      <c r="A202" s="16" t="s">
        <v>303</v>
      </c>
      <c r="B202" s="16" t="s">
        <v>304</v>
      </c>
      <c r="C202" s="25">
        <v>45820</v>
      </c>
      <c r="D202" s="16" t="s">
        <v>308</v>
      </c>
      <c r="E202" s="16" t="s">
        <v>309</v>
      </c>
      <c r="F202" s="16" t="s">
        <v>369</v>
      </c>
      <c r="G202" s="28">
        <v>100449</v>
      </c>
      <c r="H202" s="28">
        <v>0</v>
      </c>
      <c r="I202" s="28">
        <f t="shared" si="3"/>
        <v>649002.18000000017</v>
      </c>
    </row>
    <row r="203" spans="1:9" x14ac:dyDescent="0.3">
      <c r="A203" s="16" t="s">
        <v>303</v>
      </c>
      <c r="B203" s="16" t="s">
        <v>304</v>
      </c>
      <c r="C203" s="25">
        <v>45832</v>
      </c>
      <c r="D203" s="16" t="s">
        <v>305</v>
      </c>
      <c r="E203" s="16" t="s">
        <v>339</v>
      </c>
      <c r="F203" s="16"/>
      <c r="G203" s="28">
        <v>0</v>
      </c>
      <c r="H203" s="28">
        <v>65010</v>
      </c>
      <c r="I203" s="28">
        <f t="shared" si="3"/>
        <v>583992.18000000017</v>
      </c>
    </row>
    <row r="204" spans="1:9" x14ac:dyDescent="0.3">
      <c r="A204" s="16" t="s">
        <v>303</v>
      </c>
      <c r="B204" s="16" t="s">
        <v>304</v>
      </c>
      <c r="C204" s="25">
        <v>45833</v>
      </c>
      <c r="D204" s="16" t="s">
        <v>305</v>
      </c>
      <c r="E204" s="16" t="s">
        <v>339</v>
      </c>
      <c r="F204" s="16"/>
      <c r="G204" s="28">
        <v>0</v>
      </c>
      <c r="H204" s="28">
        <v>89303</v>
      </c>
      <c r="I204" s="28">
        <f t="shared" si="3"/>
        <v>494689.18000000017</v>
      </c>
    </row>
    <row r="205" spans="1:9" x14ac:dyDescent="0.3">
      <c r="A205" s="16" t="s">
        <v>303</v>
      </c>
      <c r="B205" s="16" t="s">
        <v>304</v>
      </c>
      <c r="C205" s="25">
        <v>45833</v>
      </c>
      <c r="D205" s="16" t="s">
        <v>312</v>
      </c>
      <c r="E205" s="16" t="s">
        <v>370</v>
      </c>
      <c r="F205" s="16" t="s">
        <v>371</v>
      </c>
      <c r="G205" s="28">
        <v>0</v>
      </c>
      <c r="H205" s="28">
        <v>73300</v>
      </c>
      <c r="I205" s="28">
        <f t="shared" si="3"/>
        <v>421389.18000000017</v>
      </c>
    </row>
    <row r="206" spans="1:9" x14ac:dyDescent="0.3">
      <c r="A206" s="16" t="s">
        <v>303</v>
      </c>
      <c r="B206" s="16" t="s">
        <v>304</v>
      </c>
      <c r="C206" s="25">
        <v>45834</v>
      </c>
      <c r="D206" s="16" t="s">
        <v>305</v>
      </c>
      <c r="E206" s="16" t="s">
        <v>311</v>
      </c>
      <c r="F206" s="16"/>
      <c r="G206" s="28">
        <v>0</v>
      </c>
      <c r="H206" s="28">
        <v>40789</v>
      </c>
      <c r="I206" s="28">
        <f t="shared" si="3"/>
        <v>380600.18000000017</v>
      </c>
    </row>
    <row r="207" spans="1:9" x14ac:dyDescent="0.3">
      <c r="A207" s="16" t="s">
        <v>303</v>
      </c>
      <c r="B207" s="16" t="s">
        <v>304</v>
      </c>
      <c r="C207" s="25">
        <v>45834</v>
      </c>
      <c r="D207" s="16" t="s">
        <v>305</v>
      </c>
      <c r="E207" s="16" t="s">
        <v>311</v>
      </c>
      <c r="F207" s="16"/>
      <c r="G207" s="28">
        <v>0</v>
      </c>
      <c r="H207" s="28">
        <v>3926</v>
      </c>
      <c r="I207" s="28">
        <f t="shared" si="3"/>
        <v>376674.18000000017</v>
      </c>
    </row>
    <row r="208" spans="1:9" x14ac:dyDescent="0.3">
      <c r="A208" s="16" t="s">
        <v>303</v>
      </c>
      <c r="B208" s="16" t="s">
        <v>304</v>
      </c>
      <c r="C208" s="25">
        <v>45834</v>
      </c>
      <c r="D208" s="16" t="s">
        <v>305</v>
      </c>
      <c r="E208" s="16" t="s">
        <v>311</v>
      </c>
      <c r="F208" s="16"/>
      <c r="G208" s="28">
        <v>0</v>
      </c>
      <c r="H208" s="28">
        <v>1072</v>
      </c>
      <c r="I208" s="28">
        <f t="shared" si="3"/>
        <v>375602.18000000017</v>
      </c>
    </row>
    <row r="209" spans="1:9" x14ac:dyDescent="0.3">
      <c r="A209" s="16" t="s">
        <v>303</v>
      </c>
      <c r="B209" s="16" t="s">
        <v>304</v>
      </c>
      <c r="C209" s="25">
        <v>45834</v>
      </c>
      <c r="D209" s="16" t="s">
        <v>312</v>
      </c>
      <c r="E209" s="16" t="s">
        <v>370</v>
      </c>
      <c r="F209" s="16" t="s">
        <v>372</v>
      </c>
      <c r="G209" s="28">
        <v>0</v>
      </c>
      <c r="H209" s="28">
        <v>76800</v>
      </c>
      <c r="I209" s="28">
        <f t="shared" si="3"/>
        <v>298802.18000000017</v>
      </c>
    </row>
    <row r="210" spans="1:9" x14ac:dyDescent="0.3">
      <c r="A210" s="16" t="s">
        <v>303</v>
      </c>
      <c r="B210" s="16" t="s">
        <v>304</v>
      </c>
      <c r="C210" s="25">
        <v>45838</v>
      </c>
      <c r="D210" s="16" t="s">
        <v>305</v>
      </c>
      <c r="E210" s="16" t="s">
        <v>311</v>
      </c>
      <c r="F210" s="16"/>
      <c r="G210" s="28">
        <v>0</v>
      </c>
      <c r="H210" s="28">
        <v>21602.52</v>
      </c>
      <c r="I210" s="28">
        <f t="shared" si="3"/>
        <v>277199.66000000015</v>
      </c>
    </row>
    <row r="211" spans="1:9" x14ac:dyDescent="0.3">
      <c r="A211" s="16" t="s">
        <v>303</v>
      </c>
      <c r="B211" s="16" t="s">
        <v>304</v>
      </c>
      <c r="C211" s="25">
        <v>45839</v>
      </c>
      <c r="D211" s="16" t="s">
        <v>305</v>
      </c>
      <c r="E211" s="16" t="s">
        <v>339</v>
      </c>
      <c r="F211" s="16"/>
      <c r="G211" s="28">
        <v>0</v>
      </c>
      <c r="H211" s="28">
        <v>144430</v>
      </c>
      <c r="I211" s="28">
        <f t="shared" si="3"/>
        <v>132769.66000000015</v>
      </c>
    </row>
    <row r="212" spans="1:9" x14ac:dyDescent="0.3">
      <c r="A212" s="16" t="s">
        <v>303</v>
      </c>
      <c r="B212" s="16" t="s">
        <v>304</v>
      </c>
      <c r="C212" s="25">
        <v>45839</v>
      </c>
      <c r="D212" s="16" t="s">
        <v>305</v>
      </c>
      <c r="E212" s="16" t="s">
        <v>339</v>
      </c>
      <c r="F212" s="16"/>
      <c r="G212" s="28">
        <v>0</v>
      </c>
      <c r="H212" s="28">
        <v>140000</v>
      </c>
      <c r="I212" s="28">
        <f t="shared" si="3"/>
        <v>-7230.339999999851</v>
      </c>
    </row>
    <row r="213" spans="1:9" x14ac:dyDescent="0.3">
      <c r="A213" s="16" t="s">
        <v>303</v>
      </c>
      <c r="B213" s="16" t="s">
        <v>304</v>
      </c>
      <c r="C213" s="25">
        <v>45839</v>
      </c>
      <c r="D213" s="16" t="s">
        <v>305</v>
      </c>
      <c r="E213" s="16" t="s">
        <v>339</v>
      </c>
      <c r="F213" s="16"/>
      <c r="G213" s="28">
        <v>0</v>
      </c>
      <c r="H213" s="28">
        <v>87560</v>
      </c>
      <c r="I213" s="28">
        <f t="shared" si="3"/>
        <v>-94790.339999999851</v>
      </c>
    </row>
    <row r="214" spans="1:9" x14ac:dyDescent="0.3">
      <c r="A214" s="16" t="s">
        <v>303</v>
      </c>
      <c r="B214" s="16" t="s">
        <v>304</v>
      </c>
      <c r="C214" s="25">
        <v>45839</v>
      </c>
      <c r="D214" s="16" t="s">
        <v>305</v>
      </c>
      <c r="E214" s="16" t="s">
        <v>339</v>
      </c>
      <c r="F214" s="16"/>
      <c r="G214" s="28">
        <v>0</v>
      </c>
      <c r="H214" s="28">
        <v>32853</v>
      </c>
      <c r="I214" s="28">
        <f t="shared" si="3"/>
        <v>-127643.33999999985</v>
      </c>
    </row>
    <row r="215" spans="1:9" x14ac:dyDescent="0.3">
      <c r="A215" s="16" t="s">
        <v>303</v>
      </c>
      <c r="B215" s="16" t="s">
        <v>304</v>
      </c>
      <c r="C215" s="25">
        <v>45839</v>
      </c>
      <c r="D215" s="16" t="s">
        <v>305</v>
      </c>
      <c r="E215" s="16" t="s">
        <v>339</v>
      </c>
      <c r="F215" s="16"/>
      <c r="G215" s="28">
        <v>0</v>
      </c>
      <c r="H215" s="28">
        <v>39000</v>
      </c>
      <c r="I215" s="28">
        <f t="shared" si="3"/>
        <v>-166643.33999999985</v>
      </c>
    </row>
    <row r="216" spans="1:9" x14ac:dyDescent="0.3">
      <c r="A216" s="16" t="s">
        <v>303</v>
      </c>
      <c r="B216" s="16" t="s">
        <v>304</v>
      </c>
      <c r="C216" s="25">
        <v>45839</v>
      </c>
      <c r="D216" s="16" t="s">
        <v>305</v>
      </c>
      <c r="E216" s="16" t="s">
        <v>339</v>
      </c>
      <c r="F216" s="16"/>
      <c r="G216" s="28">
        <v>0</v>
      </c>
      <c r="H216" s="28">
        <v>45167</v>
      </c>
      <c r="I216" s="28">
        <f t="shared" si="3"/>
        <v>-211810.33999999985</v>
      </c>
    </row>
    <row r="217" spans="1:9" x14ac:dyDescent="0.3">
      <c r="A217" s="16" t="s">
        <v>303</v>
      </c>
      <c r="B217" s="16" t="s">
        <v>304</v>
      </c>
      <c r="C217" s="25">
        <v>45840</v>
      </c>
      <c r="D217" s="16" t="s">
        <v>305</v>
      </c>
      <c r="E217" s="16" t="s">
        <v>373</v>
      </c>
      <c r="F217" s="16" t="s">
        <v>374</v>
      </c>
      <c r="G217" s="28">
        <v>0</v>
      </c>
      <c r="H217" s="28">
        <v>72900</v>
      </c>
      <c r="I217" s="28">
        <f t="shared" si="3"/>
        <v>-284710.33999999985</v>
      </c>
    </row>
    <row r="218" spans="1:9" x14ac:dyDescent="0.3">
      <c r="A218" s="16" t="s">
        <v>303</v>
      </c>
      <c r="B218" s="16" t="s">
        <v>304</v>
      </c>
      <c r="C218" s="25">
        <v>45840</v>
      </c>
      <c r="D218" s="16" t="s">
        <v>305</v>
      </c>
      <c r="E218" s="16" t="s">
        <v>339</v>
      </c>
      <c r="F218" s="16"/>
      <c r="G218" s="28">
        <v>0</v>
      </c>
      <c r="H218" s="28">
        <v>75240</v>
      </c>
      <c r="I218" s="28">
        <f t="shared" si="3"/>
        <v>-359950.33999999985</v>
      </c>
    </row>
    <row r="219" spans="1:9" x14ac:dyDescent="0.3">
      <c r="A219" s="16" t="s">
        <v>303</v>
      </c>
      <c r="B219" s="16" t="s">
        <v>304</v>
      </c>
      <c r="C219" s="25">
        <v>45841</v>
      </c>
      <c r="D219" s="16" t="s">
        <v>305</v>
      </c>
      <c r="E219" s="16" t="s">
        <v>339</v>
      </c>
      <c r="F219" s="16"/>
      <c r="G219" s="28">
        <v>0</v>
      </c>
      <c r="H219" s="28">
        <v>17960</v>
      </c>
      <c r="I219" s="28">
        <f t="shared" si="3"/>
        <v>-377910.33999999985</v>
      </c>
    </row>
    <row r="220" spans="1:9" x14ac:dyDescent="0.3">
      <c r="A220" s="16" t="s">
        <v>303</v>
      </c>
      <c r="B220" s="16" t="s">
        <v>304</v>
      </c>
      <c r="C220" s="25">
        <v>45841</v>
      </c>
      <c r="D220" s="16" t="s">
        <v>305</v>
      </c>
      <c r="E220" s="16" t="s">
        <v>339</v>
      </c>
      <c r="F220" s="16"/>
      <c r="G220" s="28">
        <v>0</v>
      </c>
      <c r="H220" s="28">
        <v>118800</v>
      </c>
      <c r="I220" s="28">
        <f t="shared" si="3"/>
        <v>-496710.33999999985</v>
      </c>
    </row>
    <row r="221" spans="1:9" x14ac:dyDescent="0.3">
      <c r="A221" s="16" t="s">
        <v>303</v>
      </c>
      <c r="B221" s="16" t="s">
        <v>304</v>
      </c>
      <c r="C221" s="25">
        <v>45848</v>
      </c>
      <c r="D221" s="16" t="s">
        <v>308</v>
      </c>
      <c r="E221" s="16" t="s">
        <v>309</v>
      </c>
      <c r="F221" s="16" t="s">
        <v>375</v>
      </c>
      <c r="G221" s="28">
        <v>2020460</v>
      </c>
      <c r="H221" s="28">
        <v>0</v>
      </c>
      <c r="I221" s="28">
        <f t="shared" si="3"/>
        <v>1523749.6600000001</v>
      </c>
    </row>
    <row r="222" spans="1:9" x14ac:dyDescent="0.3">
      <c r="A222" s="16" t="s">
        <v>303</v>
      </c>
      <c r="B222" s="16" t="s">
        <v>304</v>
      </c>
      <c r="C222" s="25">
        <v>45848</v>
      </c>
      <c r="D222" s="16" t="s">
        <v>305</v>
      </c>
      <c r="E222" s="16" t="s">
        <v>311</v>
      </c>
      <c r="F222" s="16"/>
      <c r="G222" s="28">
        <v>0</v>
      </c>
      <c r="H222" s="28">
        <v>24099.66</v>
      </c>
      <c r="I222" s="28">
        <f t="shared" si="3"/>
        <v>1499650.0000000002</v>
      </c>
    </row>
    <row r="223" spans="1:9" x14ac:dyDescent="0.3">
      <c r="A223" s="16" t="s">
        <v>303</v>
      </c>
      <c r="B223" s="16" t="s">
        <v>304</v>
      </c>
      <c r="C223" s="25">
        <v>45862</v>
      </c>
      <c r="D223" s="16" t="s">
        <v>305</v>
      </c>
      <c r="E223" s="16" t="s">
        <v>339</v>
      </c>
      <c r="F223" s="16"/>
      <c r="G223" s="28">
        <v>0</v>
      </c>
      <c r="H223" s="28">
        <v>32980</v>
      </c>
      <c r="I223" s="28">
        <f t="shared" si="3"/>
        <v>1466670.0000000002</v>
      </c>
    </row>
    <row r="224" spans="1:9" x14ac:dyDescent="0.3">
      <c r="A224" s="16" t="s">
        <v>303</v>
      </c>
      <c r="B224" s="16" t="s">
        <v>304</v>
      </c>
      <c r="C224" s="25">
        <v>45867</v>
      </c>
      <c r="D224" s="16" t="s">
        <v>305</v>
      </c>
      <c r="E224" s="16" t="s">
        <v>311</v>
      </c>
      <c r="F224" s="16"/>
      <c r="G224" s="28">
        <v>0</v>
      </c>
      <c r="H224" s="28">
        <v>426</v>
      </c>
      <c r="I224" s="28">
        <f t="shared" si="3"/>
        <v>1466244.0000000002</v>
      </c>
    </row>
    <row r="225" spans="1:9" x14ac:dyDescent="0.3">
      <c r="A225" s="16" t="s">
        <v>303</v>
      </c>
      <c r="B225" s="16" t="s">
        <v>304</v>
      </c>
      <c r="C225" s="25">
        <v>45867</v>
      </c>
      <c r="D225" s="16" t="s">
        <v>305</v>
      </c>
      <c r="E225" s="16" t="s">
        <v>311</v>
      </c>
      <c r="F225" s="16"/>
      <c r="G225" s="28">
        <v>0</v>
      </c>
      <c r="H225" s="28">
        <v>3919</v>
      </c>
      <c r="I225" s="28">
        <f t="shared" si="3"/>
        <v>1462325.0000000002</v>
      </c>
    </row>
    <row r="226" spans="1:9" x14ac:dyDescent="0.3">
      <c r="A226" s="16" t="s">
        <v>303</v>
      </c>
      <c r="B226" s="16" t="s">
        <v>304</v>
      </c>
      <c r="C226" s="25">
        <v>45867</v>
      </c>
      <c r="D226" s="16" t="s">
        <v>305</v>
      </c>
      <c r="E226" s="16" t="s">
        <v>311</v>
      </c>
      <c r="F226" s="16"/>
      <c r="G226" s="28">
        <v>0</v>
      </c>
      <c r="H226" s="28">
        <v>19267</v>
      </c>
      <c r="I226" s="28">
        <f t="shared" si="3"/>
        <v>1443058.0000000002</v>
      </c>
    </row>
    <row r="227" spans="1:9" x14ac:dyDescent="0.3">
      <c r="A227" s="16" t="s">
        <v>303</v>
      </c>
      <c r="B227" s="16" t="s">
        <v>304</v>
      </c>
      <c r="C227" s="25">
        <v>45882</v>
      </c>
      <c r="D227" s="16" t="s">
        <v>308</v>
      </c>
      <c r="E227" s="16" t="s">
        <v>309</v>
      </c>
      <c r="F227" s="16" t="s">
        <v>347</v>
      </c>
      <c r="G227" s="28">
        <v>1476513</v>
      </c>
      <c r="H227" s="28">
        <v>0</v>
      </c>
      <c r="I227" s="28">
        <f t="shared" si="3"/>
        <v>2919571</v>
      </c>
    </row>
    <row r="228" spans="1:9" x14ac:dyDescent="0.3">
      <c r="A228" s="16" t="s">
        <v>303</v>
      </c>
      <c r="B228" s="16" t="s">
        <v>304</v>
      </c>
      <c r="C228" s="25">
        <v>45882</v>
      </c>
      <c r="D228" s="16" t="s">
        <v>305</v>
      </c>
      <c r="E228" s="16" t="s">
        <v>339</v>
      </c>
      <c r="F228" s="16"/>
      <c r="G228" s="28">
        <v>0</v>
      </c>
      <c r="H228" s="28">
        <v>235310</v>
      </c>
      <c r="I228" s="28">
        <f t="shared" si="3"/>
        <v>2684261</v>
      </c>
    </row>
    <row r="229" spans="1:9" x14ac:dyDescent="0.3">
      <c r="A229" s="16" t="s">
        <v>303</v>
      </c>
      <c r="B229" s="16" t="s">
        <v>304</v>
      </c>
      <c r="C229" s="25">
        <v>45888</v>
      </c>
      <c r="D229" s="16" t="s">
        <v>312</v>
      </c>
      <c r="E229" s="16" t="s">
        <v>376</v>
      </c>
      <c r="F229" s="16" t="s">
        <v>377</v>
      </c>
      <c r="G229" s="28">
        <v>0</v>
      </c>
      <c r="H229" s="28">
        <v>376789</v>
      </c>
      <c r="I229" s="28">
        <f t="shared" si="3"/>
        <v>2307472</v>
      </c>
    </row>
    <row r="230" spans="1:9" x14ac:dyDescent="0.3">
      <c r="A230" s="16" t="s">
        <v>303</v>
      </c>
      <c r="B230" s="16" t="s">
        <v>304</v>
      </c>
      <c r="C230" s="25">
        <v>45888</v>
      </c>
      <c r="D230" s="16" t="s">
        <v>305</v>
      </c>
      <c r="E230" s="16" t="s">
        <v>339</v>
      </c>
      <c r="F230" s="16"/>
      <c r="G230" s="28">
        <v>0</v>
      </c>
      <c r="H230" s="28">
        <v>52575</v>
      </c>
      <c r="I230" s="28">
        <f t="shared" si="3"/>
        <v>2254897</v>
      </c>
    </row>
    <row r="231" spans="1:9" x14ac:dyDescent="0.3">
      <c r="A231" s="16" t="s">
        <v>303</v>
      </c>
      <c r="B231" s="16" t="s">
        <v>304</v>
      </c>
      <c r="C231" s="25">
        <v>45890</v>
      </c>
      <c r="D231" s="16" t="s">
        <v>305</v>
      </c>
      <c r="E231" s="16" t="s">
        <v>311</v>
      </c>
      <c r="F231" s="16"/>
      <c r="G231" s="28">
        <v>0</v>
      </c>
      <c r="H231" s="28">
        <v>6048</v>
      </c>
      <c r="I231" s="28">
        <f t="shared" si="3"/>
        <v>2248849</v>
      </c>
    </row>
    <row r="232" spans="1:9" x14ac:dyDescent="0.3">
      <c r="A232" s="16" t="s">
        <v>303</v>
      </c>
      <c r="B232" s="16" t="s">
        <v>304</v>
      </c>
      <c r="C232" s="25">
        <v>45890</v>
      </c>
      <c r="D232" s="16" t="s">
        <v>305</v>
      </c>
      <c r="E232" s="16" t="s">
        <v>306</v>
      </c>
      <c r="F232" s="16"/>
      <c r="G232" s="28">
        <v>0</v>
      </c>
      <c r="H232" s="28">
        <v>21553</v>
      </c>
      <c r="I232" s="28">
        <f t="shared" si="3"/>
        <v>2227296</v>
      </c>
    </row>
    <row r="233" spans="1:9" x14ac:dyDescent="0.3">
      <c r="A233" s="16" t="s">
        <v>303</v>
      </c>
      <c r="B233" s="16" t="s">
        <v>304</v>
      </c>
      <c r="C233" s="25">
        <v>45894</v>
      </c>
      <c r="D233" s="16" t="s">
        <v>305</v>
      </c>
      <c r="E233" s="16" t="s">
        <v>339</v>
      </c>
      <c r="F233" s="16"/>
      <c r="G233" s="28">
        <v>0</v>
      </c>
      <c r="H233" s="28">
        <v>157630</v>
      </c>
      <c r="I233" s="28">
        <f t="shared" si="3"/>
        <v>2069666</v>
      </c>
    </row>
    <row r="234" spans="1:9" x14ac:dyDescent="0.3">
      <c r="A234" s="16" t="s">
        <v>303</v>
      </c>
      <c r="B234" s="16" t="s">
        <v>304</v>
      </c>
      <c r="C234" s="25">
        <v>45894</v>
      </c>
      <c r="D234" s="16" t="s">
        <v>305</v>
      </c>
      <c r="E234" s="16" t="s">
        <v>339</v>
      </c>
      <c r="F234" s="16"/>
      <c r="G234" s="28">
        <v>0</v>
      </c>
      <c r="H234" s="28">
        <v>16250</v>
      </c>
      <c r="I234" s="28">
        <f t="shared" si="3"/>
        <v>2053416</v>
      </c>
    </row>
    <row r="235" spans="1:9" x14ac:dyDescent="0.3">
      <c r="A235" s="16" t="s">
        <v>303</v>
      </c>
      <c r="B235" s="16" t="s">
        <v>304</v>
      </c>
      <c r="C235" s="25">
        <v>45895</v>
      </c>
      <c r="D235" s="16" t="s">
        <v>305</v>
      </c>
      <c r="E235" s="16" t="s">
        <v>311</v>
      </c>
      <c r="F235" s="16"/>
      <c r="G235" s="28">
        <v>0</v>
      </c>
      <c r="H235" s="28">
        <v>1349</v>
      </c>
      <c r="I235" s="28">
        <f t="shared" si="3"/>
        <v>2052067</v>
      </c>
    </row>
    <row r="236" spans="1:9" x14ac:dyDescent="0.3">
      <c r="A236" s="16" t="s">
        <v>303</v>
      </c>
      <c r="B236" s="16" t="s">
        <v>304</v>
      </c>
      <c r="C236" s="25">
        <v>45896</v>
      </c>
      <c r="D236" s="16" t="s">
        <v>305</v>
      </c>
      <c r="E236" s="16" t="s">
        <v>311</v>
      </c>
      <c r="F236" s="16"/>
      <c r="G236" s="28">
        <v>0</v>
      </c>
      <c r="H236" s="28">
        <v>4048</v>
      </c>
      <c r="I236" s="28">
        <f t="shared" si="3"/>
        <v>2048019</v>
      </c>
    </row>
    <row r="237" spans="1:9" x14ac:dyDescent="0.3">
      <c r="A237" s="16" t="s">
        <v>303</v>
      </c>
      <c r="B237" s="16" t="s">
        <v>304</v>
      </c>
      <c r="C237" s="25">
        <v>45896</v>
      </c>
      <c r="D237" s="16" t="s">
        <v>305</v>
      </c>
      <c r="E237" s="16" t="s">
        <v>311</v>
      </c>
      <c r="F237" s="16"/>
      <c r="G237" s="28">
        <v>0</v>
      </c>
      <c r="H237" s="28">
        <v>3934</v>
      </c>
      <c r="I237" s="28">
        <f t="shared" si="3"/>
        <v>2044085</v>
      </c>
    </row>
    <row r="238" spans="1:9" x14ac:dyDescent="0.3">
      <c r="A238" s="16" t="s">
        <v>303</v>
      </c>
      <c r="B238" s="16" t="s">
        <v>304</v>
      </c>
      <c r="C238" s="25">
        <v>45896</v>
      </c>
      <c r="D238" s="16" t="s">
        <v>305</v>
      </c>
      <c r="E238" s="16" t="s">
        <v>311</v>
      </c>
      <c r="F238" s="16"/>
      <c r="G238" s="28">
        <v>0</v>
      </c>
      <c r="H238" s="28">
        <v>552</v>
      </c>
      <c r="I238" s="28">
        <f t="shared" si="3"/>
        <v>2043533</v>
      </c>
    </row>
    <row r="239" spans="1:9" x14ac:dyDescent="0.3">
      <c r="A239" s="16" t="s">
        <v>303</v>
      </c>
      <c r="B239" s="16" t="s">
        <v>304</v>
      </c>
      <c r="C239" s="25">
        <v>45898</v>
      </c>
      <c r="D239" s="16" t="s">
        <v>312</v>
      </c>
      <c r="E239" s="16" t="s">
        <v>370</v>
      </c>
      <c r="F239" s="16" t="s">
        <v>378</v>
      </c>
      <c r="G239" s="28">
        <v>0</v>
      </c>
      <c r="H239" s="28">
        <v>28000</v>
      </c>
      <c r="I239" s="28">
        <f t="shared" si="3"/>
        <v>2015533</v>
      </c>
    </row>
    <row r="240" spans="1:9" x14ac:dyDescent="0.3">
      <c r="A240" s="16" t="s">
        <v>303</v>
      </c>
      <c r="B240" s="16" t="s">
        <v>304</v>
      </c>
      <c r="C240" s="25">
        <v>45900</v>
      </c>
      <c r="D240" s="16" t="s">
        <v>305</v>
      </c>
      <c r="E240" s="16" t="s">
        <v>339</v>
      </c>
      <c r="F240" s="16" t="s">
        <v>379</v>
      </c>
      <c r="G240" s="28">
        <v>0</v>
      </c>
      <c r="H240" s="28">
        <v>137718</v>
      </c>
      <c r="I240" s="28">
        <f t="shared" si="3"/>
        <v>1877815</v>
      </c>
    </row>
    <row r="241" spans="1:9" x14ac:dyDescent="0.3">
      <c r="A241" s="16" t="s">
        <v>303</v>
      </c>
      <c r="B241" s="16" t="s">
        <v>304</v>
      </c>
      <c r="C241" s="25">
        <v>45901</v>
      </c>
      <c r="D241" s="16" t="s">
        <v>305</v>
      </c>
      <c r="E241" s="16" t="s">
        <v>339</v>
      </c>
      <c r="F241" s="16"/>
      <c r="G241" s="28">
        <v>0</v>
      </c>
      <c r="H241" s="28">
        <v>26000</v>
      </c>
      <c r="I241" s="28">
        <f t="shared" si="3"/>
        <v>1851815</v>
      </c>
    </row>
    <row r="242" spans="1:9" x14ac:dyDescent="0.3">
      <c r="A242" s="16" t="s">
        <v>303</v>
      </c>
      <c r="B242" s="16" t="s">
        <v>304</v>
      </c>
      <c r="C242" s="25">
        <v>45901</v>
      </c>
      <c r="D242" s="16" t="s">
        <v>305</v>
      </c>
      <c r="E242" s="16" t="s">
        <v>373</v>
      </c>
      <c r="F242" s="16"/>
      <c r="G242" s="28">
        <v>0</v>
      </c>
      <c r="H242" s="28">
        <v>4700</v>
      </c>
      <c r="I242" s="28">
        <f t="shared" si="3"/>
        <v>1847115</v>
      </c>
    </row>
    <row r="243" spans="1:9" x14ac:dyDescent="0.3">
      <c r="A243" s="16" t="s">
        <v>303</v>
      </c>
      <c r="B243" s="16" t="s">
        <v>304</v>
      </c>
      <c r="C243" s="25">
        <v>45901</v>
      </c>
      <c r="D243" s="16" t="s">
        <v>305</v>
      </c>
      <c r="E243" s="16" t="s">
        <v>339</v>
      </c>
      <c r="F243" s="16"/>
      <c r="G243" s="28">
        <v>0</v>
      </c>
      <c r="H243" s="28">
        <v>31058</v>
      </c>
      <c r="I243" s="28">
        <f t="shared" si="3"/>
        <v>1816057</v>
      </c>
    </row>
    <row r="244" spans="1:9" x14ac:dyDescent="0.3">
      <c r="A244" s="16" t="s">
        <v>303</v>
      </c>
      <c r="B244" s="16" t="s">
        <v>304</v>
      </c>
      <c r="C244" s="25">
        <v>45901</v>
      </c>
      <c r="D244" s="16" t="s">
        <v>305</v>
      </c>
      <c r="E244" s="16" t="s">
        <v>339</v>
      </c>
      <c r="F244" s="16"/>
      <c r="G244" s="28">
        <v>0</v>
      </c>
      <c r="H244" s="28">
        <v>57970</v>
      </c>
      <c r="I244" s="28">
        <f t="shared" si="3"/>
        <v>1758087</v>
      </c>
    </row>
    <row r="245" spans="1:9" x14ac:dyDescent="0.3">
      <c r="A245" s="16" t="s">
        <v>303</v>
      </c>
      <c r="B245" s="16" t="s">
        <v>304</v>
      </c>
      <c r="C245" s="25">
        <v>45901</v>
      </c>
      <c r="D245" s="16" t="s">
        <v>305</v>
      </c>
      <c r="E245" s="16" t="s">
        <v>339</v>
      </c>
      <c r="F245" s="16"/>
      <c r="G245" s="28">
        <v>0</v>
      </c>
      <c r="H245" s="28">
        <v>17990</v>
      </c>
      <c r="I245" s="28">
        <f t="shared" si="3"/>
        <v>1740097</v>
      </c>
    </row>
    <row r="246" spans="1:9" x14ac:dyDescent="0.3">
      <c r="A246" s="16" t="s">
        <v>303</v>
      </c>
      <c r="B246" s="16" t="s">
        <v>304</v>
      </c>
      <c r="C246" s="25">
        <v>45901</v>
      </c>
      <c r="D246" s="16" t="s">
        <v>305</v>
      </c>
      <c r="E246" s="16" t="s">
        <v>311</v>
      </c>
      <c r="F246" s="16"/>
      <c r="G246" s="28">
        <v>0</v>
      </c>
      <c r="H246" s="28">
        <v>858</v>
      </c>
      <c r="I246" s="28">
        <f t="shared" si="3"/>
        <v>1739239</v>
      </c>
    </row>
    <row r="247" spans="1:9" x14ac:dyDescent="0.3">
      <c r="A247" s="16" t="s">
        <v>303</v>
      </c>
      <c r="B247" s="16" t="s">
        <v>304</v>
      </c>
      <c r="C247" s="25">
        <v>45901</v>
      </c>
      <c r="D247" s="16" t="s">
        <v>305</v>
      </c>
      <c r="E247" s="16" t="s">
        <v>311</v>
      </c>
      <c r="F247" s="16"/>
      <c r="G247" s="28">
        <v>0</v>
      </c>
      <c r="H247" s="28">
        <v>566</v>
      </c>
      <c r="I247" s="28">
        <f t="shared" si="3"/>
        <v>1738673</v>
      </c>
    </row>
    <row r="248" spans="1:9" x14ac:dyDescent="0.3">
      <c r="A248" s="16" t="s">
        <v>303</v>
      </c>
      <c r="B248" s="16" t="s">
        <v>304</v>
      </c>
      <c r="C248" s="25">
        <v>45901</v>
      </c>
      <c r="D248" s="16" t="s">
        <v>305</v>
      </c>
      <c r="E248" s="16" t="s">
        <v>339</v>
      </c>
      <c r="F248" s="16"/>
      <c r="G248" s="28">
        <v>137718</v>
      </c>
      <c r="H248" s="28">
        <v>0</v>
      </c>
      <c r="I248" s="28">
        <f t="shared" si="3"/>
        <v>1876391</v>
      </c>
    </row>
    <row r="249" spans="1:9" x14ac:dyDescent="0.3">
      <c r="A249" s="16" t="s">
        <v>303</v>
      </c>
      <c r="B249" s="16" t="s">
        <v>304</v>
      </c>
      <c r="C249" s="25">
        <v>45901</v>
      </c>
      <c r="D249" s="16" t="s">
        <v>305</v>
      </c>
      <c r="E249" s="16" t="s">
        <v>339</v>
      </c>
      <c r="F249" s="16"/>
      <c r="G249" s="28">
        <v>0</v>
      </c>
      <c r="H249" s="28">
        <v>33643.4</v>
      </c>
      <c r="I249" s="28">
        <f t="shared" si="3"/>
        <v>1842747.6</v>
      </c>
    </row>
    <row r="250" spans="1:9" x14ac:dyDescent="0.3">
      <c r="A250" s="16" t="s">
        <v>303</v>
      </c>
      <c r="B250" s="16" t="s">
        <v>304</v>
      </c>
      <c r="C250" s="25">
        <v>45901</v>
      </c>
      <c r="D250" s="16" t="s">
        <v>305</v>
      </c>
      <c r="E250" s="16" t="s">
        <v>339</v>
      </c>
      <c r="F250" s="16"/>
      <c r="G250" s="28">
        <v>0</v>
      </c>
      <c r="H250" s="28">
        <v>22127.75</v>
      </c>
      <c r="I250" s="28">
        <f t="shared" si="3"/>
        <v>1820619.85</v>
      </c>
    </row>
    <row r="251" spans="1:9" x14ac:dyDescent="0.3">
      <c r="A251" s="16" t="s">
        <v>303</v>
      </c>
      <c r="B251" s="16" t="s">
        <v>304</v>
      </c>
      <c r="C251" s="25">
        <v>45903</v>
      </c>
      <c r="D251" s="16" t="s">
        <v>305</v>
      </c>
      <c r="E251" s="16" t="s">
        <v>339</v>
      </c>
      <c r="F251" s="16"/>
      <c r="G251" s="28">
        <v>0</v>
      </c>
      <c r="H251" s="28">
        <v>31942</v>
      </c>
      <c r="I251" s="28">
        <f t="shared" si="3"/>
        <v>1788677.85</v>
      </c>
    </row>
    <row r="252" spans="1:9" x14ac:dyDescent="0.3">
      <c r="A252" s="16" t="s">
        <v>303</v>
      </c>
      <c r="B252" s="16" t="s">
        <v>304</v>
      </c>
      <c r="C252" s="25">
        <v>45904</v>
      </c>
      <c r="D252" s="16" t="s">
        <v>305</v>
      </c>
      <c r="E252" s="16" t="s">
        <v>311</v>
      </c>
      <c r="F252" s="16"/>
      <c r="G252" s="28">
        <v>0</v>
      </c>
      <c r="H252" s="28">
        <v>809</v>
      </c>
      <c r="I252" s="28">
        <f t="shared" si="3"/>
        <v>1787868.85</v>
      </c>
    </row>
    <row r="253" spans="1:9" x14ac:dyDescent="0.3">
      <c r="A253" s="16" t="s">
        <v>303</v>
      </c>
      <c r="B253" s="16" t="s">
        <v>304</v>
      </c>
      <c r="C253" s="25">
        <v>45905</v>
      </c>
      <c r="D253" s="16" t="s">
        <v>305</v>
      </c>
      <c r="E253" s="16" t="s">
        <v>339</v>
      </c>
      <c r="F253" s="16"/>
      <c r="G253" s="28">
        <v>0</v>
      </c>
      <c r="H253" s="28">
        <v>15081.86</v>
      </c>
      <c r="I253" s="28">
        <f t="shared" si="3"/>
        <v>1772786.99</v>
      </c>
    </row>
    <row r="254" spans="1:9" x14ac:dyDescent="0.3">
      <c r="A254" s="16" t="s">
        <v>303</v>
      </c>
      <c r="B254" s="16" t="s">
        <v>304</v>
      </c>
      <c r="C254" s="25">
        <v>45905</v>
      </c>
      <c r="D254" s="16" t="s">
        <v>305</v>
      </c>
      <c r="E254" s="16" t="s">
        <v>339</v>
      </c>
      <c r="F254" s="16"/>
      <c r="G254" s="28">
        <v>0</v>
      </c>
      <c r="H254" s="28">
        <v>27212.7</v>
      </c>
      <c r="I254" s="28">
        <f t="shared" si="3"/>
        <v>1745574.29</v>
      </c>
    </row>
    <row r="255" spans="1:9" x14ac:dyDescent="0.3">
      <c r="A255" s="16" t="s">
        <v>303</v>
      </c>
      <c r="B255" s="16" t="s">
        <v>304</v>
      </c>
      <c r="C255" s="25">
        <v>45905</v>
      </c>
      <c r="D255" s="16" t="s">
        <v>305</v>
      </c>
      <c r="E255" s="16" t="s">
        <v>339</v>
      </c>
      <c r="F255" s="16"/>
      <c r="G255" s="28">
        <v>0</v>
      </c>
      <c r="H255" s="28">
        <v>1787.9</v>
      </c>
      <c r="I255" s="28">
        <f t="shared" si="3"/>
        <v>1743786.3900000001</v>
      </c>
    </row>
    <row r="256" spans="1:9" x14ac:dyDescent="0.3">
      <c r="A256" s="16" t="s">
        <v>303</v>
      </c>
      <c r="B256" s="16" t="s">
        <v>304</v>
      </c>
      <c r="C256" s="25">
        <v>45906</v>
      </c>
      <c r="D256" s="16" t="s">
        <v>305</v>
      </c>
      <c r="E256" s="16" t="s">
        <v>339</v>
      </c>
      <c r="F256" s="16"/>
      <c r="G256" s="28">
        <v>0</v>
      </c>
      <c r="H256" s="28">
        <v>26000</v>
      </c>
      <c r="I256" s="28">
        <f t="shared" si="3"/>
        <v>1717786.3900000001</v>
      </c>
    </row>
    <row r="257" spans="1:9" x14ac:dyDescent="0.3">
      <c r="A257" s="16" t="s">
        <v>303</v>
      </c>
      <c r="B257" s="16" t="s">
        <v>304</v>
      </c>
      <c r="C257" s="25">
        <v>45907</v>
      </c>
      <c r="D257" s="16" t="s">
        <v>305</v>
      </c>
      <c r="E257" s="16" t="s">
        <v>339</v>
      </c>
      <c r="F257" s="16"/>
      <c r="G257" s="28">
        <v>0</v>
      </c>
      <c r="H257" s="28">
        <v>121687</v>
      </c>
      <c r="I257" s="28">
        <f t="shared" si="3"/>
        <v>1596099.3900000001</v>
      </c>
    </row>
    <row r="258" spans="1:9" x14ac:dyDescent="0.3">
      <c r="A258" s="16" t="s">
        <v>303</v>
      </c>
      <c r="B258" s="16" t="s">
        <v>304</v>
      </c>
      <c r="C258" s="25">
        <v>45907</v>
      </c>
      <c r="D258" s="16" t="s">
        <v>305</v>
      </c>
      <c r="E258" s="16" t="s">
        <v>339</v>
      </c>
      <c r="F258" s="16"/>
      <c r="G258" s="28">
        <v>0</v>
      </c>
      <c r="H258" s="28">
        <v>42672</v>
      </c>
      <c r="I258" s="28">
        <f t="shared" si="3"/>
        <v>1553427.3900000001</v>
      </c>
    </row>
    <row r="259" spans="1:9" x14ac:dyDescent="0.3">
      <c r="A259" s="16" t="s">
        <v>303</v>
      </c>
      <c r="B259" s="16" t="s">
        <v>304</v>
      </c>
      <c r="C259" s="25">
        <v>45908</v>
      </c>
      <c r="D259" s="16" t="s">
        <v>305</v>
      </c>
      <c r="E259" s="16" t="s">
        <v>311</v>
      </c>
      <c r="F259" s="16"/>
      <c r="G259" s="28">
        <v>0</v>
      </c>
      <c r="H259" s="28">
        <v>380</v>
      </c>
      <c r="I259" s="28">
        <f t="shared" si="3"/>
        <v>1553047.3900000001</v>
      </c>
    </row>
    <row r="260" spans="1:9" x14ac:dyDescent="0.3">
      <c r="A260" s="16" t="s">
        <v>303</v>
      </c>
      <c r="B260" s="16" t="s">
        <v>304</v>
      </c>
      <c r="C260" s="25">
        <v>45908</v>
      </c>
      <c r="D260" s="16" t="s">
        <v>305</v>
      </c>
      <c r="E260" s="16" t="s">
        <v>311</v>
      </c>
      <c r="F260" s="16"/>
      <c r="G260" s="28">
        <v>0</v>
      </c>
      <c r="H260" s="28">
        <v>692</v>
      </c>
      <c r="I260" s="28">
        <f t="shared" ref="I260:I323" si="4">I259+G260-H260</f>
        <v>1552355.3900000001</v>
      </c>
    </row>
    <row r="261" spans="1:9" x14ac:dyDescent="0.3">
      <c r="A261" s="16" t="s">
        <v>303</v>
      </c>
      <c r="B261" s="16" t="s">
        <v>304</v>
      </c>
      <c r="C261" s="25">
        <v>45908</v>
      </c>
      <c r="D261" s="16" t="s">
        <v>305</v>
      </c>
      <c r="E261" s="16" t="s">
        <v>311</v>
      </c>
      <c r="F261" s="16"/>
      <c r="G261" s="28">
        <v>0</v>
      </c>
      <c r="H261" s="28">
        <v>49</v>
      </c>
      <c r="I261" s="28">
        <f t="shared" si="4"/>
        <v>1552306.3900000001</v>
      </c>
    </row>
    <row r="262" spans="1:9" x14ac:dyDescent="0.3">
      <c r="A262" s="16" t="s">
        <v>303</v>
      </c>
      <c r="B262" s="16" t="s">
        <v>304</v>
      </c>
      <c r="C262" s="25">
        <v>45909</v>
      </c>
      <c r="D262" s="16" t="s">
        <v>305</v>
      </c>
      <c r="E262" s="16" t="s">
        <v>339</v>
      </c>
      <c r="F262" s="16"/>
      <c r="G262" s="28">
        <v>0</v>
      </c>
      <c r="H262" s="28">
        <v>25896</v>
      </c>
      <c r="I262" s="28">
        <f t="shared" si="4"/>
        <v>1526410.3900000001</v>
      </c>
    </row>
    <row r="263" spans="1:9" x14ac:dyDescent="0.3">
      <c r="A263" s="16" t="s">
        <v>303</v>
      </c>
      <c r="B263" s="16" t="s">
        <v>304</v>
      </c>
      <c r="C263" s="25">
        <v>45910</v>
      </c>
      <c r="D263" s="16" t="s">
        <v>305</v>
      </c>
      <c r="E263" s="16" t="s">
        <v>339</v>
      </c>
      <c r="F263" s="16"/>
      <c r="G263" s="28">
        <v>0</v>
      </c>
      <c r="H263" s="28">
        <v>85795</v>
      </c>
      <c r="I263" s="28">
        <f t="shared" si="4"/>
        <v>1440615.3900000001</v>
      </c>
    </row>
    <row r="264" spans="1:9" x14ac:dyDescent="0.3">
      <c r="A264" s="16" t="s">
        <v>303</v>
      </c>
      <c r="B264" s="16" t="s">
        <v>304</v>
      </c>
      <c r="C264" s="25">
        <v>45911</v>
      </c>
      <c r="D264" s="16" t="s">
        <v>308</v>
      </c>
      <c r="E264" s="16" t="s">
        <v>309</v>
      </c>
      <c r="F264" s="16" t="s">
        <v>380</v>
      </c>
      <c r="G264" s="28">
        <v>408970</v>
      </c>
      <c r="H264" s="28">
        <v>0</v>
      </c>
      <c r="I264" s="28">
        <f t="shared" si="4"/>
        <v>1849585.3900000001</v>
      </c>
    </row>
    <row r="265" spans="1:9" x14ac:dyDescent="0.3">
      <c r="A265" s="16" t="s">
        <v>303</v>
      </c>
      <c r="B265" s="16" t="s">
        <v>304</v>
      </c>
      <c r="C265" s="25">
        <v>45911</v>
      </c>
      <c r="D265" s="16" t="s">
        <v>305</v>
      </c>
      <c r="E265" s="16" t="s">
        <v>311</v>
      </c>
      <c r="F265" s="16"/>
      <c r="G265" s="28">
        <v>0</v>
      </c>
      <c r="H265" s="28">
        <v>12253</v>
      </c>
      <c r="I265" s="28">
        <f t="shared" si="4"/>
        <v>1837332.3900000001</v>
      </c>
    </row>
    <row r="266" spans="1:9" x14ac:dyDescent="0.3">
      <c r="A266" s="16" t="s">
        <v>303</v>
      </c>
      <c r="B266" s="16" t="s">
        <v>304</v>
      </c>
      <c r="C266" s="25">
        <v>45912</v>
      </c>
      <c r="D266" s="16" t="s">
        <v>305</v>
      </c>
      <c r="E266" s="16" t="s">
        <v>311</v>
      </c>
      <c r="F266" s="16"/>
      <c r="G266" s="28">
        <v>0</v>
      </c>
      <c r="H266" s="28">
        <v>84</v>
      </c>
      <c r="I266" s="28">
        <f t="shared" si="4"/>
        <v>1837248.3900000001</v>
      </c>
    </row>
    <row r="267" spans="1:9" x14ac:dyDescent="0.3">
      <c r="A267" s="16" t="s">
        <v>303</v>
      </c>
      <c r="B267" s="16" t="s">
        <v>304</v>
      </c>
      <c r="C267" s="25">
        <v>45926</v>
      </c>
      <c r="D267" s="16" t="s">
        <v>305</v>
      </c>
      <c r="E267" s="16" t="s">
        <v>311</v>
      </c>
      <c r="F267" s="16"/>
      <c r="G267" s="28">
        <v>0</v>
      </c>
      <c r="H267" s="28">
        <v>316</v>
      </c>
      <c r="I267" s="28">
        <f t="shared" si="4"/>
        <v>1836932.3900000001</v>
      </c>
    </row>
    <row r="268" spans="1:9" x14ac:dyDescent="0.3">
      <c r="A268" s="16" t="s">
        <v>303</v>
      </c>
      <c r="B268" s="16" t="s">
        <v>304</v>
      </c>
      <c r="C268" s="25">
        <v>45926</v>
      </c>
      <c r="D268" s="16" t="s">
        <v>305</v>
      </c>
      <c r="E268" s="16" t="s">
        <v>311</v>
      </c>
      <c r="F268" s="16"/>
      <c r="G268" s="28">
        <v>0</v>
      </c>
      <c r="H268" s="28">
        <v>3949</v>
      </c>
      <c r="I268" s="28">
        <f t="shared" si="4"/>
        <v>1832983.3900000001</v>
      </c>
    </row>
    <row r="269" spans="1:9" x14ac:dyDescent="0.3">
      <c r="A269" s="16" t="s">
        <v>303</v>
      </c>
      <c r="B269" s="16" t="s">
        <v>304</v>
      </c>
      <c r="C269" s="25">
        <v>45926</v>
      </c>
      <c r="D269" s="16" t="s">
        <v>305</v>
      </c>
      <c r="E269" s="16" t="s">
        <v>311</v>
      </c>
      <c r="F269" s="16"/>
      <c r="G269" s="28">
        <v>0</v>
      </c>
      <c r="H269" s="28">
        <v>13737</v>
      </c>
      <c r="I269" s="28">
        <f t="shared" si="4"/>
        <v>1819246.3900000001</v>
      </c>
    </row>
    <row r="270" spans="1:9" x14ac:dyDescent="0.3">
      <c r="A270" s="16" t="s">
        <v>303</v>
      </c>
      <c r="B270" s="16" t="s">
        <v>304</v>
      </c>
      <c r="C270" s="25">
        <v>45931</v>
      </c>
      <c r="D270" s="16" t="s">
        <v>305</v>
      </c>
      <c r="E270" s="16" t="s">
        <v>306</v>
      </c>
      <c r="F270" s="16"/>
      <c r="G270" s="28">
        <v>0</v>
      </c>
      <c r="H270" s="28">
        <v>14224</v>
      </c>
      <c r="I270" s="28">
        <f t="shared" si="4"/>
        <v>1805022.3900000001</v>
      </c>
    </row>
    <row r="271" spans="1:9" x14ac:dyDescent="0.3">
      <c r="A271" s="16" t="s">
        <v>303</v>
      </c>
      <c r="B271" s="16" t="s">
        <v>304</v>
      </c>
      <c r="C271" s="25">
        <v>45931</v>
      </c>
      <c r="D271" s="16" t="s">
        <v>305</v>
      </c>
      <c r="E271" s="16" t="s">
        <v>306</v>
      </c>
      <c r="F271" s="16"/>
      <c r="G271" s="28">
        <v>0</v>
      </c>
      <c r="H271" s="28">
        <v>28448</v>
      </c>
      <c r="I271" s="28">
        <f t="shared" si="4"/>
        <v>1776574.3900000001</v>
      </c>
    </row>
    <row r="272" spans="1:9" x14ac:dyDescent="0.3">
      <c r="A272" s="16" t="s">
        <v>303</v>
      </c>
      <c r="B272" s="16" t="s">
        <v>304</v>
      </c>
      <c r="C272" s="25">
        <v>45931</v>
      </c>
      <c r="D272" s="16" t="s">
        <v>337</v>
      </c>
      <c r="E272" s="16" t="s">
        <v>311</v>
      </c>
      <c r="F272" s="16"/>
      <c r="G272" s="28">
        <v>39002.61</v>
      </c>
      <c r="H272" s="28">
        <v>0</v>
      </c>
      <c r="I272" s="28">
        <f t="shared" si="4"/>
        <v>1815577.0000000002</v>
      </c>
    </row>
    <row r="273" spans="1:9" x14ac:dyDescent="0.3">
      <c r="A273" s="16" t="s">
        <v>303</v>
      </c>
      <c r="B273" s="16" t="s">
        <v>304</v>
      </c>
      <c r="C273" s="25">
        <v>45931</v>
      </c>
      <c r="D273" s="16" t="s">
        <v>305</v>
      </c>
      <c r="E273" s="16" t="s">
        <v>306</v>
      </c>
      <c r="F273" s="16" t="s">
        <v>381</v>
      </c>
      <c r="G273" s="28">
        <v>0</v>
      </c>
      <c r="H273" s="28">
        <v>89303</v>
      </c>
      <c r="I273" s="28">
        <f t="shared" si="4"/>
        <v>1726274.0000000002</v>
      </c>
    </row>
    <row r="274" spans="1:9" x14ac:dyDescent="0.3">
      <c r="A274" s="16" t="s">
        <v>303</v>
      </c>
      <c r="B274" s="16" t="s">
        <v>304</v>
      </c>
      <c r="C274" s="25">
        <v>45931</v>
      </c>
      <c r="D274" s="16" t="s">
        <v>305</v>
      </c>
      <c r="E274" s="16" t="s">
        <v>306</v>
      </c>
      <c r="F274" s="16" t="s">
        <v>382</v>
      </c>
      <c r="G274" s="28">
        <v>0</v>
      </c>
      <c r="H274" s="28">
        <v>45167</v>
      </c>
      <c r="I274" s="28">
        <f t="shared" si="4"/>
        <v>1681107.0000000002</v>
      </c>
    </row>
    <row r="275" spans="1:9" x14ac:dyDescent="0.3">
      <c r="A275" s="16" t="s">
        <v>303</v>
      </c>
      <c r="B275" s="16" t="s">
        <v>304</v>
      </c>
      <c r="C275" s="25">
        <v>45931</v>
      </c>
      <c r="D275" s="16" t="s">
        <v>305</v>
      </c>
      <c r="E275" s="16" t="s">
        <v>306</v>
      </c>
      <c r="F275" s="16" t="s">
        <v>382</v>
      </c>
      <c r="G275" s="28">
        <v>0</v>
      </c>
      <c r="H275" s="28">
        <v>75240</v>
      </c>
      <c r="I275" s="28">
        <f t="shared" si="4"/>
        <v>1605867.0000000002</v>
      </c>
    </row>
    <row r="276" spans="1:9" x14ac:dyDescent="0.3">
      <c r="A276" s="16" t="s">
        <v>303</v>
      </c>
      <c r="B276" s="16" t="s">
        <v>304</v>
      </c>
      <c r="C276" s="25">
        <v>45931</v>
      </c>
      <c r="D276" s="16" t="s">
        <v>305</v>
      </c>
      <c r="E276" s="16" t="s">
        <v>306</v>
      </c>
      <c r="F276" s="16" t="s">
        <v>382</v>
      </c>
      <c r="G276" s="28">
        <v>0</v>
      </c>
      <c r="H276" s="28">
        <v>118800</v>
      </c>
      <c r="I276" s="28">
        <f t="shared" si="4"/>
        <v>1487067.0000000002</v>
      </c>
    </row>
    <row r="277" spans="1:9" x14ac:dyDescent="0.3">
      <c r="A277" s="16" t="s">
        <v>303</v>
      </c>
      <c r="B277" s="16" t="s">
        <v>304</v>
      </c>
      <c r="C277" s="25">
        <v>45931</v>
      </c>
      <c r="D277" s="16" t="s">
        <v>305</v>
      </c>
      <c r="E277" s="16" t="s">
        <v>306</v>
      </c>
      <c r="F277" s="16" t="s">
        <v>383</v>
      </c>
      <c r="G277" s="28">
        <v>0</v>
      </c>
      <c r="H277" s="28">
        <v>17960</v>
      </c>
      <c r="I277" s="28">
        <f t="shared" si="4"/>
        <v>1469107.0000000002</v>
      </c>
    </row>
    <row r="278" spans="1:9" x14ac:dyDescent="0.3">
      <c r="A278" s="16" t="s">
        <v>303</v>
      </c>
      <c r="B278" s="16" t="s">
        <v>304</v>
      </c>
      <c r="C278" s="25">
        <v>45931</v>
      </c>
      <c r="D278" s="16" t="s">
        <v>305</v>
      </c>
      <c r="E278" s="16" t="s">
        <v>306</v>
      </c>
      <c r="F278" s="16" t="s">
        <v>384</v>
      </c>
      <c r="G278" s="28">
        <v>0</v>
      </c>
      <c r="H278" s="28">
        <v>87560</v>
      </c>
      <c r="I278" s="28">
        <f t="shared" si="4"/>
        <v>1381547.0000000002</v>
      </c>
    </row>
    <row r="279" spans="1:9" x14ac:dyDescent="0.3">
      <c r="A279" s="16" t="s">
        <v>303</v>
      </c>
      <c r="B279" s="16" t="s">
        <v>304</v>
      </c>
      <c r="C279" s="25">
        <v>45931</v>
      </c>
      <c r="D279" s="16" t="s">
        <v>305</v>
      </c>
      <c r="E279" s="16" t="s">
        <v>306</v>
      </c>
      <c r="F279" s="16" t="s">
        <v>382</v>
      </c>
      <c r="G279" s="28">
        <v>0</v>
      </c>
      <c r="H279" s="28">
        <v>144430</v>
      </c>
      <c r="I279" s="28">
        <f t="shared" si="4"/>
        <v>1237117.0000000002</v>
      </c>
    </row>
    <row r="280" spans="1:9" x14ac:dyDescent="0.3">
      <c r="A280" s="16" t="s">
        <v>303</v>
      </c>
      <c r="B280" s="16" t="s">
        <v>304</v>
      </c>
      <c r="C280" s="25">
        <v>45931</v>
      </c>
      <c r="D280" s="16" t="s">
        <v>305</v>
      </c>
      <c r="E280" s="16" t="s">
        <v>306</v>
      </c>
      <c r="F280" s="16" t="s">
        <v>385</v>
      </c>
      <c r="G280" s="28">
        <v>0</v>
      </c>
      <c r="H280" s="28">
        <v>39000</v>
      </c>
      <c r="I280" s="28">
        <f t="shared" si="4"/>
        <v>1198117.0000000002</v>
      </c>
    </row>
    <row r="281" spans="1:9" x14ac:dyDescent="0.3">
      <c r="A281" s="16" t="s">
        <v>303</v>
      </c>
      <c r="B281" s="16" t="s">
        <v>304</v>
      </c>
      <c r="C281" s="25">
        <v>45931</v>
      </c>
      <c r="D281" s="16" t="s">
        <v>305</v>
      </c>
      <c r="E281" s="16" t="s">
        <v>306</v>
      </c>
      <c r="F281" s="16" t="s">
        <v>386</v>
      </c>
      <c r="G281" s="28">
        <v>0</v>
      </c>
      <c r="H281" s="28">
        <v>32853</v>
      </c>
      <c r="I281" s="28">
        <f t="shared" si="4"/>
        <v>1165264.0000000002</v>
      </c>
    </row>
    <row r="282" spans="1:9" x14ac:dyDescent="0.3">
      <c r="A282" s="16" t="s">
        <v>303</v>
      </c>
      <c r="B282" s="16" t="s">
        <v>304</v>
      </c>
      <c r="C282" s="25">
        <v>45931</v>
      </c>
      <c r="D282" s="16" t="s">
        <v>305</v>
      </c>
      <c r="E282" s="16" t="s">
        <v>306</v>
      </c>
      <c r="F282" s="16" t="s">
        <v>387</v>
      </c>
      <c r="G282" s="28">
        <v>0</v>
      </c>
      <c r="H282" s="28">
        <v>32980</v>
      </c>
      <c r="I282" s="28">
        <f t="shared" si="4"/>
        <v>1132284.0000000002</v>
      </c>
    </row>
    <row r="283" spans="1:9" x14ac:dyDescent="0.3">
      <c r="A283" s="16" t="s">
        <v>303</v>
      </c>
      <c r="B283" s="16" t="s">
        <v>304</v>
      </c>
      <c r="C283" s="25">
        <v>45931</v>
      </c>
      <c r="D283" s="16" t="s">
        <v>305</v>
      </c>
      <c r="E283" s="16" t="s">
        <v>306</v>
      </c>
      <c r="F283" s="16" t="s">
        <v>388</v>
      </c>
      <c r="G283" s="28">
        <v>0</v>
      </c>
      <c r="H283" s="28">
        <v>140000</v>
      </c>
      <c r="I283" s="28">
        <f t="shared" si="4"/>
        <v>992284.00000000023</v>
      </c>
    </row>
    <row r="284" spans="1:9" x14ac:dyDescent="0.3">
      <c r="A284" s="16" t="s">
        <v>303</v>
      </c>
      <c r="B284" s="16" t="s">
        <v>304</v>
      </c>
      <c r="C284" s="25">
        <v>45932</v>
      </c>
      <c r="D284" s="16" t="s">
        <v>312</v>
      </c>
      <c r="E284" s="16" t="s">
        <v>376</v>
      </c>
      <c r="F284" s="16" t="s">
        <v>389</v>
      </c>
      <c r="G284" s="28">
        <v>0</v>
      </c>
      <c r="H284" s="28">
        <v>657551</v>
      </c>
      <c r="I284" s="28">
        <f t="shared" si="4"/>
        <v>334733.00000000023</v>
      </c>
    </row>
    <row r="285" spans="1:9" x14ac:dyDescent="0.3">
      <c r="A285" s="16" t="s">
        <v>303</v>
      </c>
      <c r="B285" s="16" t="s">
        <v>304</v>
      </c>
      <c r="C285" s="25">
        <v>45932</v>
      </c>
      <c r="D285" s="16" t="s">
        <v>312</v>
      </c>
      <c r="E285" s="16" t="s">
        <v>376</v>
      </c>
      <c r="F285" s="16" t="s">
        <v>390</v>
      </c>
      <c r="G285" s="28">
        <v>0</v>
      </c>
      <c r="H285" s="28">
        <v>721055</v>
      </c>
      <c r="I285" s="28">
        <f t="shared" si="4"/>
        <v>-386321.99999999977</v>
      </c>
    </row>
    <row r="286" spans="1:9" x14ac:dyDescent="0.3">
      <c r="A286" s="16" t="s">
        <v>303</v>
      </c>
      <c r="B286" s="16" t="s">
        <v>304</v>
      </c>
      <c r="C286" s="25">
        <v>45936</v>
      </c>
      <c r="D286" s="16" t="s">
        <v>312</v>
      </c>
      <c r="E286" s="16" t="s">
        <v>376</v>
      </c>
      <c r="F286" s="16" t="s">
        <v>391</v>
      </c>
      <c r="G286" s="28">
        <v>0</v>
      </c>
      <c r="H286" s="28">
        <v>409252</v>
      </c>
      <c r="I286" s="28">
        <f t="shared" si="4"/>
        <v>-795573.99999999977</v>
      </c>
    </row>
    <row r="287" spans="1:9" x14ac:dyDescent="0.3">
      <c r="A287" s="16" t="s">
        <v>303</v>
      </c>
      <c r="B287" s="16" t="s">
        <v>304</v>
      </c>
      <c r="C287" s="25">
        <v>45944</v>
      </c>
      <c r="D287" s="16" t="s">
        <v>308</v>
      </c>
      <c r="E287" s="16" t="s">
        <v>309</v>
      </c>
      <c r="F287" s="16" t="s">
        <v>347</v>
      </c>
      <c r="G287" s="28">
        <v>925857</v>
      </c>
      <c r="H287" s="28">
        <v>0</v>
      </c>
      <c r="I287" s="28">
        <f t="shared" si="4"/>
        <v>130283.00000000023</v>
      </c>
    </row>
    <row r="288" spans="1:9" x14ac:dyDescent="0.3">
      <c r="A288" s="16" t="s">
        <v>303</v>
      </c>
      <c r="B288" s="16" t="s">
        <v>304</v>
      </c>
      <c r="C288" s="25">
        <v>45952</v>
      </c>
      <c r="D288" s="16" t="s">
        <v>305</v>
      </c>
      <c r="E288" s="16" t="s">
        <v>339</v>
      </c>
      <c r="F288" s="16"/>
      <c r="G288" s="28">
        <v>0</v>
      </c>
      <c r="H288" s="28">
        <v>463118.73</v>
      </c>
      <c r="I288" s="28">
        <f t="shared" si="4"/>
        <v>-332835.72999999975</v>
      </c>
    </row>
    <row r="289" spans="1:9" x14ac:dyDescent="0.3">
      <c r="A289" s="16" t="s">
        <v>303</v>
      </c>
      <c r="B289" s="16" t="s">
        <v>304</v>
      </c>
      <c r="C289" s="25">
        <v>45952</v>
      </c>
      <c r="D289" s="16" t="s">
        <v>305</v>
      </c>
      <c r="E289" s="16" t="s">
        <v>339</v>
      </c>
      <c r="F289" s="16"/>
      <c r="G289" s="28">
        <v>0</v>
      </c>
      <c r="H289" s="28">
        <v>303410.65000000002</v>
      </c>
      <c r="I289" s="28">
        <f t="shared" si="4"/>
        <v>-636246.37999999977</v>
      </c>
    </row>
    <row r="290" spans="1:9" x14ac:dyDescent="0.3">
      <c r="A290" s="16" t="s">
        <v>303</v>
      </c>
      <c r="B290" s="16" t="s">
        <v>304</v>
      </c>
      <c r="C290" s="25">
        <v>45952</v>
      </c>
      <c r="D290" s="16" t="s">
        <v>305</v>
      </c>
      <c r="E290" s="16" t="s">
        <v>339</v>
      </c>
      <c r="F290" s="16"/>
      <c r="G290" s="28">
        <v>0</v>
      </c>
      <c r="H290" s="28">
        <v>36383.01</v>
      </c>
      <c r="I290" s="28">
        <f t="shared" si="4"/>
        <v>-672629.38999999978</v>
      </c>
    </row>
    <row r="291" spans="1:9" x14ac:dyDescent="0.3">
      <c r="A291" s="16" t="s">
        <v>303</v>
      </c>
      <c r="B291" s="16" t="s">
        <v>304</v>
      </c>
      <c r="C291" s="25">
        <v>45952</v>
      </c>
      <c r="D291" s="16" t="s">
        <v>305</v>
      </c>
      <c r="E291" s="16" t="s">
        <v>339</v>
      </c>
      <c r="F291" s="16"/>
      <c r="G291" s="28">
        <v>0</v>
      </c>
      <c r="H291" s="28">
        <v>40342.17</v>
      </c>
      <c r="I291" s="28">
        <f t="shared" si="4"/>
        <v>-712971.55999999982</v>
      </c>
    </row>
    <row r="292" spans="1:9" x14ac:dyDescent="0.3">
      <c r="A292" s="16" t="s">
        <v>303</v>
      </c>
      <c r="B292" s="16" t="s">
        <v>304</v>
      </c>
      <c r="C292" s="25">
        <v>45953</v>
      </c>
      <c r="D292" s="16" t="s">
        <v>305</v>
      </c>
      <c r="E292" s="16" t="s">
        <v>311</v>
      </c>
      <c r="F292" s="16"/>
      <c r="G292" s="28">
        <v>0</v>
      </c>
      <c r="H292" s="28">
        <v>1042</v>
      </c>
      <c r="I292" s="28">
        <f t="shared" si="4"/>
        <v>-714013.55999999982</v>
      </c>
    </row>
    <row r="293" spans="1:9" x14ac:dyDescent="0.3">
      <c r="A293" s="16" t="s">
        <v>303</v>
      </c>
      <c r="B293" s="16" t="s">
        <v>304</v>
      </c>
      <c r="C293" s="25">
        <v>45953</v>
      </c>
      <c r="D293" s="16" t="s">
        <v>305</v>
      </c>
      <c r="E293" s="16" t="s">
        <v>311</v>
      </c>
      <c r="F293" s="16"/>
      <c r="G293" s="28">
        <v>0</v>
      </c>
      <c r="H293" s="28">
        <v>11908</v>
      </c>
      <c r="I293" s="28">
        <f t="shared" si="4"/>
        <v>-725921.55999999982</v>
      </c>
    </row>
    <row r="294" spans="1:9" x14ac:dyDescent="0.3">
      <c r="A294" s="16" t="s">
        <v>303</v>
      </c>
      <c r="B294" s="16" t="s">
        <v>304</v>
      </c>
      <c r="C294" s="25">
        <v>45953</v>
      </c>
      <c r="D294" s="16" t="s">
        <v>305</v>
      </c>
      <c r="E294" s="16" t="s">
        <v>339</v>
      </c>
      <c r="F294" s="16"/>
      <c r="G294" s="28">
        <v>0</v>
      </c>
      <c r="H294" s="28">
        <v>179513.27</v>
      </c>
      <c r="I294" s="28">
        <f t="shared" si="4"/>
        <v>-905434.82999999984</v>
      </c>
    </row>
    <row r="295" spans="1:9" x14ac:dyDescent="0.3">
      <c r="A295" s="16" t="s">
        <v>303</v>
      </c>
      <c r="B295" s="16" t="s">
        <v>304</v>
      </c>
      <c r="C295" s="25">
        <v>45954</v>
      </c>
      <c r="D295" s="16" t="s">
        <v>305</v>
      </c>
      <c r="E295" s="16" t="s">
        <v>339</v>
      </c>
      <c r="F295" s="16"/>
      <c r="G295" s="28">
        <v>0</v>
      </c>
      <c r="H295" s="28">
        <v>6755</v>
      </c>
      <c r="I295" s="28">
        <f t="shared" si="4"/>
        <v>-912189.82999999984</v>
      </c>
    </row>
    <row r="296" spans="1:9" x14ac:dyDescent="0.3">
      <c r="A296" s="16" t="s">
        <v>303</v>
      </c>
      <c r="B296" s="16" t="s">
        <v>304</v>
      </c>
      <c r="C296" s="25">
        <v>45954</v>
      </c>
      <c r="D296" s="16" t="s">
        <v>305</v>
      </c>
      <c r="E296" s="16" t="s">
        <v>311</v>
      </c>
      <c r="F296" s="16"/>
      <c r="G296" s="28">
        <v>0</v>
      </c>
      <c r="H296" s="28">
        <v>7807</v>
      </c>
      <c r="I296" s="28">
        <f t="shared" si="4"/>
        <v>-919996.82999999984</v>
      </c>
    </row>
    <row r="297" spans="1:9" x14ac:dyDescent="0.3">
      <c r="A297" s="16" t="s">
        <v>303</v>
      </c>
      <c r="B297" s="16" t="s">
        <v>304</v>
      </c>
      <c r="C297" s="25">
        <v>45954</v>
      </c>
      <c r="D297" s="16" t="s">
        <v>305</v>
      </c>
      <c r="E297" s="16" t="s">
        <v>311</v>
      </c>
      <c r="F297" s="16"/>
      <c r="G297" s="28">
        <v>0</v>
      </c>
      <c r="H297" s="28">
        <v>4613</v>
      </c>
      <c r="I297" s="28">
        <f t="shared" si="4"/>
        <v>-924609.82999999984</v>
      </c>
    </row>
    <row r="298" spans="1:9" x14ac:dyDescent="0.3">
      <c r="A298" s="16" t="s">
        <v>303</v>
      </c>
      <c r="B298" s="16" t="s">
        <v>304</v>
      </c>
      <c r="C298" s="25">
        <v>45955</v>
      </c>
      <c r="D298" s="16" t="s">
        <v>305</v>
      </c>
      <c r="E298" s="16" t="s">
        <v>339</v>
      </c>
      <c r="F298" s="16"/>
      <c r="G298" s="28">
        <v>0</v>
      </c>
      <c r="H298" s="28">
        <v>28000</v>
      </c>
      <c r="I298" s="28">
        <f t="shared" si="4"/>
        <v>-952609.82999999984</v>
      </c>
    </row>
    <row r="299" spans="1:9" x14ac:dyDescent="0.3">
      <c r="A299" s="16" t="s">
        <v>303</v>
      </c>
      <c r="B299" s="16" t="s">
        <v>304</v>
      </c>
      <c r="C299" s="25">
        <v>45956</v>
      </c>
      <c r="D299" s="16" t="s">
        <v>305</v>
      </c>
      <c r="E299" s="16" t="s">
        <v>339</v>
      </c>
      <c r="F299" s="16"/>
      <c r="G299" s="28">
        <v>0</v>
      </c>
      <c r="H299" s="28">
        <v>23745.59</v>
      </c>
      <c r="I299" s="28">
        <f t="shared" si="4"/>
        <v>-976355.41999999981</v>
      </c>
    </row>
    <row r="300" spans="1:9" x14ac:dyDescent="0.3">
      <c r="A300" s="16" t="s">
        <v>303</v>
      </c>
      <c r="B300" s="16" t="s">
        <v>304</v>
      </c>
      <c r="C300" s="25">
        <v>45956</v>
      </c>
      <c r="D300" s="16" t="s">
        <v>305</v>
      </c>
      <c r="E300" s="16" t="s">
        <v>339</v>
      </c>
      <c r="F300" s="16"/>
      <c r="G300" s="28">
        <v>0</v>
      </c>
      <c r="H300" s="28">
        <v>19542.5</v>
      </c>
      <c r="I300" s="28">
        <f t="shared" si="4"/>
        <v>-995897.91999999981</v>
      </c>
    </row>
    <row r="301" spans="1:9" x14ac:dyDescent="0.3">
      <c r="A301" s="16" t="s">
        <v>303</v>
      </c>
      <c r="B301" s="16" t="s">
        <v>304</v>
      </c>
      <c r="C301" s="25">
        <v>45957</v>
      </c>
      <c r="D301" s="16" t="s">
        <v>305</v>
      </c>
      <c r="E301" s="16" t="s">
        <v>311</v>
      </c>
      <c r="F301" s="16"/>
      <c r="G301" s="28">
        <v>0</v>
      </c>
      <c r="H301" s="28">
        <v>501</v>
      </c>
      <c r="I301" s="28">
        <f t="shared" si="4"/>
        <v>-996398.91999999981</v>
      </c>
    </row>
    <row r="302" spans="1:9" x14ac:dyDescent="0.3">
      <c r="A302" s="16" t="s">
        <v>303</v>
      </c>
      <c r="B302" s="16" t="s">
        <v>304</v>
      </c>
      <c r="C302" s="25">
        <v>45957</v>
      </c>
      <c r="D302" s="16" t="s">
        <v>305</v>
      </c>
      <c r="E302" s="16" t="s">
        <v>311</v>
      </c>
      <c r="F302" s="16"/>
      <c r="G302" s="28">
        <v>0</v>
      </c>
      <c r="H302" s="28">
        <v>608</v>
      </c>
      <c r="I302" s="28">
        <f t="shared" si="4"/>
        <v>-997006.91999999981</v>
      </c>
    </row>
    <row r="303" spans="1:9" x14ac:dyDescent="0.3">
      <c r="A303" s="16" t="s">
        <v>303</v>
      </c>
      <c r="B303" s="16" t="s">
        <v>304</v>
      </c>
      <c r="C303" s="25">
        <v>45957</v>
      </c>
      <c r="D303" s="16" t="s">
        <v>305</v>
      </c>
      <c r="E303" s="16" t="s">
        <v>311</v>
      </c>
      <c r="F303" s="16"/>
      <c r="G303" s="28">
        <v>0</v>
      </c>
      <c r="H303" s="28">
        <v>936</v>
      </c>
      <c r="I303" s="28">
        <f t="shared" si="4"/>
        <v>-997942.91999999981</v>
      </c>
    </row>
    <row r="304" spans="1:9" x14ac:dyDescent="0.3">
      <c r="A304" s="16" t="s">
        <v>303</v>
      </c>
      <c r="B304" s="16" t="s">
        <v>304</v>
      </c>
      <c r="C304" s="25">
        <v>45957</v>
      </c>
      <c r="D304" s="16" t="s">
        <v>305</v>
      </c>
      <c r="E304" s="16" t="s">
        <v>339</v>
      </c>
      <c r="F304" s="16"/>
      <c r="G304" s="28">
        <v>0</v>
      </c>
      <c r="H304" s="28">
        <v>1679.36</v>
      </c>
      <c r="I304" s="28">
        <f t="shared" si="4"/>
        <v>-999622.2799999998</v>
      </c>
    </row>
    <row r="305" spans="1:9" x14ac:dyDescent="0.3">
      <c r="A305" s="16" t="s">
        <v>303</v>
      </c>
      <c r="B305" s="16" t="s">
        <v>304</v>
      </c>
      <c r="C305" s="25">
        <v>45957</v>
      </c>
      <c r="D305" s="16" t="s">
        <v>305</v>
      </c>
      <c r="E305" s="16" t="s">
        <v>339</v>
      </c>
      <c r="F305" s="16"/>
      <c r="G305" s="28">
        <v>0</v>
      </c>
      <c r="H305" s="28">
        <v>1407.29</v>
      </c>
      <c r="I305" s="28">
        <f t="shared" si="4"/>
        <v>-1001029.5699999998</v>
      </c>
    </row>
    <row r="306" spans="1:9" x14ac:dyDescent="0.3">
      <c r="A306" s="16" t="s">
        <v>303</v>
      </c>
      <c r="B306" s="16" t="s">
        <v>304</v>
      </c>
      <c r="C306" s="25">
        <v>45958</v>
      </c>
      <c r="D306" s="16" t="s">
        <v>305</v>
      </c>
      <c r="E306" s="16" t="s">
        <v>311</v>
      </c>
      <c r="F306" s="16"/>
      <c r="G306" s="28">
        <v>0</v>
      </c>
      <c r="H306" s="28">
        <v>39</v>
      </c>
      <c r="I306" s="28">
        <f t="shared" si="4"/>
        <v>-1001068.5699999998</v>
      </c>
    </row>
    <row r="307" spans="1:9" x14ac:dyDescent="0.3">
      <c r="A307" s="16" t="s">
        <v>303</v>
      </c>
      <c r="B307" s="16" t="s">
        <v>304</v>
      </c>
      <c r="C307" s="25">
        <v>45958</v>
      </c>
      <c r="D307" s="16" t="s">
        <v>305</v>
      </c>
      <c r="E307" s="16" t="s">
        <v>311</v>
      </c>
      <c r="F307" s="16"/>
      <c r="G307" s="28">
        <v>0</v>
      </c>
      <c r="H307" s="28">
        <v>3958</v>
      </c>
      <c r="I307" s="28">
        <f t="shared" si="4"/>
        <v>-1005026.5699999998</v>
      </c>
    </row>
    <row r="308" spans="1:9" x14ac:dyDescent="0.3">
      <c r="A308" s="16" t="s">
        <v>303</v>
      </c>
      <c r="B308" s="16" t="s">
        <v>304</v>
      </c>
      <c r="C308" s="25">
        <v>45958</v>
      </c>
      <c r="D308" s="16" t="s">
        <v>305</v>
      </c>
      <c r="E308" s="16" t="s">
        <v>311</v>
      </c>
      <c r="F308" s="16"/>
      <c r="G308" s="28">
        <v>0</v>
      </c>
      <c r="H308" s="28">
        <v>89</v>
      </c>
      <c r="I308" s="28">
        <f t="shared" si="4"/>
        <v>-1005115.5699999998</v>
      </c>
    </row>
    <row r="309" spans="1:9" x14ac:dyDescent="0.3">
      <c r="A309" s="16" t="s">
        <v>303</v>
      </c>
      <c r="B309" s="16" t="s">
        <v>304</v>
      </c>
      <c r="C309" s="25">
        <v>45958</v>
      </c>
      <c r="D309" s="16" t="s">
        <v>305</v>
      </c>
      <c r="E309" s="16" t="s">
        <v>311</v>
      </c>
      <c r="F309" s="16"/>
      <c r="G309" s="28">
        <v>0</v>
      </c>
      <c r="H309" s="28">
        <v>39</v>
      </c>
      <c r="I309" s="28">
        <f t="shared" si="4"/>
        <v>-1005154.5699999998</v>
      </c>
    </row>
    <row r="310" spans="1:9" x14ac:dyDescent="0.3">
      <c r="A310" s="16" t="s">
        <v>303</v>
      </c>
      <c r="B310" s="16" t="s">
        <v>304</v>
      </c>
      <c r="C310" s="25">
        <v>45958</v>
      </c>
      <c r="D310" s="16" t="s">
        <v>305</v>
      </c>
      <c r="E310" s="16" t="s">
        <v>311</v>
      </c>
      <c r="F310" s="16"/>
      <c r="G310" s="28">
        <v>0</v>
      </c>
      <c r="H310" s="28">
        <v>3468</v>
      </c>
      <c r="I310" s="28">
        <f t="shared" si="4"/>
        <v>-1008622.5699999998</v>
      </c>
    </row>
    <row r="311" spans="1:9" x14ac:dyDescent="0.3">
      <c r="A311" s="16" t="s">
        <v>303</v>
      </c>
      <c r="B311" s="16" t="s">
        <v>304</v>
      </c>
      <c r="C311" s="25">
        <v>45961</v>
      </c>
      <c r="D311" s="16" t="s">
        <v>305</v>
      </c>
      <c r="E311" s="16" t="s">
        <v>339</v>
      </c>
      <c r="F311" s="16"/>
      <c r="G311" s="28">
        <v>45167</v>
      </c>
      <c r="H311" s="28">
        <v>0</v>
      </c>
      <c r="I311" s="28">
        <f t="shared" si="4"/>
        <v>-963455.56999999983</v>
      </c>
    </row>
    <row r="312" spans="1:9" x14ac:dyDescent="0.3">
      <c r="A312" s="16" t="s">
        <v>303</v>
      </c>
      <c r="B312" s="16" t="s">
        <v>304</v>
      </c>
      <c r="C312" s="25">
        <v>45961</v>
      </c>
      <c r="D312" s="16" t="s">
        <v>305</v>
      </c>
      <c r="E312" s="16" t="s">
        <v>339</v>
      </c>
      <c r="F312" s="16"/>
      <c r="G312" s="28">
        <v>89303</v>
      </c>
      <c r="H312" s="28">
        <v>0</v>
      </c>
      <c r="I312" s="28">
        <f t="shared" si="4"/>
        <v>-874152.56999999983</v>
      </c>
    </row>
    <row r="313" spans="1:9" x14ac:dyDescent="0.3">
      <c r="A313" s="16" t="s">
        <v>303</v>
      </c>
      <c r="B313" s="16" t="s">
        <v>304</v>
      </c>
      <c r="C313" s="25">
        <v>45961</v>
      </c>
      <c r="D313" s="16" t="s">
        <v>305</v>
      </c>
      <c r="E313" s="16" t="s">
        <v>339</v>
      </c>
      <c r="F313" s="16"/>
      <c r="G313" s="28">
        <v>140000</v>
      </c>
      <c r="H313" s="28">
        <v>0</v>
      </c>
      <c r="I313" s="28">
        <f t="shared" si="4"/>
        <v>-734152.56999999983</v>
      </c>
    </row>
    <row r="314" spans="1:9" x14ac:dyDescent="0.3">
      <c r="A314" s="16" t="s">
        <v>303</v>
      </c>
      <c r="B314" s="16" t="s">
        <v>304</v>
      </c>
      <c r="C314" s="25">
        <v>45961</v>
      </c>
      <c r="D314" s="16" t="s">
        <v>305</v>
      </c>
      <c r="E314" s="16" t="s">
        <v>339</v>
      </c>
      <c r="F314" s="16"/>
      <c r="G314" s="28">
        <v>144430</v>
      </c>
      <c r="H314" s="28">
        <v>0</v>
      </c>
      <c r="I314" s="28">
        <f t="shared" si="4"/>
        <v>-589722.56999999983</v>
      </c>
    </row>
    <row r="315" spans="1:9" x14ac:dyDescent="0.3">
      <c r="A315" s="16" t="s">
        <v>303</v>
      </c>
      <c r="B315" s="16" t="s">
        <v>304</v>
      </c>
      <c r="C315" s="25">
        <v>45961</v>
      </c>
      <c r="D315" s="16" t="s">
        <v>305</v>
      </c>
      <c r="E315" s="16" t="s">
        <v>339</v>
      </c>
      <c r="F315" s="16"/>
      <c r="G315" s="28">
        <v>39000</v>
      </c>
      <c r="H315" s="28">
        <v>0</v>
      </c>
      <c r="I315" s="28">
        <f t="shared" si="4"/>
        <v>-550722.56999999983</v>
      </c>
    </row>
    <row r="316" spans="1:9" x14ac:dyDescent="0.3">
      <c r="A316" s="16" t="s">
        <v>303</v>
      </c>
      <c r="B316" s="16" t="s">
        <v>304</v>
      </c>
      <c r="C316" s="25">
        <v>45961</v>
      </c>
      <c r="D316" s="16" t="s">
        <v>305</v>
      </c>
      <c r="E316" s="16" t="s">
        <v>339</v>
      </c>
      <c r="F316" s="16"/>
      <c r="G316" s="28">
        <v>32853</v>
      </c>
      <c r="H316" s="28">
        <v>0</v>
      </c>
      <c r="I316" s="28">
        <f t="shared" si="4"/>
        <v>-517869.56999999983</v>
      </c>
    </row>
    <row r="317" spans="1:9" x14ac:dyDescent="0.3">
      <c r="A317" s="16" t="s">
        <v>303</v>
      </c>
      <c r="B317" s="16" t="s">
        <v>304</v>
      </c>
      <c r="C317" s="25">
        <v>45961</v>
      </c>
      <c r="D317" s="16" t="s">
        <v>305</v>
      </c>
      <c r="E317" s="16" t="s">
        <v>339</v>
      </c>
      <c r="F317" s="16"/>
      <c r="G317" s="28">
        <v>87560</v>
      </c>
      <c r="H317" s="28">
        <v>0</v>
      </c>
      <c r="I317" s="28">
        <f t="shared" si="4"/>
        <v>-430309.56999999983</v>
      </c>
    </row>
    <row r="318" spans="1:9" x14ac:dyDescent="0.3">
      <c r="A318" s="16" t="s">
        <v>303</v>
      </c>
      <c r="B318" s="16" t="s">
        <v>304</v>
      </c>
      <c r="C318" s="25">
        <v>45961</v>
      </c>
      <c r="D318" s="16" t="s">
        <v>305</v>
      </c>
      <c r="E318" s="16" t="s">
        <v>339</v>
      </c>
      <c r="F318" s="16"/>
      <c r="G318" s="28">
        <v>118800</v>
      </c>
      <c r="H318" s="28">
        <v>0</v>
      </c>
      <c r="I318" s="28">
        <f t="shared" si="4"/>
        <v>-311509.56999999983</v>
      </c>
    </row>
    <row r="319" spans="1:9" x14ac:dyDescent="0.3">
      <c r="A319" s="16" t="s">
        <v>303</v>
      </c>
      <c r="B319" s="16" t="s">
        <v>304</v>
      </c>
      <c r="C319" s="25">
        <v>45961</v>
      </c>
      <c r="D319" s="16" t="s">
        <v>305</v>
      </c>
      <c r="E319" s="16" t="s">
        <v>339</v>
      </c>
      <c r="F319" s="16"/>
      <c r="G319" s="28">
        <v>17960</v>
      </c>
      <c r="H319" s="28">
        <v>0</v>
      </c>
      <c r="I319" s="28">
        <f t="shared" si="4"/>
        <v>-293549.56999999983</v>
      </c>
    </row>
    <row r="320" spans="1:9" x14ac:dyDescent="0.3">
      <c r="A320" s="16" t="s">
        <v>303</v>
      </c>
      <c r="B320" s="16" t="s">
        <v>304</v>
      </c>
      <c r="C320" s="25">
        <v>45961</v>
      </c>
      <c r="D320" s="16" t="s">
        <v>305</v>
      </c>
      <c r="E320" s="16" t="s">
        <v>339</v>
      </c>
      <c r="F320" s="16"/>
      <c r="G320" s="28">
        <v>32980</v>
      </c>
      <c r="H320" s="28">
        <v>0</v>
      </c>
      <c r="I320" s="28">
        <f t="shared" si="4"/>
        <v>-260569.56999999983</v>
      </c>
    </row>
    <row r="321" spans="1:9" x14ac:dyDescent="0.3">
      <c r="A321" s="16" t="s">
        <v>303</v>
      </c>
      <c r="B321" s="16" t="s">
        <v>304</v>
      </c>
      <c r="C321" s="25">
        <v>45961</v>
      </c>
      <c r="D321" s="16" t="s">
        <v>305</v>
      </c>
      <c r="E321" s="16" t="s">
        <v>339</v>
      </c>
      <c r="F321" s="16"/>
      <c r="G321" s="28">
        <v>75240</v>
      </c>
      <c r="H321" s="28">
        <v>0</v>
      </c>
      <c r="I321" s="28">
        <f t="shared" si="4"/>
        <v>-185329.56999999983</v>
      </c>
    </row>
    <row r="322" spans="1:9" x14ac:dyDescent="0.3">
      <c r="A322" s="16" t="s">
        <v>303</v>
      </c>
      <c r="B322" s="16" t="s">
        <v>304</v>
      </c>
      <c r="C322" s="25">
        <v>45962</v>
      </c>
      <c r="D322" s="16" t="s">
        <v>305</v>
      </c>
      <c r="E322" s="16" t="s">
        <v>339</v>
      </c>
      <c r="F322" s="16"/>
      <c r="G322" s="28">
        <v>0</v>
      </c>
      <c r="H322" s="28">
        <v>6921</v>
      </c>
      <c r="I322" s="28">
        <f t="shared" si="4"/>
        <v>-192250.56999999983</v>
      </c>
    </row>
    <row r="323" spans="1:9" x14ac:dyDescent="0.3">
      <c r="A323" s="16" t="s">
        <v>303</v>
      </c>
      <c r="B323" s="16" t="s">
        <v>304</v>
      </c>
      <c r="C323" s="25">
        <v>45962</v>
      </c>
      <c r="D323" s="16" t="s">
        <v>305</v>
      </c>
      <c r="E323" s="16" t="s">
        <v>339</v>
      </c>
      <c r="F323" s="16"/>
      <c r="G323" s="28">
        <v>0</v>
      </c>
      <c r="H323" s="28">
        <v>4871</v>
      </c>
      <c r="I323" s="28">
        <f t="shared" si="4"/>
        <v>-197121.56999999983</v>
      </c>
    </row>
    <row r="324" spans="1:9" x14ac:dyDescent="0.3">
      <c r="A324" s="16" t="s">
        <v>303</v>
      </c>
      <c r="B324" s="16" t="s">
        <v>304</v>
      </c>
      <c r="C324" s="25">
        <v>45962</v>
      </c>
      <c r="D324" s="16" t="s">
        <v>305</v>
      </c>
      <c r="E324" s="16" t="s">
        <v>339</v>
      </c>
      <c r="F324" s="16"/>
      <c r="G324" s="28">
        <v>0</v>
      </c>
      <c r="H324" s="28">
        <v>5524</v>
      </c>
      <c r="I324" s="28">
        <f t="shared" ref="I324:I387" si="5">I323+G324-H324</f>
        <v>-202645.56999999983</v>
      </c>
    </row>
    <row r="325" spans="1:9" x14ac:dyDescent="0.3">
      <c r="A325" s="16" t="s">
        <v>303</v>
      </c>
      <c r="B325" s="16" t="s">
        <v>304</v>
      </c>
      <c r="C325" s="25">
        <v>45962</v>
      </c>
      <c r="D325" s="16" t="s">
        <v>305</v>
      </c>
      <c r="E325" s="16" t="s">
        <v>339</v>
      </c>
      <c r="F325" s="16"/>
      <c r="G325" s="28">
        <v>0</v>
      </c>
      <c r="H325" s="28">
        <v>6968</v>
      </c>
      <c r="I325" s="28">
        <f t="shared" si="5"/>
        <v>-209613.56999999983</v>
      </c>
    </row>
    <row r="326" spans="1:9" x14ac:dyDescent="0.3">
      <c r="A326" s="16" t="s">
        <v>303</v>
      </c>
      <c r="B326" s="16" t="s">
        <v>304</v>
      </c>
      <c r="C326" s="25">
        <v>45962</v>
      </c>
      <c r="D326" s="16" t="s">
        <v>305</v>
      </c>
      <c r="E326" s="16" t="s">
        <v>339</v>
      </c>
      <c r="F326" s="16"/>
      <c r="G326" s="28">
        <v>0</v>
      </c>
      <c r="H326" s="28">
        <v>13838</v>
      </c>
      <c r="I326" s="28">
        <f t="shared" si="5"/>
        <v>-223451.56999999983</v>
      </c>
    </row>
    <row r="327" spans="1:9" x14ac:dyDescent="0.3">
      <c r="A327" s="16" t="s">
        <v>303</v>
      </c>
      <c r="B327" s="16" t="s">
        <v>304</v>
      </c>
      <c r="C327" s="25">
        <v>45962</v>
      </c>
      <c r="D327" s="16" t="s">
        <v>305</v>
      </c>
      <c r="E327" s="16" t="s">
        <v>339</v>
      </c>
      <c r="F327" s="16"/>
      <c r="G327" s="28">
        <v>0</v>
      </c>
      <c r="H327" s="28">
        <v>7522</v>
      </c>
      <c r="I327" s="28">
        <f t="shared" si="5"/>
        <v>-230973.56999999983</v>
      </c>
    </row>
    <row r="328" spans="1:9" x14ac:dyDescent="0.3">
      <c r="A328" s="16" t="s">
        <v>303</v>
      </c>
      <c r="B328" s="16" t="s">
        <v>304</v>
      </c>
      <c r="C328" s="25">
        <v>45962</v>
      </c>
      <c r="D328" s="16" t="s">
        <v>305</v>
      </c>
      <c r="E328" s="16" t="s">
        <v>339</v>
      </c>
      <c r="F328" s="16"/>
      <c r="G328" s="28">
        <v>0</v>
      </c>
      <c r="H328" s="28">
        <v>10663</v>
      </c>
      <c r="I328" s="28">
        <f t="shared" si="5"/>
        <v>-241636.56999999983</v>
      </c>
    </row>
    <row r="329" spans="1:9" x14ac:dyDescent="0.3">
      <c r="A329" s="16" t="s">
        <v>303</v>
      </c>
      <c r="B329" s="16" t="s">
        <v>304</v>
      </c>
      <c r="C329" s="25">
        <v>45962</v>
      </c>
      <c r="D329" s="16" t="s">
        <v>305</v>
      </c>
      <c r="E329" s="16" t="s">
        <v>339</v>
      </c>
      <c r="F329" s="16"/>
      <c r="G329" s="28">
        <v>0</v>
      </c>
      <c r="H329" s="28">
        <v>5918</v>
      </c>
      <c r="I329" s="28">
        <f t="shared" si="5"/>
        <v>-247554.56999999983</v>
      </c>
    </row>
    <row r="330" spans="1:9" x14ac:dyDescent="0.3">
      <c r="A330" s="16" t="s">
        <v>303</v>
      </c>
      <c r="B330" s="16" t="s">
        <v>304</v>
      </c>
      <c r="C330" s="25">
        <v>45962</v>
      </c>
      <c r="D330" s="16" t="s">
        <v>305</v>
      </c>
      <c r="E330" s="16" t="s">
        <v>339</v>
      </c>
      <c r="F330" s="16"/>
      <c r="G330" s="28">
        <v>0</v>
      </c>
      <c r="H330" s="28">
        <v>7154</v>
      </c>
      <c r="I330" s="28">
        <f t="shared" si="5"/>
        <v>-254708.56999999983</v>
      </c>
    </row>
    <row r="331" spans="1:9" x14ac:dyDescent="0.3">
      <c r="A331" s="16" t="s">
        <v>303</v>
      </c>
      <c r="B331" s="16" t="s">
        <v>304</v>
      </c>
      <c r="C331" s="25">
        <v>45962</v>
      </c>
      <c r="D331" s="16" t="s">
        <v>305</v>
      </c>
      <c r="E331" s="16" t="s">
        <v>306</v>
      </c>
      <c r="F331" s="16"/>
      <c r="G331" s="28">
        <v>0</v>
      </c>
      <c r="H331" s="28">
        <v>14224</v>
      </c>
      <c r="I331" s="28">
        <f t="shared" si="5"/>
        <v>-268932.56999999983</v>
      </c>
    </row>
    <row r="332" spans="1:9" x14ac:dyDescent="0.3">
      <c r="A332" s="16" t="s">
        <v>303</v>
      </c>
      <c r="B332" s="16" t="s">
        <v>304</v>
      </c>
      <c r="C332" s="25">
        <v>45962</v>
      </c>
      <c r="D332" s="16" t="s">
        <v>305</v>
      </c>
      <c r="E332" s="16" t="s">
        <v>339</v>
      </c>
      <c r="F332" s="16"/>
      <c r="G332" s="28">
        <v>0</v>
      </c>
      <c r="H332" s="28">
        <v>544781</v>
      </c>
      <c r="I332" s="28">
        <f t="shared" si="5"/>
        <v>-813713.56999999983</v>
      </c>
    </row>
    <row r="333" spans="1:9" x14ac:dyDescent="0.3">
      <c r="A333" s="16" t="s">
        <v>303</v>
      </c>
      <c r="B333" s="16" t="s">
        <v>304</v>
      </c>
      <c r="C333" s="25">
        <v>45962</v>
      </c>
      <c r="D333" s="16" t="s">
        <v>305</v>
      </c>
      <c r="E333" s="16" t="s">
        <v>339</v>
      </c>
      <c r="F333" s="16"/>
      <c r="G333" s="28">
        <v>0</v>
      </c>
      <c r="H333" s="28">
        <v>32083.200000000001</v>
      </c>
      <c r="I333" s="28">
        <f t="shared" si="5"/>
        <v>-845796.76999999979</v>
      </c>
    </row>
    <row r="334" spans="1:9" x14ac:dyDescent="0.3">
      <c r="A334" s="16" t="s">
        <v>303</v>
      </c>
      <c r="B334" s="16" t="s">
        <v>304</v>
      </c>
      <c r="C334" s="25">
        <v>45962</v>
      </c>
      <c r="D334" s="16" t="s">
        <v>305</v>
      </c>
      <c r="E334" s="16" t="s">
        <v>339</v>
      </c>
      <c r="F334" s="16"/>
      <c r="G334" s="28">
        <v>0</v>
      </c>
      <c r="H334" s="28">
        <v>5258.93</v>
      </c>
      <c r="I334" s="28">
        <f t="shared" si="5"/>
        <v>-851055.69999999984</v>
      </c>
    </row>
    <row r="335" spans="1:9" x14ac:dyDescent="0.3">
      <c r="A335" s="16" t="s">
        <v>303</v>
      </c>
      <c r="B335" s="16" t="s">
        <v>304</v>
      </c>
      <c r="C335" s="25">
        <v>45962</v>
      </c>
      <c r="D335" s="16" t="s">
        <v>305</v>
      </c>
      <c r="E335" s="16" t="s">
        <v>311</v>
      </c>
      <c r="F335" s="16"/>
      <c r="G335" s="28">
        <v>0</v>
      </c>
      <c r="H335" s="28">
        <v>6071.43</v>
      </c>
      <c r="I335" s="28">
        <f t="shared" si="5"/>
        <v>-857127.12999999989</v>
      </c>
    </row>
    <row r="336" spans="1:9" x14ac:dyDescent="0.3">
      <c r="A336" s="16" t="s">
        <v>303</v>
      </c>
      <c r="B336" s="16" t="s">
        <v>304</v>
      </c>
      <c r="C336" s="25">
        <v>45964</v>
      </c>
      <c r="D336" s="16" t="s">
        <v>305</v>
      </c>
      <c r="E336" s="16" t="s">
        <v>311</v>
      </c>
      <c r="F336" s="16"/>
      <c r="G336" s="28">
        <v>0</v>
      </c>
      <c r="H336" s="28">
        <v>825</v>
      </c>
      <c r="I336" s="28">
        <f t="shared" si="5"/>
        <v>-857952.12999999989</v>
      </c>
    </row>
    <row r="337" spans="1:9" x14ac:dyDescent="0.3">
      <c r="A337" s="16" t="s">
        <v>303</v>
      </c>
      <c r="B337" s="16" t="s">
        <v>304</v>
      </c>
      <c r="C337" s="25">
        <v>45964</v>
      </c>
      <c r="D337" s="16" t="s">
        <v>305</v>
      </c>
      <c r="E337" s="16" t="s">
        <v>311</v>
      </c>
      <c r="F337" s="16"/>
      <c r="G337" s="28">
        <v>0</v>
      </c>
      <c r="H337" s="28">
        <v>134</v>
      </c>
      <c r="I337" s="28">
        <f t="shared" si="5"/>
        <v>-858086.12999999989</v>
      </c>
    </row>
    <row r="338" spans="1:9" x14ac:dyDescent="0.3">
      <c r="A338" s="16" t="s">
        <v>303</v>
      </c>
      <c r="B338" s="16" t="s">
        <v>304</v>
      </c>
      <c r="C338" s="25">
        <v>45966</v>
      </c>
      <c r="D338" s="16" t="s">
        <v>305</v>
      </c>
      <c r="E338" s="16" t="s">
        <v>339</v>
      </c>
      <c r="F338" s="16"/>
      <c r="G338" s="28">
        <v>0</v>
      </c>
      <c r="H338" s="28">
        <v>18590</v>
      </c>
      <c r="I338" s="28">
        <f t="shared" si="5"/>
        <v>-876676.12999999989</v>
      </c>
    </row>
    <row r="339" spans="1:9" x14ac:dyDescent="0.3">
      <c r="A339" s="16" t="s">
        <v>303</v>
      </c>
      <c r="B339" s="16" t="s">
        <v>304</v>
      </c>
      <c r="C339" s="25">
        <v>45966</v>
      </c>
      <c r="D339" s="16" t="s">
        <v>305</v>
      </c>
      <c r="E339" s="16" t="s">
        <v>339</v>
      </c>
      <c r="F339" s="16"/>
      <c r="G339" s="28">
        <v>0</v>
      </c>
      <c r="H339" s="28">
        <v>19380</v>
      </c>
      <c r="I339" s="28">
        <f t="shared" si="5"/>
        <v>-896056.12999999989</v>
      </c>
    </row>
    <row r="340" spans="1:9" x14ac:dyDescent="0.3">
      <c r="A340" s="16" t="s">
        <v>303</v>
      </c>
      <c r="B340" s="16" t="s">
        <v>304</v>
      </c>
      <c r="C340" s="25">
        <v>45966</v>
      </c>
      <c r="D340" s="16" t="s">
        <v>305</v>
      </c>
      <c r="E340" s="16" t="s">
        <v>339</v>
      </c>
      <c r="F340" s="16"/>
      <c r="G340" s="28">
        <v>0</v>
      </c>
      <c r="H340" s="28">
        <v>5000</v>
      </c>
      <c r="I340" s="28">
        <f t="shared" si="5"/>
        <v>-901056.12999999989</v>
      </c>
    </row>
    <row r="341" spans="1:9" x14ac:dyDescent="0.3">
      <c r="A341" s="16" t="s">
        <v>303</v>
      </c>
      <c r="B341" s="16" t="s">
        <v>304</v>
      </c>
      <c r="C341" s="25">
        <v>45967</v>
      </c>
      <c r="D341" s="16" t="s">
        <v>305</v>
      </c>
      <c r="E341" s="16" t="s">
        <v>339</v>
      </c>
      <c r="F341" s="16"/>
      <c r="G341" s="28">
        <v>0</v>
      </c>
      <c r="H341" s="28">
        <v>6934</v>
      </c>
      <c r="I341" s="28">
        <f t="shared" si="5"/>
        <v>-907990.12999999989</v>
      </c>
    </row>
    <row r="342" spans="1:9" x14ac:dyDescent="0.3">
      <c r="A342" s="16" t="s">
        <v>303</v>
      </c>
      <c r="B342" s="16" t="s">
        <v>304</v>
      </c>
      <c r="C342" s="25">
        <v>45967</v>
      </c>
      <c r="D342" s="16" t="s">
        <v>305</v>
      </c>
      <c r="E342" s="16" t="s">
        <v>339</v>
      </c>
      <c r="F342" s="16"/>
      <c r="G342" s="28">
        <v>0</v>
      </c>
      <c r="H342" s="28">
        <v>11741</v>
      </c>
      <c r="I342" s="28">
        <f t="shared" si="5"/>
        <v>-919731.12999999989</v>
      </c>
    </row>
    <row r="343" spans="1:9" x14ac:dyDescent="0.3">
      <c r="A343" s="16" t="s">
        <v>303</v>
      </c>
      <c r="B343" s="16" t="s">
        <v>304</v>
      </c>
      <c r="C343" s="25">
        <v>45967</v>
      </c>
      <c r="D343" s="16" t="s">
        <v>305</v>
      </c>
      <c r="E343" s="16" t="s">
        <v>339</v>
      </c>
      <c r="F343" s="16"/>
      <c r="G343" s="28">
        <v>0</v>
      </c>
      <c r="H343" s="28">
        <v>8074</v>
      </c>
      <c r="I343" s="28">
        <f t="shared" si="5"/>
        <v>-927805.12999999989</v>
      </c>
    </row>
    <row r="344" spans="1:9" x14ac:dyDescent="0.3">
      <c r="A344" s="16" t="s">
        <v>303</v>
      </c>
      <c r="B344" s="16" t="s">
        <v>304</v>
      </c>
      <c r="C344" s="25">
        <v>45971</v>
      </c>
      <c r="D344" s="16" t="s">
        <v>305</v>
      </c>
      <c r="E344" s="16" t="s">
        <v>339</v>
      </c>
      <c r="F344" s="16"/>
      <c r="G344" s="28">
        <v>0</v>
      </c>
      <c r="H344" s="28">
        <v>3700</v>
      </c>
      <c r="I344" s="28">
        <f t="shared" si="5"/>
        <v>-931505.12999999989</v>
      </c>
    </row>
    <row r="345" spans="1:9" x14ac:dyDescent="0.3">
      <c r="A345" s="16" t="s">
        <v>303</v>
      </c>
      <c r="B345" s="16" t="s">
        <v>304</v>
      </c>
      <c r="C345" s="25">
        <v>45971</v>
      </c>
      <c r="D345" s="16" t="s">
        <v>305</v>
      </c>
      <c r="E345" s="16" t="s">
        <v>339</v>
      </c>
      <c r="F345" s="16"/>
      <c r="G345" s="28">
        <v>0</v>
      </c>
      <c r="H345" s="28">
        <v>11224.01</v>
      </c>
      <c r="I345" s="28">
        <f t="shared" si="5"/>
        <v>-942729.1399999999</v>
      </c>
    </row>
    <row r="346" spans="1:9" x14ac:dyDescent="0.3">
      <c r="A346" s="16" t="s">
        <v>303</v>
      </c>
      <c r="B346" s="16" t="s">
        <v>304</v>
      </c>
      <c r="C346" s="25">
        <v>45971</v>
      </c>
      <c r="D346" s="16" t="s">
        <v>305</v>
      </c>
      <c r="E346" s="16" t="s">
        <v>339</v>
      </c>
      <c r="F346" s="16"/>
      <c r="G346" s="28">
        <v>0</v>
      </c>
      <c r="H346" s="28">
        <v>18554.93</v>
      </c>
      <c r="I346" s="28">
        <f t="shared" si="5"/>
        <v>-961284.07</v>
      </c>
    </row>
    <row r="347" spans="1:9" x14ac:dyDescent="0.3">
      <c r="A347" s="16" t="s">
        <v>303</v>
      </c>
      <c r="B347" s="16" t="s">
        <v>304</v>
      </c>
      <c r="C347" s="25">
        <v>45972</v>
      </c>
      <c r="D347" s="16" t="s">
        <v>305</v>
      </c>
      <c r="E347" s="16" t="s">
        <v>339</v>
      </c>
      <c r="F347" s="16"/>
      <c r="G347" s="28">
        <v>0</v>
      </c>
      <c r="H347" s="28">
        <v>35336</v>
      </c>
      <c r="I347" s="28">
        <f t="shared" si="5"/>
        <v>-996620.07</v>
      </c>
    </row>
    <row r="348" spans="1:9" x14ac:dyDescent="0.3">
      <c r="A348" s="16" t="s">
        <v>303</v>
      </c>
      <c r="B348" s="16" t="s">
        <v>304</v>
      </c>
      <c r="C348" s="25">
        <v>45972</v>
      </c>
      <c r="D348" s="16" t="s">
        <v>305</v>
      </c>
      <c r="E348" s="16" t="s">
        <v>311</v>
      </c>
      <c r="F348" s="16"/>
      <c r="G348" s="28">
        <v>0</v>
      </c>
      <c r="H348" s="28">
        <v>288</v>
      </c>
      <c r="I348" s="28">
        <f t="shared" si="5"/>
        <v>-996908.07</v>
      </c>
    </row>
    <row r="349" spans="1:9" x14ac:dyDescent="0.3">
      <c r="A349" s="16" t="s">
        <v>303</v>
      </c>
      <c r="B349" s="16" t="s">
        <v>304</v>
      </c>
      <c r="C349" s="25">
        <v>45972</v>
      </c>
      <c r="D349" s="16" t="s">
        <v>305</v>
      </c>
      <c r="E349" s="16" t="s">
        <v>311</v>
      </c>
      <c r="F349" s="16"/>
      <c r="G349" s="28">
        <v>0</v>
      </c>
      <c r="H349" s="28">
        <v>480</v>
      </c>
      <c r="I349" s="28">
        <f t="shared" si="5"/>
        <v>-997388.07</v>
      </c>
    </row>
    <row r="350" spans="1:9" x14ac:dyDescent="0.3">
      <c r="A350" s="16" t="s">
        <v>303</v>
      </c>
      <c r="B350" s="16" t="s">
        <v>304</v>
      </c>
      <c r="C350" s="25">
        <v>45974</v>
      </c>
      <c r="D350" s="16" t="s">
        <v>308</v>
      </c>
      <c r="E350" s="16" t="s">
        <v>309</v>
      </c>
      <c r="F350" s="16" t="s">
        <v>392</v>
      </c>
      <c r="G350" s="28">
        <v>2007310</v>
      </c>
      <c r="H350" s="28">
        <v>0</v>
      </c>
      <c r="I350" s="28">
        <f t="shared" si="5"/>
        <v>1009921.93</v>
      </c>
    </row>
    <row r="351" spans="1:9" x14ac:dyDescent="0.3">
      <c r="A351" s="16" t="s">
        <v>303</v>
      </c>
      <c r="B351" s="16" t="s">
        <v>304</v>
      </c>
      <c r="C351" s="25">
        <v>45974</v>
      </c>
      <c r="D351" s="16" t="s">
        <v>305</v>
      </c>
      <c r="E351" s="16" t="s">
        <v>339</v>
      </c>
      <c r="F351" s="16"/>
      <c r="G351" s="28">
        <v>0</v>
      </c>
      <c r="H351" s="28">
        <v>30252.799999999999</v>
      </c>
      <c r="I351" s="28">
        <f t="shared" si="5"/>
        <v>979669.13</v>
      </c>
    </row>
    <row r="352" spans="1:9" x14ac:dyDescent="0.3">
      <c r="A352" s="16" t="s">
        <v>303</v>
      </c>
      <c r="B352" s="16" t="s">
        <v>304</v>
      </c>
      <c r="C352" s="25">
        <v>45975</v>
      </c>
      <c r="D352" s="16" t="s">
        <v>305</v>
      </c>
      <c r="E352" s="16" t="s">
        <v>311</v>
      </c>
      <c r="F352" s="16"/>
      <c r="G352" s="28">
        <v>0</v>
      </c>
      <c r="H352" s="28">
        <v>777</v>
      </c>
      <c r="I352" s="28">
        <f t="shared" si="5"/>
        <v>978892.13</v>
      </c>
    </row>
    <row r="353" spans="1:9" x14ac:dyDescent="0.3">
      <c r="A353" s="16" t="s">
        <v>303</v>
      </c>
      <c r="B353" s="16" t="s">
        <v>304</v>
      </c>
      <c r="C353" s="25">
        <v>45975</v>
      </c>
      <c r="D353" s="16" t="s">
        <v>305</v>
      </c>
      <c r="E353" s="16" t="s">
        <v>339</v>
      </c>
      <c r="F353" s="16"/>
      <c r="G353" s="28">
        <v>0</v>
      </c>
      <c r="H353" s="28">
        <v>22271.49</v>
      </c>
      <c r="I353" s="28">
        <f t="shared" si="5"/>
        <v>956620.64</v>
      </c>
    </row>
    <row r="354" spans="1:9" x14ac:dyDescent="0.3">
      <c r="A354" s="16" t="s">
        <v>303</v>
      </c>
      <c r="B354" s="16" t="s">
        <v>304</v>
      </c>
      <c r="C354" s="25">
        <v>45976</v>
      </c>
      <c r="D354" s="16" t="s">
        <v>305</v>
      </c>
      <c r="E354" s="16" t="s">
        <v>339</v>
      </c>
      <c r="F354" s="16"/>
      <c r="G354" s="28">
        <v>0</v>
      </c>
      <c r="H354" s="28">
        <v>29000</v>
      </c>
      <c r="I354" s="28">
        <f t="shared" si="5"/>
        <v>927620.64</v>
      </c>
    </row>
    <row r="355" spans="1:9" x14ac:dyDescent="0.3">
      <c r="A355" s="16" t="s">
        <v>303</v>
      </c>
      <c r="B355" s="16" t="s">
        <v>304</v>
      </c>
      <c r="C355" s="25">
        <v>45978</v>
      </c>
      <c r="D355" s="16" t="s">
        <v>305</v>
      </c>
      <c r="E355" s="16" t="s">
        <v>311</v>
      </c>
      <c r="F355" s="16"/>
      <c r="G355" s="28">
        <v>0</v>
      </c>
      <c r="H355" s="28">
        <v>574</v>
      </c>
      <c r="I355" s="28">
        <f t="shared" si="5"/>
        <v>927046.64</v>
      </c>
    </row>
    <row r="356" spans="1:9" x14ac:dyDescent="0.3">
      <c r="A356" s="16" t="s">
        <v>303</v>
      </c>
      <c r="B356" s="16" t="s">
        <v>304</v>
      </c>
      <c r="C356" s="25">
        <v>45985</v>
      </c>
      <c r="D356" s="16" t="s">
        <v>305</v>
      </c>
      <c r="E356" s="16" t="s">
        <v>339</v>
      </c>
      <c r="F356" s="16"/>
      <c r="G356" s="28">
        <v>0</v>
      </c>
      <c r="H356" s="28">
        <v>6253</v>
      </c>
      <c r="I356" s="28">
        <f t="shared" si="5"/>
        <v>920793.64</v>
      </c>
    </row>
    <row r="357" spans="1:9" x14ac:dyDescent="0.3">
      <c r="A357" s="16" t="s">
        <v>303</v>
      </c>
      <c r="B357" s="16" t="s">
        <v>304</v>
      </c>
      <c r="C357" s="25">
        <v>45985</v>
      </c>
      <c r="D357" s="16" t="s">
        <v>305</v>
      </c>
      <c r="E357" s="16" t="s">
        <v>339</v>
      </c>
      <c r="F357" s="16"/>
      <c r="G357" s="28">
        <v>0</v>
      </c>
      <c r="H357" s="28">
        <v>8572</v>
      </c>
      <c r="I357" s="28">
        <f t="shared" si="5"/>
        <v>912221.64</v>
      </c>
    </row>
    <row r="358" spans="1:9" x14ac:dyDescent="0.3">
      <c r="A358" s="16" t="s">
        <v>303</v>
      </c>
      <c r="B358" s="16" t="s">
        <v>304</v>
      </c>
      <c r="C358" s="25">
        <v>45987</v>
      </c>
      <c r="D358" s="16" t="s">
        <v>305</v>
      </c>
      <c r="E358" s="16" t="s">
        <v>311</v>
      </c>
      <c r="F358" s="16"/>
      <c r="G358" s="28">
        <v>0</v>
      </c>
      <c r="H358" s="28">
        <v>719</v>
      </c>
      <c r="I358" s="28">
        <f t="shared" si="5"/>
        <v>911502.64</v>
      </c>
    </row>
    <row r="359" spans="1:9" x14ac:dyDescent="0.3">
      <c r="A359" s="16" t="s">
        <v>303</v>
      </c>
      <c r="B359" s="16" t="s">
        <v>304</v>
      </c>
      <c r="C359" s="25">
        <v>45987</v>
      </c>
      <c r="D359" s="16" t="s">
        <v>305</v>
      </c>
      <c r="E359" s="16" t="s">
        <v>311</v>
      </c>
      <c r="F359" s="16"/>
      <c r="G359" s="28">
        <v>0</v>
      </c>
      <c r="H359" s="28">
        <v>3964</v>
      </c>
      <c r="I359" s="28">
        <f t="shared" si="5"/>
        <v>907538.64</v>
      </c>
    </row>
    <row r="360" spans="1:9" x14ac:dyDescent="0.3">
      <c r="A360" s="16" t="s">
        <v>303</v>
      </c>
      <c r="B360" s="16" t="s">
        <v>304</v>
      </c>
      <c r="C360" s="25">
        <v>45987</v>
      </c>
      <c r="D360" s="16" t="s">
        <v>305</v>
      </c>
      <c r="E360" s="16" t="s">
        <v>311</v>
      </c>
      <c r="F360" s="16"/>
      <c r="G360" s="28">
        <v>0</v>
      </c>
      <c r="H360" s="28">
        <v>29865</v>
      </c>
      <c r="I360" s="28">
        <f t="shared" si="5"/>
        <v>877673.64</v>
      </c>
    </row>
    <row r="361" spans="1:9" x14ac:dyDescent="0.3">
      <c r="A361" s="16" t="s">
        <v>303</v>
      </c>
      <c r="B361" s="16" t="s">
        <v>304</v>
      </c>
      <c r="C361" s="25">
        <v>45992</v>
      </c>
      <c r="D361" s="16" t="s">
        <v>305</v>
      </c>
      <c r="E361" s="16" t="s">
        <v>306</v>
      </c>
      <c r="F361" s="16"/>
      <c r="G361" s="28">
        <v>0</v>
      </c>
      <c r="H361" s="28">
        <v>14149</v>
      </c>
      <c r="I361" s="28">
        <f t="shared" si="5"/>
        <v>863524.64</v>
      </c>
    </row>
    <row r="362" spans="1:9" x14ac:dyDescent="0.3">
      <c r="A362" s="16" t="s">
        <v>303</v>
      </c>
      <c r="B362" s="16" t="s">
        <v>304</v>
      </c>
      <c r="C362" s="25">
        <v>45992</v>
      </c>
      <c r="D362" s="16" t="s">
        <v>305</v>
      </c>
      <c r="E362" s="16" t="s">
        <v>306</v>
      </c>
      <c r="F362" s="16"/>
      <c r="G362" s="28">
        <v>0</v>
      </c>
      <c r="H362" s="28">
        <v>6781</v>
      </c>
      <c r="I362" s="28">
        <f t="shared" si="5"/>
        <v>856743.64</v>
      </c>
    </row>
    <row r="363" spans="1:9" x14ac:dyDescent="0.3">
      <c r="A363" s="16" t="s">
        <v>303</v>
      </c>
      <c r="B363" s="16" t="s">
        <v>304</v>
      </c>
      <c r="C363" s="25">
        <v>45992</v>
      </c>
      <c r="D363" s="16" t="s">
        <v>305</v>
      </c>
      <c r="E363" s="16" t="s">
        <v>306</v>
      </c>
      <c r="F363" s="16"/>
      <c r="G363" s="28">
        <v>0</v>
      </c>
      <c r="H363" s="28">
        <v>8043</v>
      </c>
      <c r="I363" s="28">
        <f t="shared" si="5"/>
        <v>848700.64</v>
      </c>
    </row>
    <row r="364" spans="1:9" x14ac:dyDescent="0.3">
      <c r="A364" s="16" t="s">
        <v>303</v>
      </c>
      <c r="B364" s="16" t="s">
        <v>304</v>
      </c>
      <c r="C364" s="25">
        <v>45992</v>
      </c>
      <c r="D364" s="16" t="s">
        <v>305</v>
      </c>
      <c r="E364" s="16" t="s">
        <v>306</v>
      </c>
      <c r="F364" s="16"/>
      <c r="G364" s="28">
        <v>0</v>
      </c>
      <c r="H364" s="28">
        <v>6787</v>
      </c>
      <c r="I364" s="28">
        <f t="shared" si="5"/>
        <v>841913.64</v>
      </c>
    </row>
    <row r="365" spans="1:9" x14ac:dyDescent="0.3">
      <c r="A365" s="16" t="s">
        <v>303</v>
      </c>
      <c r="B365" s="16" t="s">
        <v>304</v>
      </c>
      <c r="C365" s="25">
        <v>45992</v>
      </c>
      <c r="D365" s="16" t="s">
        <v>305</v>
      </c>
      <c r="E365" s="16" t="s">
        <v>311</v>
      </c>
      <c r="F365" s="16"/>
      <c r="G365" s="28">
        <v>0</v>
      </c>
      <c r="H365" s="28">
        <v>83</v>
      </c>
      <c r="I365" s="28">
        <f t="shared" si="5"/>
        <v>841830.64</v>
      </c>
    </row>
    <row r="366" spans="1:9" x14ac:dyDescent="0.3">
      <c r="A366" s="16" t="s">
        <v>303</v>
      </c>
      <c r="B366" s="16" t="s">
        <v>304</v>
      </c>
      <c r="C366" s="25">
        <v>45992</v>
      </c>
      <c r="D366" s="16" t="s">
        <v>305</v>
      </c>
      <c r="E366" s="16" t="s">
        <v>311</v>
      </c>
      <c r="F366" s="16"/>
      <c r="G366" s="28">
        <v>0</v>
      </c>
      <c r="H366" s="28">
        <v>56</v>
      </c>
      <c r="I366" s="28">
        <f t="shared" si="5"/>
        <v>841774.64</v>
      </c>
    </row>
    <row r="367" spans="1:9" x14ac:dyDescent="0.3">
      <c r="A367" s="16" t="s">
        <v>303</v>
      </c>
      <c r="B367" s="16" t="s">
        <v>304</v>
      </c>
      <c r="C367" s="25">
        <v>45992</v>
      </c>
      <c r="D367" s="16" t="s">
        <v>305</v>
      </c>
      <c r="E367" s="16" t="s">
        <v>311</v>
      </c>
      <c r="F367" s="16"/>
      <c r="G367" s="28">
        <v>0</v>
      </c>
      <c r="H367" s="28">
        <v>157</v>
      </c>
      <c r="I367" s="28">
        <f t="shared" si="5"/>
        <v>841617.64</v>
      </c>
    </row>
    <row r="368" spans="1:9" x14ac:dyDescent="0.3">
      <c r="A368" s="16" t="s">
        <v>303</v>
      </c>
      <c r="B368" s="16" t="s">
        <v>304</v>
      </c>
      <c r="C368" s="25">
        <v>45992</v>
      </c>
      <c r="D368" s="16" t="s">
        <v>305</v>
      </c>
      <c r="E368" s="16" t="s">
        <v>339</v>
      </c>
      <c r="F368" s="16"/>
      <c r="G368" s="28">
        <v>0</v>
      </c>
      <c r="H368" s="28">
        <v>2054.44</v>
      </c>
      <c r="I368" s="28">
        <f t="shared" si="5"/>
        <v>839563.20000000007</v>
      </c>
    </row>
    <row r="369" spans="1:9" x14ac:dyDescent="0.3">
      <c r="A369" s="16" t="s">
        <v>303</v>
      </c>
      <c r="B369" s="16" t="s">
        <v>304</v>
      </c>
      <c r="C369" s="25">
        <v>45992</v>
      </c>
      <c r="D369" s="16" t="s">
        <v>305</v>
      </c>
      <c r="E369" s="16" t="s">
        <v>339</v>
      </c>
      <c r="F369" s="16"/>
      <c r="G369" s="28">
        <v>0</v>
      </c>
      <c r="H369" s="28">
        <v>5357.84</v>
      </c>
      <c r="I369" s="28">
        <f t="shared" si="5"/>
        <v>834205.3600000001</v>
      </c>
    </row>
    <row r="370" spans="1:9" x14ac:dyDescent="0.3">
      <c r="A370" s="16" t="s">
        <v>303</v>
      </c>
      <c r="B370" s="16" t="s">
        <v>304</v>
      </c>
      <c r="C370" s="25">
        <v>45992</v>
      </c>
      <c r="D370" s="16" t="s">
        <v>305</v>
      </c>
      <c r="E370" s="16" t="s">
        <v>339</v>
      </c>
      <c r="F370" s="16"/>
      <c r="G370" s="28">
        <v>0</v>
      </c>
      <c r="H370" s="28">
        <v>3402.95</v>
      </c>
      <c r="I370" s="28">
        <f t="shared" si="5"/>
        <v>830802.41000000015</v>
      </c>
    </row>
    <row r="371" spans="1:9" x14ac:dyDescent="0.3">
      <c r="A371" s="16" t="s">
        <v>303</v>
      </c>
      <c r="B371" s="16" t="s">
        <v>304</v>
      </c>
      <c r="C371" s="25">
        <v>45992</v>
      </c>
      <c r="D371" s="16" t="s">
        <v>305</v>
      </c>
      <c r="E371" s="16" t="s">
        <v>339</v>
      </c>
      <c r="F371" s="16"/>
      <c r="G371" s="28">
        <v>0</v>
      </c>
      <c r="H371" s="28">
        <v>6235.73</v>
      </c>
      <c r="I371" s="28">
        <f t="shared" si="5"/>
        <v>824566.68000000017</v>
      </c>
    </row>
    <row r="372" spans="1:9" x14ac:dyDescent="0.3">
      <c r="A372" s="16" t="s">
        <v>303</v>
      </c>
      <c r="B372" s="16" t="s">
        <v>304</v>
      </c>
      <c r="C372" s="25">
        <v>45992</v>
      </c>
      <c r="D372" s="16" t="s">
        <v>305</v>
      </c>
      <c r="E372" s="16" t="s">
        <v>306</v>
      </c>
      <c r="F372" s="16"/>
      <c r="G372" s="28">
        <v>0</v>
      </c>
      <c r="H372" s="28">
        <v>14224</v>
      </c>
      <c r="I372" s="28">
        <f t="shared" si="5"/>
        <v>810342.68000000017</v>
      </c>
    </row>
    <row r="373" spans="1:9" x14ac:dyDescent="0.3">
      <c r="A373" s="16" t="s">
        <v>303</v>
      </c>
      <c r="B373" s="16" t="s">
        <v>304</v>
      </c>
      <c r="C373" s="25">
        <v>45993</v>
      </c>
      <c r="D373" s="16" t="s">
        <v>305</v>
      </c>
      <c r="E373" s="16" t="s">
        <v>311</v>
      </c>
      <c r="F373" s="16"/>
      <c r="G373" s="28">
        <v>0</v>
      </c>
      <c r="H373" s="28">
        <v>139</v>
      </c>
      <c r="I373" s="28">
        <f t="shared" si="5"/>
        <v>810203.68000000017</v>
      </c>
    </row>
    <row r="374" spans="1:9" x14ac:dyDescent="0.3">
      <c r="A374" s="16" t="s">
        <v>303</v>
      </c>
      <c r="B374" s="16" t="s">
        <v>304</v>
      </c>
      <c r="C374" s="25">
        <v>45994</v>
      </c>
      <c r="D374" s="16" t="s">
        <v>305</v>
      </c>
      <c r="E374" s="16" t="s">
        <v>339</v>
      </c>
      <c r="F374" s="16"/>
      <c r="G374" s="28">
        <v>0</v>
      </c>
      <c r="H374" s="28">
        <v>23974.51</v>
      </c>
      <c r="I374" s="28">
        <f t="shared" si="5"/>
        <v>786229.17000000016</v>
      </c>
    </row>
    <row r="375" spans="1:9" x14ac:dyDescent="0.3">
      <c r="A375" s="16" t="s">
        <v>303</v>
      </c>
      <c r="B375" s="16" t="s">
        <v>304</v>
      </c>
      <c r="C375" s="25">
        <v>45994</v>
      </c>
      <c r="D375" s="16" t="s">
        <v>305</v>
      </c>
      <c r="E375" s="16" t="s">
        <v>339</v>
      </c>
      <c r="F375" s="16"/>
      <c r="G375" s="28">
        <v>0</v>
      </c>
      <c r="H375" s="28">
        <v>3801.17</v>
      </c>
      <c r="I375" s="28">
        <f t="shared" si="5"/>
        <v>782428.00000000012</v>
      </c>
    </row>
    <row r="376" spans="1:9" x14ac:dyDescent="0.3">
      <c r="A376" s="16" t="s">
        <v>303</v>
      </c>
      <c r="B376" s="16" t="s">
        <v>304</v>
      </c>
      <c r="C376" s="25">
        <v>45995</v>
      </c>
      <c r="D376" s="16" t="s">
        <v>305</v>
      </c>
      <c r="E376" s="16" t="s">
        <v>311</v>
      </c>
      <c r="F376" s="16"/>
      <c r="G376" s="28">
        <v>0</v>
      </c>
      <c r="H376" s="28">
        <v>611</v>
      </c>
      <c r="I376" s="28">
        <f t="shared" si="5"/>
        <v>781817.00000000012</v>
      </c>
    </row>
    <row r="377" spans="1:9" x14ac:dyDescent="0.3">
      <c r="A377" s="16" t="s">
        <v>303</v>
      </c>
      <c r="B377" s="16" t="s">
        <v>304</v>
      </c>
      <c r="C377" s="25">
        <v>45995</v>
      </c>
      <c r="D377" s="16" t="s">
        <v>305</v>
      </c>
      <c r="E377" s="16" t="s">
        <v>311</v>
      </c>
      <c r="F377" s="16"/>
      <c r="G377" s="28">
        <v>0</v>
      </c>
      <c r="H377" s="28">
        <v>102</v>
      </c>
      <c r="I377" s="28">
        <f t="shared" si="5"/>
        <v>781715.00000000012</v>
      </c>
    </row>
    <row r="378" spans="1:9" x14ac:dyDescent="0.3">
      <c r="A378" s="16" t="s">
        <v>303</v>
      </c>
      <c r="B378" s="16" t="s">
        <v>304</v>
      </c>
      <c r="C378" s="25">
        <v>45996</v>
      </c>
      <c r="D378" s="16" t="s">
        <v>305</v>
      </c>
      <c r="E378" s="16" t="s">
        <v>339</v>
      </c>
      <c r="F378" s="16"/>
      <c r="G378" s="28">
        <v>0</v>
      </c>
      <c r="H378" s="28">
        <v>73027.679999999993</v>
      </c>
      <c r="I378" s="28">
        <f t="shared" si="5"/>
        <v>708687.32000000007</v>
      </c>
    </row>
    <row r="379" spans="1:9" x14ac:dyDescent="0.3">
      <c r="A379" s="16" t="s">
        <v>303</v>
      </c>
      <c r="B379" s="16" t="s">
        <v>304</v>
      </c>
      <c r="C379" s="25">
        <v>45997</v>
      </c>
      <c r="D379" s="16" t="s">
        <v>305</v>
      </c>
      <c r="E379" s="16" t="s">
        <v>339</v>
      </c>
      <c r="F379" s="16"/>
      <c r="G379" s="28">
        <v>0</v>
      </c>
      <c r="H379" s="28">
        <v>171.96</v>
      </c>
      <c r="I379" s="28">
        <f t="shared" si="5"/>
        <v>708515.3600000001</v>
      </c>
    </row>
    <row r="380" spans="1:9" x14ac:dyDescent="0.3">
      <c r="A380" s="16" t="s">
        <v>303</v>
      </c>
      <c r="B380" s="16" t="s">
        <v>304</v>
      </c>
      <c r="C380" s="25">
        <v>45997</v>
      </c>
      <c r="D380" s="16" t="s">
        <v>305</v>
      </c>
      <c r="E380" s="16" t="s">
        <v>339</v>
      </c>
      <c r="F380" s="16"/>
      <c r="G380" s="28">
        <v>0</v>
      </c>
      <c r="H380" s="28">
        <v>4751.46</v>
      </c>
      <c r="I380" s="28">
        <f t="shared" si="5"/>
        <v>703763.90000000014</v>
      </c>
    </row>
    <row r="381" spans="1:9" x14ac:dyDescent="0.3">
      <c r="A381" s="16" t="s">
        <v>303</v>
      </c>
      <c r="B381" s="16" t="s">
        <v>304</v>
      </c>
      <c r="C381" s="25">
        <v>45997</v>
      </c>
      <c r="D381" s="16" t="s">
        <v>305</v>
      </c>
      <c r="E381" s="16" t="s">
        <v>339</v>
      </c>
      <c r="F381" s="16"/>
      <c r="G381" s="28">
        <v>0</v>
      </c>
      <c r="H381" s="28">
        <v>5294.48</v>
      </c>
      <c r="I381" s="28">
        <f t="shared" si="5"/>
        <v>698469.42000000016</v>
      </c>
    </row>
    <row r="382" spans="1:9" x14ac:dyDescent="0.3">
      <c r="A382" s="16" t="s">
        <v>303</v>
      </c>
      <c r="B382" s="16" t="s">
        <v>304</v>
      </c>
      <c r="C382" s="25">
        <v>45997</v>
      </c>
      <c r="D382" s="16" t="s">
        <v>305</v>
      </c>
      <c r="E382" s="16" t="s">
        <v>339</v>
      </c>
      <c r="F382" s="16"/>
      <c r="G382" s="28">
        <v>0</v>
      </c>
      <c r="H382" s="28">
        <v>95744.18</v>
      </c>
      <c r="I382" s="28">
        <f t="shared" si="5"/>
        <v>602725.24000000022</v>
      </c>
    </row>
    <row r="383" spans="1:9" x14ac:dyDescent="0.3">
      <c r="A383" s="16" t="s">
        <v>303</v>
      </c>
      <c r="B383" s="16" t="s">
        <v>304</v>
      </c>
      <c r="C383" s="25">
        <v>45997</v>
      </c>
      <c r="D383" s="16" t="s">
        <v>305</v>
      </c>
      <c r="E383" s="16" t="s">
        <v>339</v>
      </c>
      <c r="F383" s="16"/>
      <c r="G383" s="28">
        <v>0</v>
      </c>
      <c r="H383" s="28">
        <v>12389.99</v>
      </c>
      <c r="I383" s="28">
        <f t="shared" si="5"/>
        <v>590335.25000000023</v>
      </c>
    </row>
    <row r="384" spans="1:9" x14ac:dyDescent="0.3">
      <c r="A384" s="16" t="s">
        <v>303</v>
      </c>
      <c r="B384" s="16" t="s">
        <v>304</v>
      </c>
      <c r="C384" s="25">
        <v>45998</v>
      </c>
      <c r="D384" s="16" t="s">
        <v>305</v>
      </c>
      <c r="E384" s="16" t="s">
        <v>339</v>
      </c>
      <c r="F384" s="16"/>
      <c r="G384" s="28">
        <v>0</v>
      </c>
      <c r="H384" s="28">
        <v>29000</v>
      </c>
      <c r="I384" s="28">
        <f t="shared" si="5"/>
        <v>561335.25000000023</v>
      </c>
    </row>
    <row r="385" spans="1:9" x14ac:dyDescent="0.3">
      <c r="A385" s="16" t="s">
        <v>303</v>
      </c>
      <c r="B385" s="16" t="s">
        <v>304</v>
      </c>
      <c r="C385" s="25">
        <v>45998</v>
      </c>
      <c r="D385" s="16" t="s">
        <v>305</v>
      </c>
      <c r="E385" s="16" t="s">
        <v>339</v>
      </c>
      <c r="F385" s="16"/>
      <c r="G385" s="28">
        <v>0</v>
      </c>
      <c r="H385" s="28">
        <v>297350.89</v>
      </c>
      <c r="I385" s="28">
        <f t="shared" si="5"/>
        <v>263984.36000000022</v>
      </c>
    </row>
    <row r="386" spans="1:9" x14ac:dyDescent="0.3">
      <c r="A386" s="16" t="s">
        <v>303</v>
      </c>
      <c r="B386" s="16" t="s">
        <v>304</v>
      </c>
      <c r="C386" s="25">
        <v>45998</v>
      </c>
      <c r="D386" s="16" t="s">
        <v>305</v>
      </c>
      <c r="E386" s="16" t="s">
        <v>339</v>
      </c>
      <c r="F386" s="16"/>
      <c r="G386" s="28">
        <v>0</v>
      </c>
      <c r="H386" s="28">
        <v>10045.94</v>
      </c>
      <c r="I386" s="28">
        <f t="shared" si="5"/>
        <v>253938.42000000022</v>
      </c>
    </row>
    <row r="387" spans="1:9" x14ac:dyDescent="0.3">
      <c r="A387" s="16" t="s">
        <v>303</v>
      </c>
      <c r="B387" s="16" t="s">
        <v>304</v>
      </c>
      <c r="C387" s="25">
        <v>45998</v>
      </c>
      <c r="D387" s="16" t="s">
        <v>305</v>
      </c>
      <c r="E387" s="16" t="s">
        <v>339</v>
      </c>
      <c r="F387" s="16"/>
      <c r="G387" s="28">
        <v>0</v>
      </c>
      <c r="H387" s="28">
        <v>60628.63</v>
      </c>
      <c r="I387" s="28">
        <f t="shared" si="5"/>
        <v>193309.79000000021</v>
      </c>
    </row>
    <row r="388" spans="1:9" x14ac:dyDescent="0.3">
      <c r="A388" s="16" t="s">
        <v>303</v>
      </c>
      <c r="B388" s="16" t="s">
        <v>304</v>
      </c>
      <c r="C388" s="25">
        <v>46000</v>
      </c>
      <c r="D388" s="16" t="s">
        <v>305</v>
      </c>
      <c r="E388" s="16" t="s">
        <v>311</v>
      </c>
      <c r="F388" s="16"/>
      <c r="G388" s="28">
        <v>0</v>
      </c>
      <c r="H388" s="28">
        <v>259</v>
      </c>
      <c r="I388" s="28">
        <f t="shared" ref="I388:I401" si="6">I387+G388-H388</f>
        <v>193050.79000000021</v>
      </c>
    </row>
    <row r="389" spans="1:9" x14ac:dyDescent="0.3">
      <c r="A389" s="16" t="s">
        <v>303</v>
      </c>
      <c r="B389" s="16" t="s">
        <v>304</v>
      </c>
      <c r="C389" s="25">
        <v>46000</v>
      </c>
      <c r="D389" s="16" t="s">
        <v>305</v>
      </c>
      <c r="E389" s="16" t="s">
        <v>311</v>
      </c>
      <c r="F389" s="16"/>
      <c r="G389" s="28">
        <v>0</v>
      </c>
      <c r="H389" s="28">
        <v>1546</v>
      </c>
      <c r="I389" s="28">
        <f t="shared" si="6"/>
        <v>191504.79000000021</v>
      </c>
    </row>
    <row r="390" spans="1:9" x14ac:dyDescent="0.3">
      <c r="A390" s="16" t="s">
        <v>303</v>
      </c>
      <c r="B390" s="16" t="s">
        <v>304</v>
      </c>
      <c r="C390" s="25">
        <v>46000</v>
      </c>
      <c r="D390" s="16" t="s">
        <v>305</v>
      </c>
      <c r="E390" s="16" t="s">
        <v>311</v>
      </c>
      <c r="F390" s="16"/>
      <c r="G390" s="28">
        <v>0</v>
      </c>
      <c r="H390" s="28">
        <v>2445</v>
      </c>
      <c r="I390" s="28">
        <f t="shared" si="6"/>
        <v>189059.79000000021</v>
      </c>
    </row>
    <row r="391" spans="1:9" x14ac:dyDescent="0.3">
      <c r="A391" s="16" t="s">
        <v>303</v>
      </c>
      <c r="B391" s="16" t="s">
        <v>304</v>
      </c>
      <c r="C391" s="25">
        <v>46000</v>
      </c>
      <c r="D391" s="16" t="s">
        <v>305</v>
      </c>
      <c r="E391" s="16" t="s">
        <v>311</v>
      </c>
      <c r="F391" s="16"/>
      <c r="G391" s="28">
        <v>0</v>
      </c>
      <c r="H391" s="28">
        <v>1872</v>
      </c>
      <c r="I391" s="28">
        <f t="shared" si="6"/>
        <v>187187.79000000021</v>
      </c>
    </row>
    <row r="392" spans="1:9" x14ac:dyDescent="0.3">
      <c r="A392" s="16" t="s">
        <v>303</v>
      </c>
      <c r="B392" s="16" t="s">
        <v>304</v>
      </c>
      <c r="C392" s="25">
        <v>46000</v>
      </c>
      <c r="D392" s="16" t="s">
        <v>305</v>
      </c>
      <c r="E392" s="16" t="s">
        <v>311</v>
      </c>
      <c r="F392" s="16"/>
      <c r="G392" s="28">
        <v>0</v>
      </c>
      <c r="H392" s="28">
        <v>120</v>
      </c>
      <c r="I392" s="28">
        <f t="shared" si="6"/>
        <v>187067.79000000021</v>
      </c>
    </row>
    <row r="393" spans="1:9" x14ac:dyDescent="0.3">
      <c r="A393" s="16" t="s">
        <v>303</v>
      </c>
      <c r="B393" s="16" t="s">
        <v>304</v>
      </c>
      <c r="C393" s="25">
        <v>46000</v>
      </c>
      <c r="D393" s="16" t="s">
        <v>305</v>
      </c>
      <c r="E393" s="16" t="s">
        <v>311</v>
      </c>
      <c r="F393" s="16"/>
      <c r="G393" s="28">
        <v>0</v>
      </c>
      <c r="H393" s="28">
        <v>7602</v>
      </c>
      <c r="I393" s="28">
        <f t="shared" si="6"/>
        <v>179465.79000000021</v>
      </c>
    </row>
    <row r="394" spans="1:9" x14ac:dyDescent="0.3">
      <c r="A394" s="16" t="s">
        <v>303</v>
      </c>
      <c r="B394" s="16" t="s">
        <v>304</v>
      </c>
      <c r="C394" s="25">
        <v>46000</v>
      </c>
      <c r="D394" s="16" t="s">
        <v>305</v>
      </c>
      <c r="E394" s="16" t="s">
        <v>311</v>
      </c>
      <c r="F394" s="16"/>
      <c r="G394" s="28">
        <v>0</v>
      </c>
      <c r="H394" s="28">
        <v>315</v>
      </c>
      <c r="I394" s="28">
        <f t="shared" si="6"/>
        <v>179150.79000000021</v>
      </c>
    </row>
    <row r="395" spans="1:9" x14ac:dyDescent="0.3">
      <c r="A395" s="16" t="s">
        <v>303</v>
      </c>
      <c r="B395" s="16" t="s">
        <v>304</v>
      </c>
      <c r="C395" s="25">
        <v>46000</v>
      </c>
      <c r="D395" s="16" t="s">
        <v>305</v>
      </c>
      <c r="E395" s="16" t="s">
        <v>311</v>
      </c>
      <c r="F395" s="16"/>
      <c r="G395" s="28">
        <v>0</v>
      </c>
      <c r="H395" s="28">
        <v>139</v>
      </c>
      <c r="I395" s="28">
        <f t="shared" si="6"/>
        <v>179011.79000000021</v>
      </c>
    </row>
    <row r="396" spans="1:9" x14ac:dyDescent="0.3">
      <c r="A396" s="16" t="s">
        <v>303</v>
      </c>
      <c r="B396" s="16" t="s">
        <v>304</v>
      </c>
      <c r="C396" s="25">
        <v>46004</v>
      </c>
      <c r="D396" s="16" t="s">
        <v>337</v>
      </c>
      <c r="E396" s="16" t="s">
        <v>311</v>
      </c>
      <c r="F396" s="16"/>
      <c r="G396" s="28">
        <v>13469.36</v>
      </c>
      <c r="H396" s="28">
        <v>0</v>
      </c>
      <c r="I396" s="28">
        <f t="shared" si="6"/>
        <v>192481.1500000002</v>
      </c>
    </row>
    <row r="397" spans="1:9" x14ac:dyDescent="0.3">
      <c r="A397" s="16" t="s">
        <v>303</v>
      </c>
      <c r="B397" s="16" t="s">
        <v>304</v>
      </c>
      <c r="C397" s="25">
        <v>46006</v>
      </c>
      <c r="D397" s="16" t="s">
        <v>308</v>
      </c>
      <c r="E397" s="16" t="s">
        <v>309</v>
      </c>
      <c r="F397" s="16" t="s">
        <v>375</v>
      </c>
      <c r="G397" s="28">
        <v>1908028</v>
      </c>
      <c r="H397" s="28"/>
      <c r="I397" s="28">
        <f t="shared" si="6"/>
        <v>2100509.1500000004</v>
      </c>
    </row>
    <row r="398" spans="1:9" x14ac:dyDescent="0.3">
      <c r="A398" s="16" t="s">
        <v>303</v>
      </c>
      <c r="B398" s="16" t="s">
        <v>304</v>
      </c>
      <c r="C398" s="25">
        <v>46008</v>
      </c>
      <c r="D398" s="16" t="s">
        <v>305</v>
      </c>
      <c r="E398" s="16" t="s">
        <v>339</v>
      </c>
      <c r="F398" s="16"/>
      <c r="G398" s="28">
        <v>0</v>
      </c>
      <c r="H398" s="28">
        <v>374000</v>
      </c>
      <c r="I398" s="28">
        <f t="shared" si="6"/>
        <v>1726509.1500000004</v>
      </c>
    </row>
    <row r="399" spans="1:9" x14ac:dyDescent="0.3">
      <c r="A399" s="16" t="s">
        <v>303</v>
      </c>
      <c r="B399" s="16" t="s">
        <v>304</v>
      </c>
      <c r="C399" s="25">
        <v>46017</v>
      </c>
      <c r="D399" s="16" t="s">
        <v>305</v>
      </c>
      <c r="E399" s="16" t="s">
        <v>311</v>
      </c>
      <c r="F399" s="16"/>
      <c r="G399" s="28">
        <v>0</v>
      </c>
      <c r="H399" s="28">
        <v>79</v>
      </c>
      <c r="I399" s="28">
        <f t="shared" si="6"/>
        <v>1726430.1500000004</v>
      </c>
    </row>
    <row r="400" spans="1:9" x14ac:dyDescent="0.3">
      <c r="A400" s="16" t="s">
        <v>303</v>
      </c>
      <c r="B400" s="16" t="s">
        <v>304</v>
      </c>
      <c r="C400" s="25">
        <v>46017</v>
      </c>
      <c r="D400" s="16" t="s">
        <v>305</v>
      </c>
      <c r="E400" s="16" t="s">
        <v>311</v>
      </c>
      <c r="F400" s="16"/>
      <c r="G400" s="28">
        <v>0</v>
      </c>
      <c r="H400" s="28">
        <v>3971</v>
      </c>
      <c r="I400" s="28">
        <f t="shared" si="6"/>
        <v>1722459.1500000004</v>
      </c>
    </row>
    <row r="401" spans="1:11" x14ac:dyDescent="0.3">
      <c r="A401" s="16" t="s">
        <v>303</v>
      </c>
      <c r="B401" s="16" t="s">
        <v>304</v>
      </c>
      <c r="C401" s="25">
        <v>46017</v>
      </c>
      <c r="D401" s="16" t="s">
        <v>305</v>
      </c>
      <c r="E401" s="16" t="s">
        <v>311</v>
      </c>
      <c r="F401" s="16"/>
      <c r="G401" s="28"/>
      <c r="H401" s="28">
        <v>3185</v>
      </c>
      <c r="I401" s="28">
        <f t="shared" si="6"/>
        <v>1719274.1500000004</v>
      </c>
      <c r="J401" s="31">
        <f>1200297-1719274-1200297-1200297</f>
        <v>-2919571</v>
      </c>
      <c r="K401" s="32" t="s">
        <v>894</v>
      </c>
    </row>
    <row r="402" spans="1:11" x14ac:dyDescent="0.3">
      <c r="G402" s="38">
        <f>SUM(G2:G401)</f>
        <v>19041793.619999997</v>
      </c>
      <c r="H402" s="38">
        <f>SUM(H2:H401)</f>
        <v>17322519.469999999</v>
      </c>
      <c r="I402" s="38">
        <f>G402-H402</f>
        <v>1719274.1499999985</v>
      </c>
    </row>
    <row r="407" spans="1:11" x14ac:dyDescent="0.3">
      <c r="J407" s="33">
        <f>1200297+'9'!K75</f>
        <v>-167113.20189999999</v>
      </c>
      <c r="K407" t="s">
        <v>891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81C4-CBEA-496D-9523-968661218988}">
  <sheetPr>
    <tabColor rgb="FF7030A0"/>
  </sheetPr>
  <dimension ref="A1:J61"/>
  <sheetViews>
    <sheetView topLeftCell="A40" workbookViewId="0">
      <pane ySplit="1" topLeftCell="A47" activePane="bottomLeft" state="frozen"/>
      <selection activeCell="A40" sqref="A40"/>
      <selection pane="bottomLeft" activeCell="D67" sqref="D67"/>
    </sheetView>
  </sheetViews>
  <sheetFormatPr baseColWidth="10" defaultRowHeight="14" x14ac:dyDescent="0.3"/>
  <cols>
    <col min="1" max="1" width="2.69921875" customWidth="1"/>
    <col min="3" max="3" width="8.3984375" customWidth="1"/>
    <col min="4" max="4" width="36.09765625" customWidth="1"/>
    <col min="6" max="6" width="24.59765625" customWidth="1"/>
  </cols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 s="1">
        <v>45772</v>
      </c>
      <c r="C2" s="2">
        <v>2553</v>
      </c>
      <c r="D2" t="s">
        <v>11</v>
      </c>
      <c r="E2" t="s">
        <v>10</v>
      </c>
      <c r="H2" s="2">
        <v>3070443</v>
      </c>
      <c r="I2" s="2">
        <f>-H2</f>
        <v>-3070443</v>
      </c>
    </row>
    <row r="3" spans="1:9" hidden="1" x14ac:dyDescent="0.3">
      <c r="A3" t="s">
        <v>29</v>
      </c>
      <c r="B3" s="1">
        <v>45792</v>
      </c>
      <c r="C3" s="2">
        <v>2743</v>
      </c>
      <c r="D3" t="s">
        <v>30</v>
      </c>
      <c r="E3" t="s">
        <v>10</v>
      </c>
      <c r="G3" s="2">
        <v>3070443</v>
      </c>
      <c r="I3" s="2">
        <f>+I2+G3</f>
        <v>0</v>
      </c>
    </row>
    <row r="4" spans="1:9" hidden="1" x14ac:dyDescent="0.3">
      <c r="A4" t="s">
        <v>40</v>
      </c>
      <c r="B4" s="1">
        <v>45805</v>
      </c>
      <c r="C4" s="2">
        <v>2907</v>
      </c>
      <c r="D4" t="s">
        <v>11</v>
      </c>
      <c r="E4" t="s">
        <v>10</v>
      </c>
      <c r="H4" s="2">
        <v>1231423</v>
      </c>
      <c r="I4" s="2">
        <f>-H4</f>
        <v>-1231423</v>
      </c>
    </row>
    <row r="5" spans="1:9" hidden="1" x14ac:dyDescent="0.3">
      <c r="A5" t="s">
        <v>61</v>
      </c>
      <c r="B5" s="1">
        <v>45820</v>
      </c>
      <c r="C5" s="2">
        <v>2863</v>
      </c>
      <c r="D5" t="s">
        <v>30</v>
      </c>
      <c r="E5" t="s">
        <v>10</v>
      </c>
      <c r="G5" s="2">
        <v>1231423</v>
      </c>
      <c r="I5" s="2">
        <f>+I4+G5</f>
        <v>0</v>
      </c>
    </row>
    <row r="6" spans="1:9" hidden="1" x14ac:dyDescent="0.3">
      <c r="A6" t="s">
        <v>62</v>
      </c>
      <c r="B6" s="1">
        <v>45834</v>
      </c>
      <c r="C6" s="2">
        <v>2912</v>
      </c>
      <c r="D6" t="s">
        <v>63</v>
      </c>
      <c r="E6" t="s">
        <v>10</v>
      </c>
      <c r="H6" s="2">
        <v>981428</v>
      </c>
      <c r="I6" s="2">
        <f>-H6</f>
        <v>-981428</v>
      </c>
    </row>
    <row r="7" spans="1:9" hidden="1" x14ac:dyDescent="0.3">
      <c r="A7" t="s">
        <v>75</v>
      </c>
      <c r="B7" s="1">
        <v>45848</v>
      </c>
      <c r="C7" s="2">
        <v>3049</v>
      </c>
      <c r="D7" t="s">
        <v>30</v>
      </c>
      <c r="E7" t="s">
        <v>10</v>
      </c>
      <c r="G7" s="2">
        <v>981428</v>
      </c>
      <c r="I7" s="2">
        <f>+I6+G7</f>
        <v>0</v>
      </c>
    </row>
    <row r="8" spans="1:9" hidden="1" x14ac:dyDescent="0.3">
      <c r="A8" t="s">
        <v>73</v>
      </c>
      <c r="B8" s="1">
        <v>45845</v>
      </c>
      <c r="C8" s="2">
        <v>3041</v>
      </c>
      <c r="D8" t="s">
        <v>74</v>
      </c>
      <c r="E8" t="s">
        <v>10</v>
      </c>
      <c r="G8" s="2">
        <v>33059</v>
      </c>
      <c r="I8" s="2">
        <f>+G8</f>
        <v>33059</v>
      </c>
    </row>
    <row r="9" spans="1:9" hidden="1" x14ac:dyDescent="0.3">
      <c r="A9" t="s">
        <v>79</v>
      </c>
      <c r="B9" s="1">
        <v>45867</v>
      </c>
      <c r="C9" s="2">
        <v>3092</v>
      </c>
      <c r="D9" t="s">
        <v>80</v>
      </c>
      <c r="E9" t="s">
        <v>10</v>
      </c>
      <c r="H9" s="2">
        <v>1861875</v>
      </c>
      <c r="I9" s="2">
        <f>-H9</f>
        <v>-1861875</v>
      </c>
    </row>
    <row r="10" spans="1:9" hidden="1" x14ac:dyDescent="0.3">
      <c r="A10" t="s">
        <v>83</v>
      </c>
      <c r="B10" s="1">
        <v>45869</v>
      </c>
      <c r="C10" s="2">
        <v>3271</v>
      </c>
      <c r="D10" t="s">
        <v>84</v>
      </c>
      <c r="E10" t="s">
        <v>10</v>
      </c>
      <c r="H10" s="2">
        <v>1913232</v>
      </c>
      <c r="I10" s="2">
        <f>-H10</f>
        <v>-1913232</v>
      </c>
    </row>
    <row r="11" spans="1:9" hidden="1" x14ac:dyDescent="0.3">
      <c r="A11" t="s">
        <v>85</v>
      </c>
      <c r="B11" s="1">
        <v>45869</v>
      </c>
      <c r="C11" s="2">
        <v>3272</v>
      </c>
      <c r="D11" t="s">
        <v>86</v>
      </c>
      <c r="E11" t="s">
        <v>10</v>
      </c>
      <c r="H11" s="2">
        <v>2328147</v>
      </c>
      <c r="I11" s="2">
        <f>-H11</f>
        <v>-2328147</v>
      </c>
    </row>
    <row r="12" spans="1:9" hidden="1" x14ac:dyDescent="0.3">
      <c r="A12" t="s">
        <v>87</v>
      </c>
      <c r="B12" s="1">
        <v>45869</v>
      </c>
      <c r="C12" s="2">
        <v>3273</v>
      </c>
      <c r="D12" t="s">
        <v>88</v>
      </c>
      <c r="E12" t="s">
        <v>10</v>
      </c>
      <c r="H12" s="2">
        <v>1497172</v>
      </c>
      <c r="I12" s="2">
        <f>-H12</f>
        <v>-1497172</v>
      </c>
    </row>
    <row r="13" spans="1:9" hidden="1" x14ac:dyDescent="0.3"/>
    <row r="14" spans="1:9" hidden="1" x14ac:dyDescent="0.3"/>
    <row r="15" spans="1:9" hidden="1" x14ac:dyDescent="0.3">
      <c r="A15" t="s">
        <v>9</v>
      </c>
      <c r="B15" s="1">
        <v>45772</v>
      </c>
      <c r="C15" s="2">
        <v>2553</v>
      </c>
      <c r="D15" t="s">
        <v>11</v>
      </c>
      <c r="E15" t="s">
        <v>125</v>
      </c>
      <c r="G15">
        <v>975.05</v>
      </c>
      <c r="I15">
        <v>975.05</v>
      </c>
    </row>
    <row r="16" spans="1:9" hidden="1" x14ac:dyDescent="0.3">
      <c r="A16" t="s">
        <v>9</v>
      </c>
      <c r="B16" s="1">
        <v>45772</v>
      </c>
      <c r="C16" s="2">
        <v>2553</v>
      </c>
      <c r="D16" t="s">
        <v>11</v>
      </c>
      <c r="E16" t="s">
        <v>125</v>
      </c>
      <c r="H16">
        <v>975.05</v>
      </c>
      <c r="I16">
        <v>0</v>
      </c>
    </row>
    <row r="17" spans="2:10" hidden="1" x14ac:dyDescent="0.3"/>
    <row r="18" spans="2:10" hidden="1" x14ac:dyDescent="0.3"/>
    <row r="19" spans="2:10" hidden="1" x14ac:dyDescent="0.3">
      <c r="D19" s="9" t="s">
        <v>127</v>
      </c>
      <c r="F19" s="10">
        <v>1861875</v>
      </c>
    </row>
    <row r="20" spans="2:10" hidden="1" x14ac:dyDescent="0.3"/>
    <row r="21" spans="2:10" hidden="1" x14ac:dyDescent="0.3"/>
    <row r="22" spans="2:10" hidden="1" x14ac:dyDescent="0.3">
      <c r="B22" s="11" t="s">
        <v>2</v>
      </c>
      <c r="C22" s="11" t="s">
        <v>3</v>
      </c>
      <c r="D22" s="11"/>
      <c r="E22" s="11" t="s">
        <v>4</v>
      </c>
      <c r="G22" s="11" t="s">
        <v>6</v>
      </c>
      <c r="H22" s="11" t="s">
        <v>7</v>
      </c>
      <c r="I22" s="11" t="s">
        <v>8</v>
      </c>
    </row>
    <row r="23" spans="2:10" hidden="1" x14ac:dyDescent="0.3">
      <c r="B23" s="1">
        <v>45772</v>
      </c>
      <c r="C23" s="2">
        <v>2553</v>
      </c>
      <c r="D23" t="s">
        <v>11</v>
      </c>
      <c r="E23" t="s">
        <v>10</v>
      </c>
      <c r="H23" s="6">
        <v>3070443</v>
      </c>
      <c r="I23" s="2">
        <v>-2948765</v>
      </c>
    </row>
    <row r="24" spans="2:10" hidden="1" x14ac:dyDescent="0.3">
      <c r="B24" s="1">
        <v>45792</v>
      </c>
      <c r="C24" s="2">
        <v>2743</v>
      </c>
      <c r="D24" t="s">
        <v>30</v>
      </c>
      <c r="E24" t="s">
        <v>10</v>
      </c>
      <c r="G24" s="6">
        <v>3070443</v>
      </c>
      <c r="I24" s="2">
        <v>-1268867</v>
      </c>
    </row>
    <row r="25" spans="2:10" hidden="1" x14ac:dyDescent="0.3">
      <c r="B25" s="1">
        <v>45805</v>
      </c>
      <c r="C25" s="2">
        <v>2907</v>
      </c>
      <c r="D25" t="s">
        <v>11</v>
      </c>
      <c r="E25" t="s">
        <v>10</v>
      </c>
      <c r="H25" s="6">
        <v>1231423</v>
      </c>
      <c r="I25" s="2">
        <v>-165685</v>
      </c>
    </row>
    <row r="26" spans="2:10" hidden="1" x14ac:dyDescent="0.3">
      <c r="B26" s="1">
        <v>45820</v>
      </c>
      <c r="C26" s="2">
        <v>2863</v>
      </c>
      <c r="D26" t="s">
        <v>30</v>
      </c>
      <c r="E26" t="s">
        <v>10</v>
      </c>
      <c r="G26" s="6">
        <v>1231423</v>
      </c>
      <c r="I26" s="2">
        <v>1406242</v>
      </c>
    </row>
    <row r="27" spans="2:10" hidden="1" x14ac:dyDescent="0.3">
      <c r="B27" s="1">
        <v>45834</v>
      </c>
      <c r="C27" s="2">
        <v>2912</v>
      </c>
      <c r="D27" t="s">
        <v>63</v>
      </c>
      <c r="E27" t="s">
        <v>10</v>
      </c>
      <c r="H27" s="6">
        <v>981428</v>
      </c>
      <c r="I27" s="2">
        <v>433814</v>
      </c>
    </row>
    <row r="28" spans="2:10" hidden="1" x14ac:dyDescent="0.3">
      <c r="B28" s="1">
        <v>45845</v>
      </c>
      <c r="C28" s="2">
        <v>3041</v>
      </c>
      <c r="D28" t="s">
        <v>74</v>
      </c>
      <c r="E28" t="s">
        <v>10</v>
      </c>
      <c r="G28" s="2">
        <v>33059</v>
      </c>
      <c r="I28" s="2">
        <v>-3526676</v>
      </c>
    </row>
    <row r="29" spans="2:10" hidden="1" x14ac:dyDescent="0.3">
      <c r="B29" s="1">
        <v>45848</v>
      </c>
      <c r="C29" s="2">
        <v>3049</v>
      </c>
      <c r="D29" t="s">
        <v>30</v>
      </c>
      <c r="E29" t="s">
        <v>10</v>
      </c>
      <c r="G29" s="6">
        <v>981428</v>
      </c>
      <c r="I29" s="2">
        <v>-2545248</v>
      </c>
    </row>
    <row r="30" spans="2:10" hidden="1" x14ac:dyDescent="0.3">
      <c r="B30" s="1">
        <v>45867</v>
      </c>
      <c r="C30" s="2">
        <v>3092</v>
      </c>
      <c r="D30" t="s">
        <v>80</v>
      </c>
      <c r="E30" t="s">
        <v>10</v>
      </c>
      <c r="H30" s="12">
        <v>1861875</v>
      </c>
      <c r="I30" s="2">
        <v>-2278830</v>
      </c>
    </row>
    <row r="31" spans="2:10" hidden="1" x14ac:dyDescent="0.3">
      <c r="B31" s="1">
        <v>45869</v>
      </c>
      <c r="C31" s="2">
        <v>3271</v>
      </c>
      <c r="D31" t="s">
        <v>84</v>
      </c>
      <c r="E31" t="s">
        <v>10</v>
      </c>
      <c r="H31" s="2">
        <v>1913232</v>
      </c>
      <c r="I31" s="2">
        <v>-6780412</v>
      </c>
      <c r="J31">
        <v>2011</v>
      </c>
    </row>
    <row r="32" spans="2:10" hidden="1" x14ac:dyDescent="0.3">
      <c r="B32" s="1">
        <v>45869</v>
      </c>
      <c r="C32" s="2">
        <v>3272</v>
      </c>
      <c r="D32" t="s">
        <v>86</v>
      </c>
      <c r="E32" t="s">
        <v>10</v>
      </c>
      <c r="H32" s="13">
        <v>2328147</v>
      </c>
      <c r="I32" s="2">
        <v>-9108559</v>
      </c>
      <c r="J32">
        <v>2011</v>
      </c>
    </row>
    <row r="33" spans="2:10" hidden="1" x14ac:dyDescent="0.3">
      <c r="B33" s="1">
        <v>45869</v>
      </c>
      <c r="C33" s="2">
        <v>3273</v>
      </c>
      <c r="D33" t="s">
        <v>88</v>
      </c>
      <c r="E33" t="s">
        <v>10</v>
      </c>
      <c r="H33" s="13">
        <v>1497172</v>
      </c>
      <c r="I33" s="2">
        <v>-10605731</v>
      </c>
    </row>
    <row r="34" spans="2:10" hidden="1" x14ac:dyDescent="0.3">
      <c r="B34" s="1">
        <v>45869</v>
      </c>
      <c r="C34" s="2">
        <v>3458</v>
      </c>
      <c r="D34" t="s">
        <v>161</v>
      </c>
      <c r="E34" t="s">
        <v>10</v>
      </c>
      <c r="H34" s="2">
        <v>460158</v>
      </c>
      <c r="I34" s="2">
        <v>-25653462</v>
      </c>
      <c r="J34" t="s">
        <v>170</v>
      </c>
    </row>
    <row r="35" spans="2:10" hidden="1" x14ac:dyDescent="0.3">
      <c r="B35" s="1">
        <v>45869</v>
      </c>
      <c r="C35" s="2">
        <v>3458</v>
      </c>
      <c r="D35" t="s">
        <v>161</v>
      </c>
      <c r="E35" t="s">
        <v>10</v>
      </c>
      <c r="H35" s="2">
        <v>100167</v>
      </c>
      <c r="I35" s="2">
        <v>-25753629</v>
      </c>
      <c r="J35" t="s">
        <v>170</v>
      </c>
    </row>
    <row r="36" spans="2:10" hidden="1" x14ac:dyDescent="0.3">
      <c r="B36" s="1">
        <v>45869</v>
      </c>
      <c r="C36" s="2">
        <v>3458</v>
      </c>
      <c r="D36" t="s">
        <v>161</v>
      </c>
      <c r="E36" t="s">
        <v>10</v>
      </c>
      <c r="H36" s="2">
        <v>289020</v>
      </c>
      <c r="I36" s="2">
        <v>-26042649</v>
      </c>
      <c r="J36" t="s">
        <v>170</v>
      </c>
    </row>
    <row r="37" spans="2:10" hidden="1" x14ac:dyDescent="0.3">
      <c r="B37" s="1">
        <v>45869</v>
      </c>
      <c r="C37" s="2">
        <v>3458</v>
      </c>
      <c r="D37" t="s">
        <v>161</v>
      </c>
      <c r="E37" t="s">
        <v>10</v>
      </c>
      <c r="H37" s="2">
        <v>356370</v>
      </c>
      <c r="I37" s="2">
        <v>-26399019</v>
      </c>
      <c r="J37" t="s">
        <v>170</v>
      </c>
    </row>
    <row r="38" spans="2:10" hidden="1" x14ac:dyDescent="0.3"/>
    <row r="39" spans="2:10" hidden="1" x14ac:dyDescent="0.3"/>
    <row r="40" spans="2:10" x14ac:dyDescent="0.3">
      <c r="B40" s="14" t="s">
        <v>2</v>
      </c>
      <c r="C40" s="14" t="s">
        <v>3</v>
      </c>
      <c r="D40" s="14"/>
      <c r="E40" s="14" t="s">
        <v>4</v>
      </c>
      <c r="F40" s="14" t="s">
        <v>5</v>
      </c>
      <c r="G40" s="14" t="s">
        <v>6</v>
      </c>
      <c r="H40" s="14" t="s">
        <v>7</v>
      </c>
      <c r="I40" s="14" t="s">
        <v>8</v>
      </c>
    </row>
    <row r="41" spans="2:10" x14ac:dyDescent="0.3">
      <c r="B41" s="1">
        <v>45772</v>
      </c>
      <c r="C41" s="2">
        <v>2553</v>
      </c>
      <c r="D41" t="s">
        <v>11</v>
      </c>
      <c r="E41" t="s">
        <v>10</v>
      </c>
      <c r="H41" s="2">
        <v>3070443</v>
      </c>
      <c r="I41" s="2">
        <f>-H41</f>
        <v>-3070443</v>
      </c>
    </row>
    <row r="42" spans="2:10" x14ac:dyDescent="0.3">
      <c r="B42" s="1">
        <v>45792</v>
      </c>
      <c r="C42" s="2">
        <v>2743</v>
      </c>
      <c r="D42" t="s">
        <v>30</v>
      </c>
      <c r="E42" t="s">
        <v>10</v>
      </c>
      <c r="G42" s="2">
        <v>3070443</v>
      </c>
      <c r="I42" s="2">
        <f>I41+G42-H42</f>
        <v>0</v>
      </c>
    </row>
    <row r="43" spans="2:10" x14ac:dyDescent="0.3">
      <c r="B43" s="1">
        <v>45805</v>
      </c>
      <c r="C43" s="2">
        <v>2907</v>
      </c>
      <c r="D43" t="s">
        <v>11</v>
      </c>
      <c r="E43" t="s">
        <v>10</v>
      </c>
      <c r="H43" s="2">
        <v>1231423</v>
      </c>
      <c r="I43" s="2">
        <f t="shared" ref="I43:I57" si="0">I42+G43-H43</f>
        <v>-1231423</v>
      </c>
    </row>
    <row r="44" spans="2:10" x14ac:dyDescent="0.3">
      <c r="B44" s="1">
        <v>45820</v>
      </c>
      <c r="C44" s="2">
        <v>2863</v>
      </c>
      <c r="D44" t="s">
        <v>30</v>
      </c>
      <c r="E44" t="s">
        <v>10</v>
      </c>
      <c r="G44" s="2">
        <v>1231423</v>
      </c>
      <c r="I44" s="2">
        <f t="shared" si="0"/>
        <v>0</v>
      </c>
    </row>
    <row r="45" spans="2:10" x14ac:dyDescent="0.3">
      <c r="B45" s="1">
        <v>45834</v>
      </c>
      <c r="C45" s="2">
        <v>2912</v>
      </c>
      <c r="D45" t="s">
        <v>63</v>
      </c>
      <c r="E45" t="s">
        <v>10</v>
      </c>
      <c r="H45" s="2">
        <v>981428</v>
      </c>
      <c r="I45" s="2">
        <f t="shared" si="0"/>
        <v>-981428</v>
      </c>
    </row>
    <row r="46" spans="2:10" x14ac:dyDescent="0.3">
      <c r="B46" s="1">
        <v>45845</v>
      </c>
      <c r="C46" s="2">
        <v>3041</v>
      </c>
      <c r="D46" t="s">
        <v>74</v>
      </c>
      <c r="E46" t="s">
        <v>10</v>
      </c>
      <c r="G46" s="2">
        <v>33059</v>
      </c>
      <c r="I46" s="2">
        <f t="shared" si="0"/>
        <v>-948369</v>
      </c>
    </row>
    <row r="47" spans="2:10" x14ac:dyDescent="0.3">
      <c r="B47" s="1">
        <v>45848</v>
      </c>
      <c r="C47" s="2">
        <v>3049</v>
      </c>
      <c r="D47" t="s">
        <v>30</v>
      </c>
      <c r="E47" t="s">
        <v>10</v>
      </c>
      <c r="G47" s="2">
        <v>981428</v>
      </c>
      <c r="I47" s="2">
        <f t="shared" si="0"/>
        <v>33059</v>
      </c>
    </row>
    <row r="48" spans="2:10" x14ac:dyDescent="0.3">
      <c r="B48" s="1">
        <v>45867</v>
      </c>
      <c r="C48" s="2">
        <v>3092</v>
      </c>
      <c r="D48" t="s">
        <v>80</v>
      </c>
      <c r="E48" t="s">
        <v>10</v>
      </c>
      <c r="H48" s="2">
        <v>1861875</v>
      </c>
      <c r="I48" s="2">
        <f t="shared" si="0"/>
        <v>-1828816</v>
      </c>
    </row>
    <row r="49" spans="2:9" x14ac:dyDescent="0.3">
      <c r="B49" s="1">
        <v>45869</v>
      </c>
      <c r="C49" s="2">
        <v>3271</v>
      </c>
      <c r="D49" t="s">
        <v>84</v>
      </c>
      <c r="E49" t="s">
        <v>10</v>
      </c>
      <c r="H49" s="2">
        <v>1913232</v>
      </c>
      <c r="I49" s="2">
        <f t="shared" si="0"/>
        <v>-3742048</v>
      </c>
    </row>
    <row r="50" spans="2:9" x14ac:dyDescent="0.3">
      <c r="B50" s="1">
        <v>45869</v>
      </c>
      <c r="C50" s="2">
        <v>3272</v>
      </c>
      <c r="D50" t="s">
        <v>86</v>
      </c>
      <c r="E50" t="s">
        <v>10</v>
      </c>
      <c r="H50" s="2">
        <v>2328147</v>
      </c>
      <c r="I50" s="2">
        <f t="shared" si="0"/>
        <v>-6070195</v>
      </c>
    </row>
    <row r="51" spans="2:9" x14ac:dyDescent="0.3">
      <c r="B51" s="1">
        <v>45869</v>
      </c>
      <c r="C51" s="2">
        <v>3273</v>
      </c>
      <c r="D51" t="s">
        <v>88</v>
      </c>
      <c r="E51" t="s">
        <v>10</v>
      </c>
      <c r="H51" s="2">
        <v>1497172</v>
      </c>
      <c r="I51" s="2">
        <f t="shared" si="0"/>
        <v>-7567367</v>
      </c>
    </row>
    <row r="52" spans="2:9" x14ac:dyDescent="0.3">
      <c r="B52" s="1">
        <v>45869</v>
      </c>
      <c r="C52" s="2">
        <v>3458</v>
      </c>
      <c r="D52" t="s">
        <v>161</v>
      </c>
      <c r="E52" t="s">
        <v>10</v>
      </c>
      <c r="H52" s="2">
        <v>460158</v>
      </c>
      <c r="I52" s="2">
        <f t="shared" si="0"/>
        <v>-8027525</v>
      </c>
    </row>
    <row r="53" spans="2:9" x14ac:dyDescent="0.3">
      <c r="B53" s="1">
        <v>45869</v>
      </c>
      <c r="C53" s="2">
        <v>3458</v>
      </c>
      <c r="D53" t="s">
        <v>161</v>
      </c>
      <c r="E53" t="s">
        <v>10</v>
      </c>
      <c r="H53" s="2">
        <v>100167</v>
      </c>
      <c r="I53" s="2">
        <f t="shared" si="0"/>
        <v>-8127692</v>
      </c>
    </row>
    <row r="54" spans="2:9" x14ac:dyDescent="0.3">
      <c r="B54" s="1">
        <v>45869</v>
      </c>
      <c r="C54" s="2">
        <v>3458</v>
      </c>
      <c r="D54" t="s">
        <v>161</v>
      </c>
      <c r="E54" t="s">
        <v>10</v>
      </c>
      <c r="H54" s="2">
        <v>289020</v>
      </c>
      <c r="I54" s="2">
        <f t="shared" si="0"/>
        <v>-8416712</v>
      </c>
    </row>
    <row r="55" spans="2:9" x14ac:dyDescent="0.3">
      <c r="B55" s="1">
        <v>45869</v>
      </c>
      <c r="C55" s="2">
        <v>3458</v>
      </c>
      <c r="D55" t="s">
        <v>161</v>
      </c>
      <c r="E55" t="s">
        <v>10</v>
      </c>
      <c r="H55" s="2">
        <v>356370</v>
      </c>
      <c r="I55" s="2">
        <f t="shared" si="0"/>
        <v>-8773082</v>
      </c>
    </row>
    <row r="56" spans="2:9" x14ac:dyDescent="0.3">
      <c r="B56" s="1">
        <v>45869</v>
      </c>
      <c r="C56" s="2">
        <v>3574</v>
      </c>
      <c r="D56" t="s">
        <v>194</v>
      </c>
      <c r="E56" t="s">
        <v>10</v>
      </c>
      <c r="G56" s="2">
        <v>5414035</v>
      </c>
      <c r="I56" s="2">
        <f t="shared" si="0"/>
        <v>-3359047</v>
      </c>
    </row>
    <row r="57" spans="2:9" x14ac:dyDescent="0.3">
      <c r="B57" s="1">
        <v>45762</v>
      </c>
      <c r="C57" s="2">
        <v>2510</v>
      </c>
      <c r="D57" t="s">
        <v>188</v>
      </c>
      <c r="E57" t="s">
        <v>10</v>
      </c>
      <c r="G57" s="2">
        <v>1497172</v>
      </c>
      <c r="I57" s="2">
        <f t="shared" si="0"/>
        <v>-1861875</v>
      </c>
    </row>
    <row r="58" spans="2:9" x14ac:dyDescent="0.3">
      <c r="B58" s="1">
        <v>45882</v>
      </c>
      <c r="C58" s="2">
        <v>3258</v>
      </c>
      <c r="D58" t="s">
        <v>202</v>
      </c>
      <c r="E58" t="s">
        <v>10</v>
      </c>
      <c r="G58" s="2">
        <v>1861875</v>
      </c>
      <c r="I58" s="2">
        <f>I57+G58-H58</f>
        <v>0</v>
      </c>
    </row>
    <row r="59" spans="2:9" x14ac:dyDescent="0.3">
      <c r="B59" s="1">
        <v>45896</v>
      </c>
      <c r="C59" s="2">
        <v>3484</v>
      </c>
      <c r="D59" t="s">
        <v>80</v>
      </c>
      <c r="E59" t="s">
        <v>10</v>
      </c>
      <c r="H59" s="2">
        <v>607271</v>
      </c>
      <c r="I59" s="2">
        <f>I58+G59-H59</f>
        <v>-607271</v>
      </c>
    </row>
    <row r="60" spans="2:9" x14ac:dyDescent="0.3">
      <c r="B60" s="1">
        <v>45911</v>
      </c>
      <c r="C60" s="2">
        <v>3531</v>
      </c>
      <c r="D60" t="s">
        <v>202</v>
      </c>
      <c r="E60" t="s">
        <v>10</v>
      </c>
      <c r="G60" s="2">
        <v>607270</v>
      </c>
      <c r="I60" s="2">
        <f>I59+G60-H60</f>
        <v>-1</v>
      </c>
    </row>
    <row r="61" spans="2:9" x14ac:dyDescent="0.3">
      <c r="I61" s="15">
        <v>0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F9EB-5323-4C8E-8C3C-8B4A2B0AA8D8}">
  <dimension ref="A1:K276"/>
  <sheetViews>
    <sheetView topLeftCell="A254" workbookViewId="0">
      <selection activeCell="H269" sqref="H269"/>
    </sheetView>
  </sheetViews>
  <sheetFormatPr baseColWidth="10" defaultRowHeight="14" x14ac:dyDescent="0.3"/>
  <cols>
    <col min="7" max="8" width="11.19921875" style="4"/>
    <col min="9" max="9" width="12.59765625" style="4" bestFit="1" customWidth="1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9" x14ac:dyDescent="0.3">
      <c r="A2" s="16" t="s">
        <v>393</v>
      </c>
      <c r="B2" s="16" t="s">
        <v>394</v>
      </c>
      <c r="C2" s="25">
        <v>45659</v>
      </c>
      <c r="D2" s="16" t="s">
        <v>312</v>
      </c>
      <c r="E2" s="16" t="s">
        <v>334</v>
      </c>
      <c r="F2" s="16" t="s">
        <v>395</v>
      </c>
      <c r="G2" s="28">
        <v>0</v>
      </c>
      <c r="H2" s="28">
        <v>156090</v>
      </c>
      <c r="I2" s="28">
        <f>+G2-H2</f>
        <v>-156090</v>
      </c>
    </row>
    <row r="3" spans="1:9" x14ac:dyDescent="0.3">
      <c r="A3" s="16" t="s">
        <v>393</v>
      </c>
      <c r="B3" s="16" t="s">
        <v>394</v>
      </c>
      <c r="C3" s="25">
        <v>45663</v>
      </c>
      <c r="D3" s="16" t="s">
        <v>312</v>
      </c>
      <c r="E3" s="16" t="s">
        <v>396</v>
      </c>
      <c r="F3" s="16" t="s">
        <v>397</v>
      </c>
      <c r="G3" s="28">
        <v>0</v>
      </c>
      <c r="H3" s="28">
        <v>294887</v>
      </c>
      <c r="I3" s="28">
        <f>I2+G3-H3</f>
        <v>-450977</v>
      </c>
    </row>
    <row r="4" spans="1:9" x14ac:dyDescent="0.3">
      <c r="A4" s="16" t="s">
        <v>393</v>
      </c>
      <c r="B4" s="16" t="s">
        <v>394</v>
      </c>
      <c r="C4" s="25">
        <v>45663</v>
      </c>
      <c r="D4" s="16" t="s">
        <v>312</v>
      </c>
      <c r="E4" s="16" t="s">
        <v>396</v>
      </c>
      <c r="F4" s="16" t="s">
        <v>398</v>
      </c>
      <c r="G4" s="28">
        <v>0</v>
      </c>
      <c r="H4" s="28">
        <v>24003</v>
      </c>
      <c r="I4" s="28">
        <f t="shared" ref="I4:I67" si="0">I3+G4-H4</f>
        <v>-474980</v>
      </c>
    </row>
    <row r="5" spans="1:9" x14ac:dyDescent="0.3">
      <c r="A5" s="16" t="s">
        <v>393</v>
      </c>
      <c r="B5" s="16" t="s">
        <v>394</v>
      </c>
      <c r="C5" s="25">
        <v>45664</v>
      </c>
      <c r="D5" s="16" t="s">
        <v>305</v>
      </c>
      <c r="E5" s="16" t="s">
        <v>306</v>
      </c>
      <c r="F5" s="16" t="s">
        <v>399</v>
      </c>
      <c r="G5" s="28">
        <v>0</v>
      </c>
      <c r="H5" s="28">
        <v>83390</v>
      </c>
      <c r="I5" s="28">
        <f t="shared" si="0"/>
        <v>-558370</v>
      </c>
    </row>
    <row r="6" spans="1:9" x14ac:dyDescent="0.3">
      <c r="A6" s="16" t="s">
        <v>393</v>
      </c>
      <c r="B6" s="16" t="s">
        <v>394</v>
      </c>
      <c r="C6" s="25">
        <v>45664</v>
      </c>
      <c r="D6" s="16" t="s">
        <v>312</v>
      </c>
      <c r="E6" s="16" t="s">
        <v>400</v>
      </c>
      <c r="F6" s="16" t="s">
        <v>401</v>
      </c>
      <c r="G6" s="28">
        <v>0</v>
      </c>
      <c r="H6" s="28">
        <v>208720</v>
      </c>
      <c r="I6" s="28">
        <f t="shared" si="0"/>
        <v>-767090</v>
      </c>
    </row>
    <row r="7" spans="1:9" x14ac:dyDescent="0.3">
      <c r="A7" s="16" t="s">
        <v>393</v>
      </c>
      <c r="B7" s="16" t="s">
        <v>394</v>
      </c>
      <c r="C7" s="25">
        <v>45666</v>
      </c>
      <c r="D7" s="16" t="s">
        <v>305</v>
      </c>
      <c r="E7" s="16" t="s">
        <v>306</v>
      </c>
      <c r="F7" s="16" t="s">
        <v>402</v>
      </c>
      <c r="G7" s="28">
        <v>0</v>
      </c>
      <c r="H7" s="28">
        <v>162830</v>
      </c>
      <c r="I7" s="28">
        <f t="shared" si="0"/>
        <v>-929920</v>
      </c>
    </row>
    <row r="8" spans="1:9" x14ac:dyDescent="0.3">
      <c r="A8" s="16" t="s">
        <v>393</v>
      </c>
      <c r="B8" s="16" t="s">
        <v>394</v>
      </c>
      <c r="C8" s="25">
        <v>45666</v>
      </c>
      <c r="D8" s="16" t="s">
        <v>305</v>
      </c>
      <c r="E8" s="16" t="s">
        <v>306</v>
      </c>
      <c r="F8" s="16" t="s">
        <v>403</v>
      </c>
      <c r="G8" s="28">
        <v>0</v>
      </c>
      <c r="H8" s="28">
        <v>15980</v>
      </c>
      <c r="I8" s="28">
        <f t="shared" si="0"/>
        <v>-945900</v>
      </c>
    </row>
    <row r="9" spans="1:9" x14ac:dyDescent="0.3">
      <c r="A9" s="16" t="s">
        <v>393</v>
      </c>
      <c r="B9" s="16" t="s">
        <v>394</v>
      </c>
      <c r="C9" s="25">
        <v>45666</v>
      </c>
      <c r="D9" s="16" t="s">
        <v>305</v>
      </c>
      <c r="E9" s="16" t="s">
        <v>306</v>
      </c>
      <c r="F9" s="16" t="s">
        <v>404</v>
      </c>
      <c r="G9" s="28">
        <v>0</v>
      </c>
      <c r="H9" s="28">
        <v>4380</v>
      </c>
      <c r="I9" s="28">
        <f t="shared" si="0"/>
        <v>-950280</v>
      </c>
    </row>
    <row r="10" spans="1:9" x14ac:dyDescent="0.3">
      <c r="A10" s="16" t="s">
        <v>393</v>
      </c>
      <c r="B10" s="16" t="s">
        <v>394</v>
      </c>
      <c r="C10" s="25">
        <v>45667</v>
      </c>
      <c r="D10" s="16" t="s">
        <v>305</v>
      </c>
      <c r="E10" s="16" t="s">
        <v>306</v>
      </c>
      <c r="F10" s="16" t="s">
        <v>405</v>
      </c>
      <c r="G10" s="28">
        <v>0</v>
      </c>
      <c r="H10" s="28">
        <v>22008</v>
      </c>
      <c r="I10" s="28">
        <f t="shared" si="0"/>
        <v>-972288</v>
      </c>
    </row>
    <row r="11" spans="1:9" x14ac:dyDescent="0.3">
      <c r="A11" s="16" t="s">
        <v>393</v>
      </c>
      <c r="B11" s="16" t="s">
        <v>394</v>
      </c>
      <c r="C11" s="25">
        <v>45667</v>
      </c>
      <c r="D11" s="16" t="s">
        <v>305</v>
      </c>
      <c r="E11" s="16" t="s">
        <v>306</v>
      </c>
      <c r="F11" s="16" t="s">
        <v>406</v>
      </c>
      <c r="G11" s="28">
        <v>0</v>
      </c>
      <c r="H11" s="28">
        <v>53148</v>
      </c>
      <c r="I11" s="28">
        <f t="shared" si="0"/>
        <v>-1025436</v>
      </c>
    </row>
    <row r="12" spans="1:9" x14ac:dyDescent="0.3">
      <c r="A12" s="16" t="s">
        <v>393</v>
      </c>
      <c r="B12" s="16" t="s">
        <v>394</v>
      </c>
      <c r="C12" s="25">
        <v>45670</v>
      </c>
      <c r="D12" s="16" t="s">
        <v>308</v>
      </c>
      <c r="E12" s="16" t="s">
        <v>407</v>
      </c>
      <c r="F12" s="16" t="s">
        <v>310</v>
      </c>
      <c r="G12" s="28">
        <v>949710</v>
      </c>
      <c r="H12" s="28">
        <v>0</v>
      </c>
      <c r="I12" s="28">
        <f t="shared" si="0"/>
        <v>-75726</v>
      </c>
    </row>
    <row r="13" spans="1:9" x14ac:dyDescent="0.3">
      <c r="A13" s="16" t="s">
        <v>393</v>
      </c>
      <c r="B13" s="16" t="s">
        <v>394</v>
      </c>
      <c r="C13" s="25">
        <v>45670</v>
      </c>
      <c r="D13" s="16" t="s">
        <v>305</v>
      </c>
      <c r="E13" s="16" t="s">
        <v>306</v>
      </c>
      <c r="F13" s="16" t="s">
        <v>408</v>
      </c>
      <c r="G13" s="28">
        <v>0</v>
      </c>
      <c r="H13" s="28">
        <v>29000</v>
      </c>
      <c r="I13" s="28">
        <f t="shared" si="0"/>
        <v>-104726</v>
      </c>
    </row>
    <row r="14" spans="1:9" x14ac:dyDescent="0.3">
      <c r="A14" s="16" t="s">
        <v>393</v>
      </c>
      <c r="B14" s="16" t="s">
        <v>394</v>
      </c>
      <c r="C14" s="25">
        <v>45670</v>
      </c>
      <c r="D14" s="16" t="s">
        <v>305</v>
      </c>
      <c r="E14" s="16" t="s">
        <v>306</v>
      </c>
      <c r="F14" s="16" t="s">
        <v>409</v>
      </c>
      <c r="G14" s="28">
        <v>0</v>
      </c>
      <c r="H14" s="28">
        <v>11889</v>
      </c>
      <c r="I14" s="28">
        <f t="shared" si="0"/>
        <v>-116615</v>
      </c>
    </row>
    <row r="15" spans="1:9" x14ac:dyDescent="0.3">
      <c r="A15" s="16" t="s">
        <v>393</v>
      </c>
      <c r="B15" s="16" t="s">
        <v>394</v>
      </c>
      <c r="C15" s="25">
        <v>45670</v>
      </c>
      <c r="D15" s="16" t="s">
        <v>305</v>
      </c>
      <c r="E15" s="16" t="s">
        <v>306</v>
      </c>
      <c r="F15" s="16" t="s">
        <v>410</v>
      </c>
      <c r="G15" s="28">
        <v>0</v>
      </c>
      <c r="H15" s="28">
        <v>20435</v>
      </c>
      <c r="I15" s="28">
        <f t="shared" si="0"/>
        <v>-137050</v>
      </c>
    </row>
    <row r="16" spans="1:9" x14ac:dyDescent="0.3">
      <c r="A16" s="16" t="s">
        <v>393</v>
      </c>
      <c r="B16" s="16" t="s">
        <v>394</v>
      </c>
      <c r="C16" s="25">
        <v>45670</v>
      </c>
      <c r="D16" s="16" t="s">
        <v>312</v>
      </c>
      <c r="E16" s="16" t="s">
        <v>411</v>
      </c>
      <c r="F16" s="16" t="s">
        <v>412</v>
      </c>
      <c r="G16" s="28">
        <v>0</v>
      </c>
      <c r="H16" s="28">
        <v>270740</v>
      </c>
      <c r="I16" s="28">
        <f t="shared" si="0"/>
        <v>-407790</v>
      </c>
    </row>
    <row r="17" spans="1:9" x14ac:dyDescent="0.3">
      <c r="A17" s="16" t="s">
        <v>393</v>
      </c>
      <c r="B17" s="16" t="s">
        <v>394</v>
      </c>
      <c r="C17" s="25">
        <v>45671</v>
      </c>
      <c r="D17" s="16" t="s">
        <v>312</v>
      </c>
      <c r="E17" s="16" t="s">
        <v>413</v>
      </c>
      <c r="F17" s="16" t="s">
        <v>414</v>
      </c>
      <c r="G17" s="28">
        <v>0</v>
      </c>
      <c r="H17" s="28">
        <v>6930</v>
      </c>
      <c r="I17" s="28">
        <f t="shared" si="0"/>
        <v>-414720</v>
      </c>
    </row>
    <row r="18" spans="1:9" x14ac:dyDescent="0.3">
      <c r="A18" s="16" t="s">
        <v>393</v>
      </c>
      <c r="B18" s="16" t="s">
        <v>394</v>
      </c>
      <c r="C18" s="25">
        <v>45673</v>
      </c>
      <c r="D18" s="16" t="s">
        <v>312</v>
      </c>
      <c r="E18" s="16" t="s">
        <v>313</v>
      </c>
      <c r="F18" s="16" t="s">
        <v>415</v>
      </c>
      <c r="G18" s="28">
        <v>0</v>
      </c>
      <c r="H18" s="28">
        <v>463114</v>
      </c>
      <c r="I18" s="28">
        <f t="shared" si="0"/>
        <v>-877834</v>
      </c>
    </row>
    <row r="19" spans="1:9" x14ac:dyDescent="0.3">
      <c r="A19" s="16" t="s">
        <v>393</v>
      </c>
      <c r="B19" s="16" t="s">
        <v>394</v>
      </c>
      <c r="C19" s="25">
        <v>45678</v>
      </c>
      <c r="D19" s="16" t="s">
        <v>305</v>
      </c>
      <c r="E19" s="16" t="s">
        <v>306</v>
      </c>
      <c r="F19" s="16" t="s">
        <v>416</v>
      </c>
      <c r="G19" s="28">
        <v>0</v>
      </c>
      <c r="H19" s="28">
        <v>24120</v>
      </c>
      <c r="I19" s="28">
        <f t="shared" si="0"/>
        <v>-901954</v>
      </c>
    </row>
    <row r="20" spans="1:9" x14ac:dyDescent="0.3">
      <c r="A20" s="16" t="s">
        <v>393</v>
      </c>
      <c r="B20" s="16" t="s">
        <v>394</v>
      </c>
      <c r="C20" s="25">
        <v>45678</v>
      </c>
      <c r="D20" s="16" t="s">
        <v>305</v>
      </c>
      <c r="E20" s="16" t="s">
        <v>417</v>
      </c>
      <c r="F20" s="16"/>
      <c r="G20" s="28">
        <v>1206</v>
      </c>
      <c r="H20" s="28">
        <v>0</v>
      </c>
      <c r="I20" s="28">
        <f t="shared" si="0"/>
        <v>-900748</v>
      </c>
    </row>
    <row r="21" spans="1:9" x14ac:dyDescent="0.3">
      <c r="A21" s="16" t="s">
        <v>393</v>
      </c>
      <c r="B21" s="16" t="s">
        <v>394</v>
      </c>
      <c r="C21" s="25">
        <v>45678</v>
      </c>
      <c r="D21" s="16" t="s">
        <v>305</v>
      </c>
      <c r="E21" s="16" t="s">
        <v>417</v>
      </c>
      <c r="F21" s="16"/>
      <c r="G21" s="28">
        <v>0</v>
      </c>
      <c r="H21" s="28">
        <v>1206</v>
      </c>
      <c r="I21" s="28">
        <f t="shared" si="0"/>
        <v>-901954</v>
      </c>
    </row>
    <row r="22" spans="1:9" x14ac:dyDescent="0.3">
      <c r="A22" s="16" t="s">
        <v>393</v>
      </c>
      <c r="B22" s="16" t="s">
        <v>394</v>
      </c>
      <c r="C22" s="25">
        <v>45684</v>
      </c>
      <c r="D22" s="16" t="s">
        <v>305</v>
      </c>
      <c r="E22" s="16" t="s">
        <v>306</v>
      </c>
      <c r="F22" s="16" t="s">
        <v>416</v>
      </c>
      <c r="G22" s="28">
        <v>0</v>
      </c>
      <c r="H22" s="28">
        <v>21759</v>
      </c>
      <c r="I22" s="28">
        <f t="shared" si="0"/>
        <v>-923713</v>
      </c>
    </row>
    <row r="23" spans="1:9" x14ac:dyDescent="0.3">
      <c r="A23" s="16" t="s">
        <v>393</v>
      </c>
      <c r="B23" s="16" t="s">
        <v>394</v>
      </c>
      <c r="C23" s="25">
        <v>45684</v>
      </c>
      <c r="D23" s="16" t="s">
        <v>305</v>
      </c>
      <c r="E23" s="16" t="s">
        <v>306</v>
      </c>
      <c r="F23" s="16" t="s">
        <v>418</v>
      </c>
      <c r="G23" s="28">
        <v>0</v>
      </c>
      <c r="H23" s="28">
        <v>9990</v>
      </c>
      <c r="I23" s="28">
        <f t="shared" si="0"/>
        <v>-933703</v>
      </c>
    </row>
    <row r="24" spans="1:9" x14ac:dyDescent="0.3">
      <c r="A24" s="16" t="s">
        <v>393</v>
      </c>
      <c r="B24" s="16" t="s">
        <v>394</v>
      </c>
      <c r="C24" s="25">
        <v>45684</v>
      </c>
      <c r="D24" s="16" t="s">
        <v>305</v>
      </c>
      <c r="E24" s="16" t="s">
        <v>417</v>
      </c>
      <c r="F24" s="16"/>
      <c r="G24" s="28">
        <v>0</v>
      </c>
      <c r="H24" s="28">
        <v>1036</v>
      </c>
      <c r="I24" s="28">
        <f t="shared" si="0"/>
        <v>-934739</v>
      </c>
    </row>
    <row r="25" spans="1:9" x14ac:dyDescent="0.3">
      <c r="A25" s="16" t="s">
        <v>393</v>
      </c>
      <c r="B25" s="16" t="s">
        <v>394</v>
      </c>
      <c r="C25" s="25">
        <v>45684</v>
      </c>
      <c r="D25" s="16" t="s">
        <v>305</v>
      </c>
      <c r="E25" s="16" t="s">
        <v>417</v>
      </c>
      <c r="F25" s="16"/>
      <c r="G25" s="28">
        <v>1036</v>
      </c>
      <c r="H25" s="28">
        <v>0</v>
      </c>
      <c r="I25" s="28">
        <f t="shared" si="0"/>
        <v>-933703</v>
      </c>
    </row>
    <row r="26" spans="1:9" x14ac:dyDescent="0.3">
      <c r="A26" s="16" t="s">
        <v>393</v>
      </c>
      <c r="B26" s="16" t="s">
        <v>394</v>
      </c>
      <c r="C26" s="25">
        <v>45686</v>
      </c>
      <c r="D26" s="16" t="s">
        <v>305</v>
      </c>
      <c r="E26" s="16" t="s">
        <v>311</v>
      </c>
      <c r="F26" s="16"/>
      <c r="G26" s="28">
        <v>0</v>
      </c>
      <c r="H26" s="28">
        <v>3839</v>
      </c>
      <c r="I26" s="28">
        <f t="shared" si="0"/>
        <v>-937542</v>
      </c>
    </row>
    <row r="27" spans="1:9" x14ac:dyDescent="0.3">
      <c r="A27" s="16" t="s">
        <v>393</v>
      </c>
      <c r="B27" s="16" t="s">
        <v>394</v>
      </c>
      <c r="C27" s="25">
        <v>45687</v>
      </c>
      <c r="D27" s="16" t="s">
        <v>312</v>
      </c>
      <c r="E27" s="16" t="s">
        <v>419</v>
      </c>
      <c r="F27" s="16" t="s">
        <v>420</v>
      </c>
      <c r="G27" s="28">
        <v>0</v>
      </c>
      <c r="H27" s="28">
        <v>53980</v>
      </c>
      <c r="I27" s="28">
        <f t="shared" si="0"/>
        <v>-991522</v>
      </c>
    </row>
    <row r="28" spans="1:9" x14ac:dyDescent="0.3">
      <c r="A28" s="16" t="s">
        <v>393</v>
      </c>
      <c r="B28" s="16" t="s">
        <v>394</v>
      </c>
      <c r="C28" s="25">
        <v>45689</v>
      </c>
      <c r="D28" s="16" t="s">
        <v>305</v>
      </c>
      <c r="E28" s="16" t="s">
        <v>306</v>
      </c>
      <c r="F28" s="16" t="s">
        <v>421</v>
      </c>
      <c r="G28" s="28">
        <v>0</v>
      </c>
      <c r="H28" s="28">
        <v>7420</v>
      </c>
      <c r="I28" s="28">
        <f t="shared" si="0"/>
        <v>-998942</v>
      </c>
    </row>
    <row r="29" spans="1:9" x14ac:dyDescent="0.3">
      <c r="A29" s="16" t="s">
        <v>393</v>
      </c>
      <c r="B29" s="16" t="s">
        <v>394</v>
      </c>
      <c r="C29" s="25">
        <v>45689</v>
      </c>
      <c r="D29" s="16" t="s">
        <v>305</v>
      </c>
      <c r="E29" s="16" t="s">
        <v>306</v>
      </c>
      <c r="F29" s="16" t="s">
        <v>422</v>
      </c>
      <c r="G29" s="28">
        <v>0</v>
      </c>
      <c r="H29" s="28">
        <v>12546</v>
      </c>
      <c r="I29" s="28">
        <f t="shared" si="0"/>
        <v>-1011488</v>
      </c>
    </row>
    <row r="30" spans="1:9" x14ac:dyDescent="0.3">
      <c r="A30" s="16" t="s">
        <v>393</v>
      </c>
      <c r="B30" s="16" t="s">
        <v>394</v>
      </c>
      <c r="C30" s="25">
        <v>45689</v>
      </c>
      <c r="D30" s="16" t="s">
        <v>305</v>
      </c>
      <c r="E30" s="16" t="s">
        <v>306</v>
      </c>
      <c r="F30" s="16" t="s">
        <v>423</v>
      </c>
      <c r="G30" s="28">
        <v>0</v>
      </c>
      <c r="H30" s="28">
        <v>10361</v>
      </c>
      <c r="I30" s="28">
        <f t="shared" si="0"/>
        <v>-1021849</v>
      </c>
    </row>
    <row r="31" spans="1:9" x14ac:dyDescent="0.3">
      <c r="A31" s="16" t="s">
        <v>393</v>
      </c>
      <c r="B31" s="16" t="s">
        <v>394</v>
      </c>
      <c r="C31" s="25">
        <v>45689</v>
      </c>
      <c r="D31" s="16" t="s">
        <v>318</v>
      </c>
      <c r="E31" s="16" t="s">
        <v>319</v>
      </c>
      <c r="F31" s="16"/>
      <c r="G31" s="28">
        <v>20</v>
      </c>
      <c r="H31" s="28">
        <v>0</v>
      </c>
      <c r="I31" s="28">
        <f t="shared" si="0"/>
        <v>-1021829</v>
      </c>
    </row>
    <row r="32" spans="1:9" x14ac:dyDescent="0.3">
      <c r="A32" s="16" t="s">
        <v>393</v>
      </c>
      <c r="B32" s="16" t="s">
        <v>394</v>
      </c>
      <c r="C32" s="25">
        <v>45691</v>
      </c>
      <c r="D32" s="16" t="s">
        <v>305</v>
      </c>
      <c r="E32" s="16" t="s">
        <v>306</v>
      </c>
      <c r="F32" s="16" t="s">
        <v>424</v>
      </c>
      <c r="G32" s="28">
        <v>0</v>
      </c>
      <c r="H32" s="28">
        <v>109395</v>
      </c>
      <c r="I32" s="28">
        <f t="shared" si="0"/>
        <v>-1131224</v>
      </c>
    </row>
    <row r="33" spans="1:9" x14ac:dyDescent="0.3">
      <c r="A33" s="16" t="s">
        <v>393</v>
      </c>
      <c r="B33" s="16" t="s">
        <v>394</v>
      </c>
      <c r="C33" s="25">
        <v>45691</v>
      </c>
      <c r="D33" s="16" t="s">
        <v>305</v>
      </c>
      <c r="E33" s="16" t="s">
        <v>306</v>
      </c>
      <c r="F33" s="16" t="s">
        <v>425</v>
      </c>
      <c r="G33" s="28">
        <v>0</v>
      </c>
      <c r="H33" s="28">
        <v>23607</v>
      </c>
      <c r="I33" s="28">
        <f t="shared" si="0"/>
        <v>-1154831</v>
      </c>
    </row>
    <row r="34" spans="1:9" x14ac:dyDescent="0.3">
      <c r="A34" s="16" t="s">
        <v>393</v>
      </c>
      <c r="B34" s="16" t="s">
        <v>394</v>
      </c>
      <c r="C34" s="25">
        <v>45691</v>
      </c>
      <c r="D34" s="16" t="s">
        <v>305</v>
      </c>
      <c r="E34" s="16" t="s">
        <v>306</v>
      </c>
      <c r="F34" s="16" t="s">
        <v>426</v>
      </c>
      <c r="G34" s="28">
        <v>0</v>
      </c>
      <c r="H34" s="28">
        <v>6600</v>
      </c>
      <c r="I34" s="28">
        <f t="shared" si="0"/>
        <v>-1161431</v>
      </c>
    </row>
    <row r="35" spans="1:9" x14ac:dyDescent="0.3">
      <c r="A35" s="16" t="s">
        <v>393</v>
      </c>
      <c r="B35" s="16" t="s">
        <v>394</v>
      </c>
      <c r="C35" s="25">
        <v>45691</v>
      </c>
      <c r="D35" s="16" t="s">
        <v>305</v>
      </c>
      <c r="E35" s="16" t="s">
        <v>306</v>
      </c>
      <c r="F35" s="16" t="s">
        <v>427</v>
      </c>
      <c r="G35" s="28">
        <v>0</v>
      </c>
      <c r="H35" s="28">
        <v>4333</v>
      </c>
      <c r="I35" s="28">
        <f t="shared" si="0"/>
        <v>-1165764</v>
      </c>
    </row>
    <row r="36" spans="1:9" x14ac:dyDescent="0.3">
      <c r="A36" s="16" t="s">
        <v>393</v>
      </c>
      <c r="B36" s="16" t="s">
        <v>394</v>
      </c>
      <c r="C36" s="25">
        <v>45691</v>
      </c>
      <c r="D36" s="16" t="s">
        <v>305</v>
      </c>
      <c r="E36" s="16" t="s">
        <v>306</v>
      </c>
      <c r="F36" s="16" t="s">
        <v>428</v>
      </c>
      <c r="G36" s="28">
        <v>0</v>
      </c>
      <c r="H36" s="28">
        <v>3911</v>
      </c>
      <c r="I36" s="28">
        <f t="shared" si="0"/>
        <v>-1169675</v>
      </c>
    </row>
    <row r="37" spans="1:9" x14ac:dyDescent="0.3">
      <c r="A37" s="16" t="s">
        <v>393</v>
      </c>
      <c r="B37" s="16" t="s">
        <v>394</v>
      </c>
      <c r="C37" s="25">
        <v>45691</v>
      </c>
      <c r="D37" s="16" t="s">
        <v>312</v>
      </c>
      <c r="E37" s="16" t="s">
        <v>334</v>
      </c>
      <c r="F37" s="16" t="s">
        <v>429</v>
      </c>
      <c r="G37" s="28">
        <v>0</v>
      </c>
      <c r="H37" s="28">
        <v>113249</v>
      </c>
      <c r="I37" s="28">
        <f t="shared" si="0"/>
        <v>-1282924</v>
      </c>
    </row>
    <row r="38" spans="1:9" x14ac:dyDescent="0.3">
      <c r="A38" s="16" t="s">
        <v>393</v>
      </c>
      <c r="B38" s="16" t="s">
        <v>394</v>
      </c>
      <c r="C38" s="25">
        <v>45691</v>
      </c>
      <c r="D38" s="16" t="s">
        <v>312</v>
      </c>
      <c r="E38" s="16" t="s">
        <v>430</v>
      </c>
      <c r="F38" s="16" t="s">
        <v>431</v>
      </c>
      <c r="G38" s="28">
        <v>0</v>
      </c>
      <c r="H38" s="28">
        <v>22990</v>
      </c>
      <c r="I38" s="28">
        <f t="shared" si="0"/>
        <v>-1305914</v>
      </c>
    </row>
    <row r="39" spans="1:9" x14ac:dyDescent="0.3">
      <c r="A39" s="16" t="s">
        <v>393</v>
      </c>
      <c r="B39" s="16" t="s">
        <v>394</v>
      </c>
      <c r="C39" s="25">
        <v>45691</v>
      </c>
      <c r="D39" s="16" t="s">
        <v>318</v>
      </c>
      <c r="E39" s="16" t="s">
        <v>319</v>
      </c>
      <c r="F39" s="16"/>
      <c r="G39" s="28">
        <v>0</v>
      </c>
      <c r="H39" s="28">
        <v>1</v>
      </c>
      <c r="I39" s="28">
        <f t="shared" si="0"/>
        <v>-1305915</v>
      </c>
    </row>
    <row r="40" spans="1:9" x14ac:dyDescent="0.3">
      <c r="A40" s="16" t="s">
        <v>393</v>
      </c>
      <c r="B40" s="16" t="s">
        <v>394</v>
      </c>
      <c r="C40" s="25">
        <v>45692</v>
      </c>
      <c r="D40" s="16" t="s">
        <v>305</v>
      </c>
      <c r="E40" s="16" t="s">
        <v>306</v>
      </c>
      <c r="F40" s="16" t="s">
        <v>432</v>
      </c>
      <c r="G40" s="28">
        <v>0</v>
      </c>
      <c r="H40" s="28">
        <v>27730</v>
      </c>
      <c r="I40" s="28">
        <f t="shared" si="0"/>
        <v>-1333645</v>
      </c>
    </row>
    <row r="41" spans="1:9" x14ac:dyDescent="0.3">
      <c r="A41" s="16" t="s">
        <v>393</v>
      </c>
      <c r="B41" s="16" t="s">
        <v>394</v>
      </c>
      <c r="C41" s="25">
        <v>45693</v>
      </c>
      <c r="D41" s="16" t="s">
        <v>308</v>
      </c>
      <c r="E41" s="16" t="s">
        <v>407</v>
      </c>
      <c r="F41" s="16" t="s">
        <v>433</v>
      </c>
      <c r="G41" s="28">
        <v>1994192</v>
      </c>
      <c r="H41" s="28">
        <v>0</v>
      </c>
      <c r="I41" s="28">
        <f t="shared" si="0"/>
        <v>660547</v>
      </c>
    </row>
    <row r="42" spans="1:9" x14ac:dyDescent="0.3">
      <c r="A42" s="16" t="s">
        <v>393</v>
      </c>
      <c r="B42" s="16" t="s">
        <v>394</v>
      </c>
      <c r="C42" s="25">
        <v>45693</v>
      </c>
      <c r="D42" s="16" t="s">
        <v>312</v>
      </c>
      <c r="E42" s="16" t="s">
        <v>434</v>
      </c>
      <c r="F42" s="16" t="s">
        <v>435</v>
      </c>
      <c r="G42" s="28">
        <v>0</v>
      </c>
      <c r="H42" s="28">
        <v>26980</v>
      </c>
      <c r="I42" s="28">
        <f t="shared" si="0"/>
        <v>633567</v>
      </c>
    </row>
    <row r="43" spans="1:9" x14ac:dyDescent="0.3">
      <c r="A43" s="16" t="s">
        <v>393</v>
      </c>
      <c r="B43" s="16" t="s">
        <v>394</v>
      </c>
      <c r="C43" s="25">
        <v>45694</v>
      </c>
      <c r="D43" s="16" t="s">
        <v>312</v>
      </c>
      <c r="E43" s="16" t="s">
        <v>396</v>
      </c>
      <c r="F43" s="16" t="s">
        <v>436</v>
      </c>
      <c r="G43" s="28">
        <v>0</v>
      </c>
      <c r="H43" s="28">
        <v>294600</v>
      </c>
      <c r="I43" s="28">
        <f t="shared" si="0"/>
        <v>338967</v>
      </c>
    </row>
    <row r="44" spans="1:9" x14ac:dyDescent="0.3">
      <c r="A44" s="16" t="s">
        <v>393</v>
      </c>
      <c r="B44" s="16" t="s">
        <v>394</v>
      </c>
      <c r="C44" s="25">
        <v>45694</v>
      </c>
      <c r="D44" s="16" t="s">
        <v>312</v>
      </c>
      <c r="E44" s="16" t="s">
        <v>376</v>
      </c>
      <c r="F44" s="16" t="s">
        <v>437</v>
      </c>
      <c r="G44" s="28">
        <v>0</v>
      </c>
      <c r="H44" s="28">
        <v>152842</v>
      </c>
      <c r="I44" s="28">
        <f t="shared" si="0"/>
        <v>186125</v>
      </c>
    </row>
    <row r="45" spans="1:9" x14ac:dyDescent="0.3">
      <c r="A45" s="16" t="s">
        <v>393</v>
      </c>
      <c r="B45" s="16" t="s">
        <v>394</v>
      </c>
      <c r="C45" s="25">
        <v>45695</v>
      </c>
      <c r="D45" s="16" t="s">
        <v>305</v>
      </c>
      <c r="E45" s="16" t="s">
        <v>306</v>
      </c>
      <c r="F45" s="16" t="s">
        <v>438</v>
      </c>
      <c r="G45" s="28">
        <v>0</v>
      </c>
      <c r="H45" s="28">
        <v>17990</v>
      </c>
      <c r="I45" s="28">
        <f t="shared" si="0"/>
        <v>168135</v>
      </c>
    </row>
    <row r="46" spans="1:9" x14ac:dyDescent="0.3">
      <c r="A46" s="16" t="s">
        <v>393</v>
      </c>
      <c r="B46" s="16" t="s">
        <v>394</v>
      </c>
      <c r="C46" s="25">
        <v>45695</v>
      </c>
      <c r="D46" s="16" t="s">
        <v>305</v>
      </c>
      <c r="E46" s="16" t="s">
        <v>306</v>
      </c>
      <c r="F46" s="16" t="s">
        <v>424</v>
      </c>
      <c r="G46" s="28">
        <v>0</v>
      </c>
      <c r="H46" s="28">
        <v>98120</v>
      </c>
      <c r="I46" s="28">
        <f t="shared" si="0"/>
        <v>70015</v>
      </c>
    </row>
    <row r="47" spans="1:9" x14ac:dyDescent="0.3">
      <c r="A47" s="16" t="s">
        <v>393</v>
      </c>
      <c r="B47" s="16" t="s">
        <v>394</v>
      </c>
      <c r="C47" s="25">
        <v>45695</v>
      </c>
      <c r="D47" s="16" t="s">
        <v>305</v>
      </c>
      <c r="E47" s="16" t="s">
        <v>306</v>
      </c>
      <c r="F47" s="16" t="s">
        <v>439</v>
      </c>
      <c r="G47" s="28">
        <v>0</v>
      </c>
      <c r="H47" s="28">
        <v>3052</v>
      </c>
      <c r="I47" s="28">
        <f t="shared" si="0"/>
        <v>66963</v>
      </c>
    </row>
    <row r="48" spans="1:9" x14ac:dyDescent="0.3">
      <c r="A48" s="16" t="s">
        <v>393</v>
      </c>
      <c r="B48" s="16" t="s">
        <v>394</v>
      </c>
      <c r="C48" s="25">
        <v>45695</v>
      </c>
      <c r="D48" s="16" t="s">
        <v>305</v>
      </c>
      <c r="E48" s="16" t="s">
        <v>306</v>
      </c>
      <c r="F48" s="16" t="s">
        <v>440</v>
      </c>
      <c r="G48" s="28">
        <v>0</v>
      </c>
      <c r="H48" s="28">
        <v>312290</v>
      </c>
      <c r="I48" s="28">
        <f t="shared" si="0"/>
        <v>-245327</v>
      </c>
    </row>
    <row r="49" spans="1:9" x14ac:dyDescent="0.3">
      <c r="A49" s="16" t="s">
        <v>393</v>
      </c>
      <c r="B49" s="16" t="s">
        <v>394</v>
      </c>
      <c r="C49" s="25">
        <v>45695</v>
      </c>
      <c r="D49" s="16" t="s">
        <v>305</v>
      </c>
      <c r="E49" s="16" t="s">
        <v>306</v>
      </c>
      <c r="F49" s="16" t="s">
        <v>441</v>
      </c>
      <c r="G49" s="28">
        <v>0</v>
      </c>
      <c r="H49" s="28">
        <v>19471</v>
      </c>
      <c r="I49" s="28">
        <f t="shared" si="0"/>
        <v>-264798</v>
      </c>
    </row>
    <row r="50" spans="1:9" x14ac:dyDescent="0.3">
      <c r="A50" s="16" t="s">
        <v>393</v>
      </c>
      <c r="B50" s="16" t="s">
        <v>394</v>
      </c>
      <c r="C50" s="25">
        <v>45695</v>
      </c>
      <c r="D50" s="16" t="s">
        <v>312</v>
      </c>
      <c r="E50" s="16" t="s">
        <v>396</v>
      </c>
      <c r="F50" s="16" t="s">
        <v>398</v>
      </c>
      <c r="G50" s="28">
        <v>0</v>
      </c>
      <c r="H50" s="28">
        <v>24003</v>
      </c>
      <c r="I50" s="28">
        <f t="shared" si="0"/>
        <v>-288801</v>
      </c>
    </row>
    <row r="51" spans="1:9" x14ac:dyDescent="0.3">
      <c r="A51" s="16" t="s">
        <v>393</v>
      </c>
      <c r="B51" s="16" t="s">
        <v>394</v>
      </c>
      <c r="C51" s="25">
        <v>45699</v>
      </c>
      <c r="D51" s="16" t="s">
        <v>305</v>
      </c>
      <c r="E51" s="16" t="s">
        <v>306</v>
      </c>
      <c r="F51" s="16" t="s">
        <v>442</v>
      </c>
      <c r="G51" s="28">
        <v>0</v>
      </c>
      <c r="H51" s="28">
        <v>30031</v>
      </c>
      <c r="I51" s="28">
        <f t="shared" si="0"/>
        <v>-318832</v>
      </c>
    </row>
    <row r="52" spans="1:9" x14ac:dyDescent="0.3">
      <c r="A52" s="16" t="s">
        <v>393</v>
      </c>
      <c r="B52" s="16" t="s">
        <v>394</v>
      </c>
      <c r="C52" s="25">
        <v>45706</v>
      </c>
      <c r="D52" s="16" t="s">
        <v>312</v>
      </c>
      <c r="E52" s="16" t="s">
        <v>313</v>
      </c>
      <c r="F52" s="16" t="s">
        <v>443</v>
      </c>
      <c r="G52" s="28">
        <v>0</v>
      </c>
      <c r="H52" s="28">
        <v>835590</v>
      </c>
      <c r="I52" s="28">
        <f t="shared" si="0"/>
        <v>-1154422</v>
      </c>
    </row>
    <row r="53" spans="1:9" x14ac:dyDescent="0.3">
      <c r="A53" s="16" t="s">
        <v>393</v>
      </c>
      <c r="B53" s="16" t="s">
        <v>394</v>
      </c>
      <c r="C53" s="25">
        <v>45706</v>
      </c>
      <c r="D53" s="16" t="s">
        <v>305</v>
      </c>
      <c r="E53" s="16" t="s">
        <v>306</v>
      </c>
      <c r="F53" s="16" t="s">
        <v>416</v>
      </c>
      <c r="G53" s="28">
        <v>0</v>
      </c>
      <c r="H53" s="28">
        <v>30193</v>
      </c>
      <c r="I53" s="28">
        <f t="shared" si="0"/>
        <v>-1184615</v>
      </c>
    </row>
    <row r="54" spans="1:9" x14ac:dyDescent="0.3">
      <c r="A54" s="16" t="s">
        <v>393</v>
      </c>
      <c r="B54" s="16" t="s">
        <v>394</v>
      </c>
      <c r="C54" s="25">
        <v>45712</v>
      </c>
      <c r="D54" s="16" t="s">
        <v>305</v>
      </c>
      <c r="E54" s="16" t="s">
        <v>306</v>
      </c>
      <c r="F54" s="16" t="s">
        <v>444</v>
      </c>
      <c r="G54" s="28">
        <v>0</v>
      </c>
      <c r="H54" s="28">
        <v>163980</v>
      </c>
      <c r="I54" s="28">
        <f t="shared" si="0"/>
        <v>-1348595</v>
      </c>
    </row>
    <row r="55" spans="1:9" x14ac:dyDescent="0.3">
      <c r="A55" s="16" t="s">
        <v>393</v>
      </c>
      <c r="B55" s="16" t="s">
        <v>394</v>
      </c>
      <c r="C55" s="25">
        <v>45714</v>
      </c>
      <c r="D55" s="16" t="s">
        <v>305</v>
      </c>
      <c r="E55" s="16" t="s">
        <v>311</v>
      </c>
      <c r="F55" s="16"/>
      <c r="G55" s="28">
        <v>0</v>
      </c>
      <c r="H55" s="28">
        <v>3862</v>
      </c>
      <c r="I55" s="28">
        <f t="shared" si="0"/>
        <v>-1352457</v>
      </c>
    </row>
    <row r="56" spans="1:9" x14ac:dyDescent="0.3">
      <c r="A56" s="16" t="s">
        <v>393</v>
      </c>
      <c r="B56" s="16" t="s">
        <v>394</v>
      </c>
      <c r="C56" s="25">
        <v>45721</v>
      </c>
      <c r="D56" s="16" t="s">
        <v>312</v>
      </c>
      <c r="E56" s="16" t="s">
        <v>400</v>
      </c>
      <c r="F56" s="16" t="s">
        <v>445</v>
      </c>
      <c r="G56" s="28">
        <v>0</v>
      </c>
      <c r="H56" s="28">
        <v>102350</v>
      </c>
      <c r="I56" s="28">
        <f t="shared" si="0"/>
        <v>-1454807</v>
      </c>
    </row>
    <row r="57" spans="1:9" x14ac:dyDescent="0.3">
      <c r="A57" s="16" t="s">
        <v>393</v>
      </c>
      <c r="B57" s="16" t="s">
        <v>394</v>
      </c>
      <c r="C57" s="25">
        <v>45721</v>
      </c>
      <c r="D57" s="16" t="s">
        <v>305</v>
      </c>
      <c r="E57" s="16" t="s">
        <v>306</v>
      </c>
      <c r="F57" s="16" t="s">
        <v>446</v>
      </c>
      <c r="G57" s="28">
        <v>0</v>
      </c>
      <c r="H57" s="28">
        <v>6023</v>
      </c>
      <c r="I57" s="28">
        <f t="shared" si="0"/>
        <v>-1460830</v>
      </c>
    </row>
    <row r="58" spans="1:9" x14ac:dyDescent="0.3">
      <c r="A58" s="16" t="s">
        <v>393</v>
      </c>
      <c r="B58" s="16" t="s">
        <v>394</v>
      </c>
      <c r="C58" s="25">
        <v>45721</v>
      </c>
      <c r="D58" s="16" t="s">
        <v>305</v>
      </c>
      <c r="E58" s="16" t="s">
        <v>306</v>
      </c>
      <c r="F58" s="16" t="s">
        <v>447</v>
      </c>
      <c r="G58" s="28">
        <v>0</v>
      </c>
      <c r="H58" s="28">
        <v>5299</v>
      </c>
      <c r="I58" s="28">
        <f t="shared" si="0"/>
        <v>-1466129</v>
      </c>
    </row>
    <row r="59" spans="1:9" x14ac:dyDescent="0.3">
      <c r="A59" s="16" t="s">
        <v>393</v>
      </c>
      <c r="B59" s="16" t="s">
        <v>394</v>
      </c>
      <c r="C59" s="25">
        <v>45722</v>
      </c>
      <c r="D59" s="16" t="s">
        <v>305</v>
      </c>
      <c r="E59" s="16" t="s">
        <v>306</v>
      </c>
      <c r="F59" s="16" t="s">
        <v>448</v>
      </c>
      <c r="G59" s="28">
        <v>0</v>
      </c>
      <c r="H59" s="28">
        <v>110550</v>
      </c>
      <c r="I59" s="28">
        <f t="shared" si="0"/>
        <v>-1576679</v>
      </c>
    </row>
    <row r="60" spans="1:9" x14ac:dyDescent="0.3">
      <c r="A60" s="16" t="s">
        <v>393</v>
      </c>
      <c r="B60" s="16" t="s">
        <v>394</v>
      </c>
      <c r="C60" s="25">
        <v>45722</v>
      </c>
      <c r="D60" s="16" t="s">
        <v>305</v>
      </c>
      <c r="E60" s="16" t="s">
        <v>306</v>
      </c>
      <c r="F60" s="16" t="s">
        <v>448</v>
      </c>
      <c r="G60" s="28">
        <v>0</v>
      </c>
      <c r="H60" s="28">
        <v>312510</v>
      </c>
      <c r="I60" s="28">
        <f t="shared" si="0"/>
        <v>-1889189</v>
      </c>
    </row>
    <row r="61" spans="1:9" x14ac:dyDescent="0.3">
      <c r="A61" s="16" t="s">
        <v>393</v>
      </c>
      <c r="B61" s="16" t="s">
        <v>394</v>
      </c>
      <c r="C61" s="25">
        <v>45723</v>
      </c>
      <c r="D61" s="16" t="s">
        <v>308</v>
      </c>
      <c r="E61" s="16" t="s">
        <v>407</v>
      </c>
      <c r="F61" s="16" t="s">
        <v>449</v>
      </c>
      <c r="G61" s="28">
        <v>2436520</v>
      </c>
      <c r="H61" s="28">
        <v>0</v>
      </c>
      <c r="I61" s="28">
        <f t="shared" si="0"/>
        <v>547331</v>
      </c>
    </row>
    <row r="62" spans="1:9" x14ac:dyDescent="0.3">
      <c r="A62" s="16" t="s">
        <v>393</v>
      </c>
      <c r="B62" s="16" t="s">
        <v>394</v>
      </c>
      <c r="C62" s="25">
        <v>45726</v>
      </c>
      <c r="D62" s="16" t="s">
        <v>305</v>
      </c>
      <c r="E62" s="16" t="s">
        <v>306</v>
      </c>
      <c r="F62" s="16" t="s">
        <v>450</v>
      </c>
      <c r="G62" s="28">
        <v>0</v>
      </c>
      <c r="H62" s="28">
        <v>101700</v>
      </c>
      <c r="I62" s="28">
        <f t="shared" si="0"/>
        <v>445631</v>
      </c>
    </row>
    <row r="63" spans="1:9" x14ac:dyDescent="0.3">
      <c r="A63" s="16" t="s">
        <v>393</v>
      </c>
      <c r="B63" s="16" t="s">
        <v>394</v>
      </c>
      <c r="C63" s="25">
        <v>45726</v>
      </c>
      <c r="D63" s="16" t="s">
        <v>305</v>
      </c>
      <c r="E63" s="16" t="s">
        <v>306</v>
      </c>
      <c r="F63" s="16" t="s">
        <v>451</v>
      </c>
      <c r="G63" s="28">
        <v>0</v>
      </c>
      <c r="H63" s="28">
        <v>5963</v>
      </c>
      <c r="I63" s="28">
        <f t="shared" si="0"/>
        <v>439668</v>
      </c>
    </row>
    <row r="64" spans="1:9" x14ac:dyDescent="0.3">
      <c r="A64" s="16" t="s">
        <v>393</v>
      </c>
      <c r="B64" s="16" t="s">
        <v>394</v>
      </c>
      <c r="C64" s="25">
        <v>45726</v>
      </c>
      <c r="D64" s="16" t="s">
        <v>305</v>
      </c>
      <c r="E64" s="16" t="s">
        <v>306</v>
      </c>
      <c r="F64" s="16" t="s">
        <v>452</v>
      </c>
      <c r="G64" s="28">
        <v>0</v>
      </c>
      <c r="H64" s="28">
        <v>6233</v>
      </c>
      <c r="I64" s="28">
        <f t="shared" si="0"/>
        <v>433435</v>
      </c>
    </row>
    <row r="65" spans="1:9" x14ac:dyDescent="0.3">
      <c r="A65" s="16" t="s">
        <v>393</v>
      </c>
      <c r="B65" s="16" t="s">
        <v>394</v>
      </c>
      <c r="C65" s="25">
        <v>45726</v>
      </c>
      <c r="D65" s="16" t="s">
        <v>312</v>
      </c>
      <c r="E65" s="16" t="s">
        <v>453</v>
      </c>
      <c r="F65" s="16" t="s">
        <v>454</v>
      </c>
      <c r="G65" s="28">
        <v>0</v>
      </c>
      <c r="H65" s="28">
        <v>62980</v>
      </c>
      <c r="I65" s="28">
        <f t="shared" si="0"/>
        <v>370455</v>
      </c>
    </row>
    <row r="66" spans="1:9" x14ac:dyDescent="0.3">
      <c r="A66" s="16" t="s">
        <v>393</v>
      </c>
      <c r="B66" s="16" t="s">
        <v>394</v>
      </c>
      <c r="C66" s="25">
        <v>45726</v>
      </c>
      <c r="D66" s="16" t="s">
        <v>312</v>
      </c>
      <c r="E66" s="16" t="s">
        <v>396</v>
      </c>
      <c r="F66" s="16" t="s">
        <v>455</v>
      </c>
      <c r="G66" s="28">
        <v>0</v>
      </c>
      <c r="H66" s="28">
        <v>296759</v>
      </c>
      <c r="I66" s="28">
        <f t="shared" si="0"/>
        <v>73696</v>
      </c>
    </row>
    <row r="67" spans="1:9" x14ac:dyDescent="0.3">
      <c r="A67" s="16" t="s">
        <v>393</v>
      </c>
      <c r="B67" s="16" t="s">
        <v>394</v>
      </c>
      <c r="C67" s="25">
        <v>45726</v>
      </c>
      <c r="D67" s="16" t="s">
        <v>312</v>
      </c>
      <c r="E67" s="16" t="s">
        <v>396</v>
      </c>
      <c r="F67" s="16" t="s">
        <v>398</v>
      </c>
      <c r="G67" s="28">
        <v>0</v>
      </c>
      <c r="H67" s="28">
        <v>24003</v>
      </c>
      <c r="I67" s="28">
        <f t="shared" si="0"/>
        <v>49693</v>
      </c>
    </row>
    <row r="68" spans="1:9" x14ac:dyDescent="0.3">
      <c r="A68" s="16" t="s">
        <v>393</v>
      </c>
      <c r="B68" s="16" t="s">
        <v>394</v>
      </c>
      <c r="C68" s="25">
        <v>45727</v>
      </c>
      <c r="D68" s="16" t="s">
        <v>305</v>
      </c>
      <c r="E68" s="16" t="s">
        <v>306</v>
      </c>
      <c r="F68" s="16" t="s">
        <v>456</v>
      </c>
      <c r="G68" s="28">
        <v>0</v>
      </c>
      <c r="H68" s="28">
        <v>23990</v>
      </c>
      <c r="I68" s="28">
        <f t="shared" ref="I68:I131" si="1">I67+G68-H68</f>
        <v>25703</v>
      </c>
    </row>
    <row r="69" spans="1:9" x14ac:dyDescent="0.3">
      <c r="A69" s="16" t="s">
        <v>393</v>
      </c>
      <c r="B69" s="16" t="s">
        <v>394</v>
      </c>
      <c r="C69" s="25">
        <v>45729</v>
      </c>
      <c r="D69" s="16" t="s">
        <v>305</v>
      </c>
      <c r="E69" s="16" t="s">
        <v>306</v>
      </c>
      <c r="F69" s="16" t="s">
        <v>457</v>
      </c>
      <c r="G69" s="28">
        <v>0</v>
      </c>
      <c r="H69" s="28">
        <v>12060</v>
      </c>
      <c r="I69" s="28">
        <f t="shared" si="1"/>
        <v>13643</v>
      </c>
    </row>
    <row r="70" spans="1:9" x14ac:dyDescent="0.3">
      <c r="A70" s="16" t="s">
        <v>393</v>
      </c>
      <c r="B70" s="16" t="s">
        <v>394</v>
      </c>
      <c r="C70" s="25">
        <v>45729</v>
      </c>
      <c r="D70" s="16" t="s">
        <v>312</v>
      </c>
      <c r="E70" s="16" t="s">
        <v>458</v>
      </c>
      <c r="F70" s="16" t="s">
        <v>459</v>
      </c>
      <c r="G70" s="28">
        <v>0</v>
      </c>
      <c r="H70" s="28">
        <v>298657</v>
      </c>
      <c r="I70" s="28">
        <f t="shared" si="1"/>
        <v>-285014</v>
      </c>
    </row>
    <row r="71" spans="1:9" x14ac:dyDescent="0.3">
      <c r="A71" s="16" t="s">
        <v>393</v>
      </c>
      <c r="B71" s="16" t="s">
        <v>394</v>
      </c>
      <c r="C71" s="25">
        <v>45729</v>
      </c>
      <c r="D71" s="16" t="s">
        <v>312</v>
      </c>
      <c r="E71" s="16" t="s">
        <v>334</v>
      </c>
      <c r="F71" s="16" t="s">
        <v>460</v>
      </c>
      <c r="G71" s="28">
        <v>0</v>
      </c>
      <c r="H71" s="28">
        <v>96830</v>
      </c>
      <c r="I71" s="28">
        <f t="shared" si="1"/>
        <v>-381844</v>
      </c>
    </row>
    <row r="72" spans="1:9" x14ac:dyDescent="0.3">
      <c r="A72" s="16" t="s">
        <v>393</v>
      </c>
      <c r="B72" s="16" t="s">
        <v>394</v>
      </c>
      <c r="C72" s="25">
        <v>45729</v>
      </c>
      <c r="D72" s="16" t="s">
        <v>305</v>
      </c>
      <c r="E72" s="16" t="s">
        <v>306</v>
      </c>
      <c r="F72" s="16"/>
      <c r="G72" s="28">
        <v>0</v>
      </c>
      <c r="H72" s="28">
        <v>13970</v>
      </c>
      <c r="I72" s="28">
        <f t="shared" si="1"/>
        <v>-395814</v>
      </c>
    </row>
    <row r="73" spans="1:9" x14ac:dyDescent="0.3">
      <c r="A73" s="16" t="s">
        <v>393</v>
      </c>
      <c r="B73" s="16" t="s">
        <v>394</v>
      </c>
      <c r="C73" s="25">
        <v>45732</v>
      </c>
      <c r="D73" s="16" t="s">
        <v>305</v>
      </c>
      <c r="E73" s="16" t="s">
        <v>306</v>
      </c>
      <c r="F73" s="16" t="s">
        <v>461</v>
      </c>
      <c r="G73" s="28">
        <v>0</v>
      </c>
      <c r="H73" s="28">
        <v>6400</v>
      </c>
      <c r="I73" s="28">
        <f t="shared" si="1"/>
        <v>-402214</v>
      </c>
    </row>
    <row r="74" spans="1:9" x14ac:dyDescent="0.3">
      <c r="A74" s="16" t="s">
        <v>393</v>
      </c>
      <c r="B74" s="16" t="s">
        <v>394</v>
      </c>
      <c r="C74" s="25">
        <v>45732</v>
      </c>
      <c r="D74" s="16" t="s">
        <v>305</v>
      </c>
      <c r="E74" s="16" t="s">
        <v>306</v>
      </c>
      <c r="F74" s="16" t="s">
        <v>462</v>
      </c>
      <c r="G74" s="28">
        <v>0</v>
      </c>
      <c r="H74" s="28">
        <v>5980</v>
      </c>
      <c r="I74" s="28">
        <f t="shared" si="1"/>
        <v>-408194</v>
      </c>
    </row>
    <row r="75" spans="1:9" x14ac:dyDescent="0.3">
      <c r="A75" s="16" t="s">
        <v>393</v>
      </c>
      <c r="B75" s="16" t="s">
        <v>394</v>
      </c>
      <c r="C75" s="25">
        <v>45732</v>
      </c>
      <c r="D75" s="16" t="s">
        <v>305</v>
      </c>
      <c r="E75" s="16" t="s">
        <v>306</v>
      </c>
      <c r="F75" s="16" t="s">
        <v>463</v>
      </c>
      <c r="G75" s="28">
        <v>0</v>
      </c>
      <c r="H75" s="28">
        <v>10400</v>
      </c>
      <c r="I75" s="28">
        <f t="shared" si="1"/>
        <v>-418594</v>
      </c>
    </row>
    <row r="76" spans="1:9" x14ac:dyDescent="0.3">
      <c r="A76" s="16" t="s">
        <v>393</v>
      </c>
      <c r="B76" s="16" t="s">
        <v>394</v>
      </c>
      <c r="C76" s="25">
        <v>45732</v>
      </c>
      <c r="D76" s="16" t="s">
        <v>305</v>
      </c>
      <c r="E76" s="16" t="s">
        <v>306</v>
      </c>
      <c r="F76" s="16" t="s">
        <v>464</v>
      </c>
      <c r="G76" s="28">
        <v>0</v>
      </c>
      <c r="H76" s="28">
        <v>28480</v>
      </c>
      <c r="I76" s="28">
        <f t="shared" si="1"/>
        <v>-447074</v>
      </c>
    </row>
    <row r="77" spans="1:9" x14ac:dyDescent="0.3">
      <c r="A77" s="16" t="s">
        <v>393</v>
      </c>
      <c r="B77" s="16" t="s">
        <v>394</v>
      </c>
      <c r="C77" s="25">
        <v>45733</v>
      </c>
      <c r="D77" s="16" t="s">
        <v>305</v>
      </c>
      <c r="E77" s="16" t="s">
        <v>306</v>
      </c>
      <c r="F77" s="16" t="s">
        <v>465</v>
      </c>
      <c r="G77" s="28">
        <v>0</v>
      </c>
      <c r="H77" s="28">
        <v>43984</v>
      </c>
      <c r="I77" s="28">
        <f t="shared" si="1"/>
        <v>-491058</v>
      </c>
    </row>
    <row r="78" spans="1:9" x14ac:dyDescent="0.3">
      <c r="A78" s="16" t="s">
        <v>393</v>
      </c>
      <c r="B78" s="16" t="s">
        <v>394</v>
      </c>
      <c r="C78" s="25">
        <v>45733</v>
      </c>
      <c r="D78" s="16" t="s">
        <v>305</v>
      </c>
      <c r="E78" s="16" t="s">
        <v>306</v>
      </c>
      <c r="F78" s="16" t="s">
        <v>466</v>
      </c>
      <c r="G78" s="28">
        <v>0</v>
      </c>
      <c r="H78" s="28">
        <v>62490</v>
      </c>
      <c r="I78" s="28">
        <f t="shared" si="1"/>
        <v>-553548</v>
      </c>
    </row>
    <row r="79" spans="1:9" x14ac:dyDescent="0.3">
      <c r="A79" s="16" t="s">
        <v>393</v>
      </c>
      <c r="B79" s="16" t="s">
        <v>394</v>
      </c>
      <c r="C79" s="25">
        <v>45734</v>
      </c>
      <c r="D79" s="16" t="s">
        <v>305</v>
      </c>
      <c r="E79" s="16" t="s">
        <v>311</v>
      </c>
      <c r="F79" s="16"/>
      <c r="G79" s="28">
        <v>0</v>
      </c>
      <c r="H79" s="28">
        <v>1087</v>
      </c>
      <c r="I79" s="28">
        <f t="shared" si="1"/>
        <v>-554635</v>
      </c>
    </row>
    <row r="80" spans="1:9" x14ac:dyDescent="0.3">
      <c r="A80" s="16" t="s">
        <v>393</v>
      </c>
      <c r="B80" s="16" t="s">
        <v>394</v>
      </c>
      <c r="C80" s="25">
        <v>45734</v>
      </c>
      <c r="D80" s="16" t="s">
        <v>305</v>
      </c>
      <c r="E80" s="16" t="s">
        <v>306</v>
      </c>
      <c r="F80" s="16" t="s">
        <v>467</v>
      </c>
      <c r="G80" s="28">
        <v>0</v>
      </c>
      <c r="H80" s="28">
        <v>75650</v>
      </c>
      <c r="I80" s="28">
        <f t="shared" si="1"/>
        <v>-630285</v>
      </c>
    </row>
    <row r="81" spans="1:9" x14ac:dyDescent="0.3">
      <c r="A81" s="16" t="s">
        <v>393</v>
      </c>
      <c r="B81" s="16" t="s">
        <v>394</v>
      </c>
      <c r="C81" s="25">
        <v>45734</v>
      </c>
      <c r="D81" s="16" t="s">
        <v>305</v>
      </c>
      <c r="E81" s="16" t="s">
        <v>306</v>
      </c>
      <c r="F81" s="16" t="s">
        <v>468</v>
      </c>
      <c r="G81" s="28">
        <v>0</v>
      </c>
      <c r="H81" s="28">
        <v>47712</v>
      </c>
      <c r="I81" s="28">
        <f t="shared" si="1"/>
        <v>-677997</v>
      </c>
    </row>
    <row r="82" spans="1:9" x14ac:dyDescent="0.3">
      <c r="A82" s="16" t="s">
        <v>393</v>
      </c>
      <c r="B82" s="16" t="s">
        <v>394</v>
      </c>
      <c r="C82" s="25">
        <v>45735</v>
      </c>
      <c r="D82" s="16" t="s">
        <v>305</v>
      </c>
      <c r="E82" s="16" t="s">
        <v>311</v>
      </c>
      <c r="F82" s="16"/>
      <c r="G82" s="28">
        <v>0</v>
      </c>
      <c r="H82" s="28">
        <v>1874</v>
      </c>
      <c r="I82" s="28">
        <f t="shared" si="1"/>
        <v>-679871</v>
      </c>
    </row>
    <row r="83" spans="1:9" x14ac:dyDescent="0.3">
      <c r="A83" s="16" t="s">
        <v>393</v>
      </c>
      <c r="B83" s="16" t="s">
        <v>394</v>
      </c>
      <c r="C83" s="25">
        <v>45735</v>
      </c>
      <c r="D83" s="16" t="s">
        <v>305</v>
      </c>
      <c r="E83" s="16" t="s">
        <v>311</v>
      </c>
      <c r="F83" s="16"/>
      <c r="G83" s="28">
        <v>0</v>
      </c>
      <c r="H83" s="28">
        <v>3889</v>
      </c>
      <c r="I83" s="28">
        <f t="shared" si="1"/>
        <v>-683760</v>
      </c>
    </row>
    <row r="84" spans="1:9" x14ac:dyDescent="0.3">
      <c r="A84" s="16" t="s">
        <v>393</v>
      </c>
      <c r="B84" s="16" t="s">
        <v>394</v>
      </c>
      <c r="C84" s="25">
        <v>45735</v>
      </c>
      <c r="D84" s="16" t="s">
        <v>305</v>
      </c>
      <c r="E84" s="16" t="s">
        <v>306</v>
      </c>
      <c r="F84" s="16" t="s">
        <v>469</v>
      </c>
      <c r="G84" s="28">
        <v>0</v>
      </c>
      <c r="H84" s="28">
        <v>12867</v>
      </c>
      <c r="I84" s="28">
        <f t="shared" si="1"/>
        <v>-696627</v>
      </c>
    </row>
    <row r="85" spans="1:9" x14ac:dyDescent="0.3">
      <c r="A85" s="16" t="s">
        <v>393</v>
      </c>
      <c r="B85" s="16" t="s">
        <v>394</v>
      </c>
      <c r="C85" s="25">
        <v>45735</v>
      </c>
      <c r="D85" s="16" t="s">
        <v>305</v>
      </c>
      <c r="E85" s="16" t="s">
        <v>306</v>
      </c>
      <c r="F85" s="16" t="s">
        <v>470</v>
      </c>
      <c r="G85" s="28">
        <v>0</v>
      </c>
      <c r="H85" s="28">
        <v>1883</v>
      </c>
      <c r="I85" s="28">
        <f t="shared" si="1"/>
        <v>-698510</v>
      </c>
    </row>
    <row r="86" spans="1:9" x14ac:dyDescent="0.3">
      <c r="A86" s="16" t="s">
        <v>393</v>
      </c>
      <c r="B86" s="16" t="s">
        <v>394</v>
      </c>
      <c r="C86" s="25">
        <v>45735</v>
      </c>
      <c r="D86" s="16" t="s">
        <v>305</v>
      </c>
      <c r="E86" s="16" t="s">
        <v>306</v>
      </c>
      <c r="F86" s="16" t="s">
        <v>471</v>
      </c>
      <c r="G86" s="28">
        <v>0</v>
      </c>
      <c r="H86" s="28">
        <v>49008</v>
      </c>
      <c r="I86" s="28">
        <f t="shared" si="1"/>
        <v>-747518</v>
      </c>
    </row>
    <row r="87" spans="1:9" x14ac:dyDescent="0.3">
      <c r="A87" s="16" t="s">
        <v>393</v>
      </c>
      <c r="B87" s="16" t="s">
        <v>394</v>
      </c>
      <c r="C87" s="25">
        <v>45735</v>
      </c>
      <c r="D87" s="16" t="s">
        <v>305</v>
      </c>
      <c r="E87" s="16" t="s">
        <v>306</v>
      </c>
      <c r="F87" s="16" t="s">
        <v>472</v>
      </c>
      <c r="G87" s="28">
        <v>0</v>
      </c>
      <c r="H87" s="28">
        <v>97713</v>
      </c>
      <c r="I87" s="28">
        <f t="shared" si="1"/>
        <v>-845231</v>
      </c>
    </row>
    <row r="88" spans="1:9" x14ac:dyDescent="0.3">
      <c r="A88" s="16" t="s">
        <v>393</v>
      </c>
      <c r="B88" s="16" t="s">
        <v>394</v>
      </c>
      <c r="C88" s="25">
        <v>45736</v>
      </c>
      <c r="D88" s="16" t="s">
        <v>305</v>
      </c>
      <c r="E88" s="16" t="s">
        <v>311</v>
      </c>
      <c r="F88" s="16"/>
      <c r="G88" s="28">
        <v>0</v>
      </c>
      <c r="H88" s="28">
        <v>1181</v>
      </c>
      <c r="I88" s="28">
        <f t="shared" si="1"/>
        <v>-846412</v>
      </c>
    </row>
    <row r="89" spans="1:9" x14ac:dyDescent="0.3">
      <c r="A89" s="16" t="s">
        <v>393</v>
      </c>
      <c r="B89" s="16" t="s">
        <v>394</v>
      </c>
      <c r="C89" s="25">
        <v>45736</v>
      </c>
      <c r="D89" s="16" t="s">
        <v>305</v>
      </c>
      <c r="E89" s="16" t="s">
        <v>311</v>
      </c>
      <c r="F89" s="16"/>
      <c r="G89" s="28">
        <v>0</v>
      </c>
      <c r="H89" s="28">
        <v>1218</v>
      </c>
      <c r="I89" s="28">
        <f t="shared" si="1"/>
        <v>-847630</v>
      </c>
    </row>
    <row r="90" spans="1:9" x14ac:dyDescent="0.3">
      <c r="A90" s="16" t="s">
        <v>393</v>
      </c>
      <c r="B90" s="16" t="s">
        <v>394</v>
      </c>
      <c r="C90" s="25">
        <v>45736</v>
      </c>
      <c r="D90" s="16" t="s">
        <v>305</v>
      </c>
      <c r="E90" s="16" t="s">
        <v>311</v>
      </c>
      <c r="F90" s="16"/>
      <c r="G90" s="28">
        <v>0</v>
      </c>
      <c r="H90" s="28">
        <v>319</v>
      </c>
      <c r="I90" s="28">
        <f t="shared" si="1"/>
        <v>-847949</v>
      </c>
    </row>
    <row r="91" spans="1:9" x14ac:dyDescent="0.3">
      <c r="A91" s="16" t="s">
        <v>393</v>
      </c>
      <c r="B91" s="16" t="s">
        <v>394</v>
      </c>
      <c r="C91" s="25">
        <v>45736</v>
      </c>
      <c r="D91" s="16" t="s">
        <v>305</v>
      </c>
      <c r="E91" s="16" t="s">
        <v>311</v>
      </c>
      <c r="F91" s="16"/>
      <c r="G91" s="28">
        <v>0</v>
      </c>
      <c r="H91" s="28">
        <v>47</v>
      </c>
      <c r="I91" s="28">
        <f t="shared" si="1"/>
        <v>-847996</v>
      </c>
    </row>
    <row r="92" spans="1:9" x14ac:dyDescent="0.3">
      <c r="A92" s="16" t="s">
        <v>393</v>
      </c>
      <c r="B92" s="16" t="s">
        <v>394</v>
      </c>
      <c r="C92" s="25">
        <v>45736</v>
      </c>
      <c r="D92" s="16" t="s">
        <v>305</v>
      </c>
      <c r="E92" s="16" t="s">
        <v>311</v>
      </c>
      <c r="F92" s="16"/>
      <c r="G92" s="28">
        <v>0</v>
      </c>
      <c r="H92" s="28">
        <v>2417</v>
      </c>
      <c r="I92" s="28">
        <f t="shared" si="1"/>
        <v>-850413</v>
      </c>
    </row>
    <row r="93" spans="1:9" x14ac:dyDescent="0.3">
      <c r="A93" s="16" t="s">
        <v>393</v>
      </c>
      <c r="B93" s="16" t="s">
        <v>394</v>
      </c>
      <c r="C93" s="25">
        <v>45736</v>
      </c>
      <c r="D93" s="16" t="s">
        <v>305</v>
      </c>
      <c r="E93" s="16" t="s">
        <v>306</v>
      </c>
      <c r="F93" s="16" t="s">
        <v>473</v>
      </c>
      <c r="G93" s="28">
        <v>0</v>
      </c>
      <c r="H93" s="28">
        <v>5459</v>
      </c>
      <c r="I93" s="28">
        <f t="shared" si="1"/>
        <v>-855872</v>
      </c>
    </row>
    <row r="94" spans="1:9" x14ac:dyDescent="0.3">
      <c r="A94" s="16" t="s">
        <v>393</v>
      </c>
      <c r="B94" s="16" t="s">
        <v>394</v>
      </c>
      <c r="C94" s="25">
        <v>45736</v>
      </c>
      <c r="D94" s="16" t="s">
        <v>305</v>
      </c>
      <c r="E94" s="16" t="s">
        <v>306</v>
      </c>
      <c r="F94" s="16" t="s">
        <v>474</v>
      </c>
      <c r="G94" s="28">
        <v>0</v>
      </c>
      <c r="H94" s="28">
        <v>293821</v>
      </c>
      <c r="I94" s="28">
        <f t="shared" si="1"/>
        <v>-1149693</v>
      </c>
    </row>
    <row r="95" spans="1:9" x14ac:dyDescent="0.3">
      <c r="A95" s="16" t="s">
        <v>393</v>
      </c>
      <c r="B95" s="16" t="s">
        <v>394</v>
      </c>
      <c r="C95" s="25">
        <v>45736</v>
      </c>
      <c r="D95" s="16" t="s">
        <v>305</v>
      </c>
      <c r="E95" s="16" t="s">
        <v>306</v>
      </c>
      <c r="F95" s="16" t="s">
        <v>475</v>
      </c>
      <c r="G95" s="28">
        <v>0</v>
      </c>
      <c r="H95" s="28">
        <v>142899</v>
      </c>
      <c r="I95" s="28">
        <f t="shared" si="1"/>
        <v>-1292592</v>
      </c>
    </row>
    <row r="96" spans="1:9" x14ac:dyDescent="0.3">
      <c r="A96" s="16" t="s">
        <v>393</v>
      </c>
      <c r="B96" s="16" t="s">
        <v>394</v>
      </c>
      <c r="C96" s="25">
        <v>45736</v>
      </c>
      <c r="D96" s="16" t="s">
        <v>305</v>
      </c>
      <c r="E96" s="16" t="s">
        <v>306</v>
      </c>
      <c r="F96" s="16" t="s">
        <v>476</v>
      </c>
      <c r="G96" s="28">
        <v>0</v>
      </c>
      <c r="H96" s="28">
        <v>14409</v>
      </c>
      <c r="I96" s="28">
        <f t="shared" si="1"/>
        <v>-1307001</v>
      </c>
    </row>
    <row r="97" spans="1:9" x14ac:dyDescent="0.3">
      <c r="A97" s="16" t="s">
        <v>393</v>
      </c>
      <c r="B97" s="16" t="s">
        <v>394</v>
      </c>
      <c r="C97" s="25">
        <v>45736</v>
      </c>
      <c r="D97" s="16" t="s">
        <v>305</v>
      </c>
      <c r="E97" s="16" t="s">
        <v>306</v>
      </c>
      <c r="F97" s="16" t="s">
        <v>477</v>
      </c>
      <c r="G97" s="28">
        <v>0</v>
      </c>
      <c r="H97" s="28">
        <v>6169</v>
      </c>
      <c r="I97" s="28">
        <f t="shared" si="1"/>
        <v>-1313170</v>
      </c>
    </row>
    <row r="98" spans="1:9" x14ac:dyDescent="0.3">
      <c r="A98" s="16" t="s">
        <v>393</v>
      </c>
      <c r="B98" s="16" t="s">
        <v>394</v>
      </c>
      <c r="C98" s="25">
        <v>45736</v>
      </c>
      <c r="D98" s="16" t="s">
        <v>305</v>
      </c>
      <c r="E98" s="16" t="s">
        <v>306</v>
      </c>
      <c r="F98" s="16" t="s">
        <v>478</v>
      </c>
      <c r="G98" s="28">
        <v>0</v>
      </c>
      <c r="H98" s="28">
        <v>6348</v>
      </c>
      <c r="I98" s="28">
        <f t="shared" si="1"/>
        <v>-1319518</v>
      </c>
    </row>
    <row r="99" spans="1:9" x14ac:dyDescent="0.3">
      <c r="A99" s="16" t="s">
        <v>393</v>
      </c>
      <c r="B99" s="16" t="s">
        <v>394</v>
      </c>
      <c r="C99" s="25">
        <v>45737</v>
      </c>
      <c r="D99" s="16" t="s">
        <v>305</v>
      </c>
      <c r="E99" s="16" t="s">
        <v>311</v>
      </c>
      <c r="F99" s="16"/>
      <c r="G99" s="28">
        <v>0</v>
      </c>
      <c r="H99" s="28">
        <v>3542</v>
      </c>
      <c r="I99" s="28">
        <f t="shared" si="1"/>
        <v>-1323060</v>
      </c>
    </row>
    <row r="100" spans="1:9" x14ac:dyDescent="0.3">
      <c r="A100" s="16" t="s">
        <v>393</v>
      </c>
      <c r="B100" s="16" t="s">
        <v>394</v>
      </c>
      <c r="C100" s="25">
        <v>45737</v>
      </c>
      <c r="D100" s="16" t="s">
        <v>305</v>
      </c>
      <c r="E100" s="16" t="s">
        <v>311</v>
      </c>
      <c r="F100" s="16"/>
      <c r="G100" s="28">
        <v>0</v>
      </c>
      <c r="H100" s="28">
        <v>131</v>
      </c>
      <c r="I100" s="28">
        <f t="shared" si="1"/>
        <v>-1323191</v>
      </c>
    </row>
    <row r="101" spans="1:9" x14ac:dyDescent="0.3">
      <c r="A101" s="16" t="s">
        <v>393</v>
      </c>
      <c r="B101" s="16" t="s">
        <v>394</v>
      </c>
      <c r="C101" s="25">
        <v>45737</v>
      </c>
      <c r="D101" s="16" t="s">
        <v>305</v>
      </c>
      <c r="E101" s="16" t="s">
        <v>311</v>
      </c>
      <c r="F101" s="16"/>
      <c r="G101" s="28">
        <v>0</v>
      </c>
      <c r="H101" s="28">
        <v>159</v>
      </c>
      <c r="I101" s="28">
        <f t="shared" si="1"/>
        <v>-1323350</v>
      </c>
    </row>
    <row r="102" spans="1:9" x14ac:dyDescent="0.3">
      <c r="A102" s="16" t="s">
        <v>393</v>
      </c>
      <c r="B102" s="16" t="s">
        <v>394</v>
      </c>
      <c r="C102" s="25">
        <v>45737</v>
      </c>
      <c r="D102" s="16" t="s">
        <v>305</v>
      </c>
      <c r="E102" s="16" t="s">
        <v>311</v>
      </c>
      <c r="F102" s="16"/>
      <c r="G102" s="28">
        <v>0</v>
      </c>
      <c r="H102" s="28">
        <v>150</v>
      </c>
      <c r="I102" s="28">
        <f t="shared" si="1"/>
        <v>-1323500</v>
      </c>
    </row>
    <row r="103" spans="1:9" x14ac:dyDescent="0.3">
      <c r="A103" s="16" t="s">
        <v>393</v>
      </c>
      <c r="B103" s="16" t="s">
        <v>394</v>
      </c>
      <c r="C103" s="25">
        <v>45737</v>
      </c>
      <c r="D103" s="16" t="s">
        <v>305</v>
      </c>
      <c r="E103" s="16" t="s">
        <v>311</v>
      </c>
      <c r="F103" s="16"/>
      <c r="G103" s="28">
        <v>0</v>
      </c>
      <c r="H103" s="28">
        <v>7271</v>
      </c>
      <c r="I103" s="28">
        <f t="shared" si="1"/>
        <v>-1330771</v>
      </c>
    </row>
    <row r="104" spans="1:9" x14ac:dyDescent="0.3">
      <c r="A104" s="16" t="s">
        <v>393</v>
      </c>
      <c r="B104" s="16" t="s">
        <v>394</v>
      </c>
      <c r="C104" s="25">
        <v>45737</v>
      </c>
      <c r="D104" s="16" t="s">
        <v>305</v>
      </c>
      <c r="E104" s="16" t="s">
        <v>311</v>
      </c>
      <c r="F104" s="16"/>
      <c r="G104" s="28">
        <v>0</v>
      </c>
      <c r="H104" s="28">
        <v>356</v>
      </c>
      <c r="I104" s="28">
        <f t="shared" si="1"/>
        <v>-1331127</v>
      </c>
    </row>
    <row r="105" spans="1:9" x14ac:dyDescent="0.3">
      <c r="A105" s="16" t="s">
        <v>393</v>
      </c>
      <c r="B105" s="16" t="s">
        <v>394</v>
      </c>
      <c r="C105" s="25">
        <v>45737</v>
      </c>
      <c r="D105" s="16" t="s">
        <v>305</v>
      </c>
      <c r="E105" s="16" t="s">
        <v>306</v>
      </c>
      <c r="F105" s="16" t="s">
        <v>479</v>
      </c>
      <c r="G105" s="28">
        <v>0</v>
      </c>
      <c r="H105" s="28">
        <v>54789</v>
      </c>
      <c r="I105" s="28">
        <f t="shared" si="1"/>
        <v>-1385916</v>
      </c>
    </row>
    <row r="106" spans="1:9" x14ac:dyDescent="0.3">
      <c r="A106" s="16" t="s">
        <v>393</v>
      </c>
      <c r="B106" s="16" t="s">
        <v>394</v>
      </c>
      <c r="C106" s="25">
        <v>45738</v>
      </c>
      <c r="D106" s="16" t="s">
        <v>305</v>
      </c>
      <c r="E106" s="16" t="s">
        <v>306</v>
      </c>
      <c r="F106" s="16" t="s">
        <v>480</v>
      </c>
      <c r="G106" s="28">
        <v>0</v>
      </c>
      <c r="H106" s="28">
        <v>32000</v>
      </c>
      <c r="I106" s="28">
        <f t="shared" si="1"/>
        <v>-1417916</v>
      </c>
    </row>
    <row r="107" spans="1:9" x14ac:dyDescent="0.3">
      <c r="A107" s="16" t="s">
        <v>393</v>
      </c>
      <c r="B107" s="16" t="s">
        <v>394</v>
      </c>
      <c r="C107" s="25">
        <v>45740</v>
      </c>
      <c r="D107" s="16" t="s">
        <v>305</v>
      </c>
      <c r="E107" s="16" t="s">
        <v>311</v>
      </c>
      <c r="F107" s="16"/>
      <c r="G107" s="28">
        <v>0</v>
      </c>
      <c r="H107" s="28">
        <v>178</v>
      </c>
      <c r="I107" s="28">
        <f t="shared" si="1"/>
        <v>-1418094</v>
      </c>
    </row>
    <row r="108" spans="1:9" x14ac:dyDescent="0.3">
      <c r="A108" s="16" t="s">
        <v>393</v>
      </c>
      <c r="B108" s="16" t="s">
        <v>394</v>
      </c>
      <c r="C108" s="25">
        <v>45740</v>
      </c>
      <c r="D108" s="16" t="s">
        <v>305</v>
      </c>
      <c r="E108" s="16" t="s">
        <v>311</v>
      </c>
      <c r="F108" s="16"/>
      <c r="G108" s="28">
        <v>0</v>
      </c>
      <c r="H108" s="28">
        <v>1359</v>
      </c>
      <c r="I108" s="28">
        <f t="shared" si="1"/>
        <v>-1419453</v>
      </c>
    </row>
    <row r="109" spans="1:9" x14ac:dyDescent="0.3">
      <c r="A109" s="16" t="s">
        <v>393</v>
      </c>
      <c r="B109" s="16" t="s">
        <v>394</v>
      </c>
      <c r="C109" s="25">
        <v>45742</v>
      </c>
      <c r="D109" s="16" t="s">
        <v>305</v>
      </c>
      <c r="E109" s="16" t="s">
        <v>306</v>
      </c>
      <c r="F109" s="16" t="s">
        <v>481</v>
      </c>
      <c r="G109" s="28">
        <v>0</v>
      </c>
      <c r="H109" s="28">
        <v>6353</v>
      </c>
      <c r="I109" s="28">
        <f t="shared" si="1"/>
        <v>-1425806</v>
      </c>
    </row>
    <row r="110" spans="1:9" x14ac:dyDescent="0.3">
      <c r="A110" s="16" t="s">
        <v>393</v>
      </c>
      <c r="B110" s="16" t="s">
        <v>394</v>
      </c>
      <c r="C110" s="25">
        <v>45742</v>
      </c>
      <c r="D110" s="16" t="s">
        <v>305</v>
      </c>
      <c r="E110" s="16" t="s">
        <v>306</v>
      </c>
      <c r="F110" s="16" t="s">
        <v>482</v>
      </c>
      <c r="G110" s="28">
        <v>0</v>
      </c>
      <c r="H110" s="28">
        <v>6990</v>
      </c>
      <c r="I110" s="28">
        <f t="shared" si="1"/>
        <v>-1432796</v>
      </c>
    </row>
    <row r="111" spans="1:9" x14ac:dyDescent="0.3">
      <c r="A111" s="16" t="s">
        <v>393</v>
      </c>
      <c r="B111" s="16" t="s">
        <v>394</v>
      </c>
      <c r="C111" s="25">
        <v>45743</v>
      </c>
      <c r="D111" s="16" t="s">
        <v>305</v>
      </c>
      <c r="E111" s="16" t="s">
        <v>311</v>
      </c>
      <c r="F111" s="16"/>
      <c r="G111" s="28">
        <v>0</v>
      </c>
      <c r="H111" s="28">
        <v>3887</v>
      </c>
      <c r="I111" s="28">
        <f t="shared" si="1"/>
        <v>-1436683</v>
      </c>
    </row>
    <row r="112" spans="1:9" x14ac:dyDescent="0.3">
      <c r="A112" s="16" t="s">
        <v>393</v>
      </c>
      <c r="B112" s="16" t="s">
        <v>394</v>
      </c>
      <c r="C112" s="25">
        <v>45743</v>
      </c>
      <c r="D112" s="16" t="s">
        <v>305</v>
      </c>
      <c r="E112" s="16" t="s">
        <v>306</v>
      </c>
      <c r="F112" s="16" t="s">
        <v>483</v>
      </c>
      <c r="G112" s="28">
        <v>0</v>
      </c>
      <c r="H112" s="28">
        <v>7294</v>
      </c>
      <c r="I112" s="28">
        <f t="shared" si="1"/>
        <v>-1443977</v>
      </c>
    </row>
    <row r="113" spans="1:9" x14ac:dyDescent="0.3">
      <c r="A113" s="16" t="s">
        <v>393</v>
      </c>
      <c r="B113" s="16" t="s">
        <v>394</v>
      </c>
      <c r="C113" s="25">
        <v>45748</v>
      </c>
      <c r="D113" s="16" t="s">
        <v>305</v>
      </c>
      <c r="E113" s="16" t="s">
        <v>306</v>
      </c>
      <c r="F113" s="16" t="s">
        <v>484</v>
      </c>
      <c r="G113" s="28">
        <v>0</v>
      </c>
      <c r="H113" s="28">
        <v>135600</v>
      </c>
      <c r="I113" s="28">
        <f t="shared" si="1"/>
        <v>-1579577</v>
      </c>
    </row>
    <row r="114" spans="1:9" x14ac:dyDescent="0.3">
      <c r="A114" s="16" t="s">
        <v>393</v>
      </c>
      <c r="B114" s="16" t="s">
        <v>394</v>
      </c>
      <c r="C114" s="25">
        <v>45748</v>
      </c>
      <c r="D114" s="16" t="s">
        <v>305</v>
      </c>
      <c r="E114" s="16" t="s">
        <v>306</v>
      </c>
      <c r="F114" s="16" t="s">
        <v>485</v>
      </c>
      <c r="G114" s="28">
        <v>0</v>
      </c>
      <c r="H114" s="28">
        <v>42675</v>
      </c>
      <c r="I114" s="28">
        <f t="shared" si="1"/>
        <v>-1622252</v>
      </c>
    </row>
    <row r="115" spans="1:9" x14ac:dyDescent="0.3">
      <c r="A115" s="16" t="s">
        <v>393</v>
      </c>
      <c r="B115" s="16" t="s">
        <v>394</v>
      </c>
      <c r="C115" s="25">
        <v>45748</v>
      </c>
      <c r="D115" s="16" t="s">
        <v>305</v>
      </c>
      <c r="E115" s="16" t="s">
        <v>306</v>
      </c>
      <c r="F115" s="16" t="s">
        <v>486</v>
      </c>
      <c r="G115" s="28">
        <v>0</v>
      </c>
      <c r="H115" s="28">
        <v>32300</v>
      </c>
      <c r="I115" s="28">
        <f t="shared" si="1"/>
        <v>-1654552</v>
      </c>
    </row>
    <row r="116" spans="1:9" x14ac:dyDescent="0.3">
      <c r="A116" s="16" t="s">
        <v>393</v>
      </c>
      <c r="B116" s="16" t="s">
        <v>394</v>
      </c>
      <c r="C116" s="25">
        <v>45748</v>
      </c>
      <c r="D116" s="16" t="s">
        <v>305</v>
      </c>
      <c r="E116" s="16" t="s">
        <v>487</v>
      </c>
      <c r="F116" s="16" t="s">
        <v>488</v>
      </c>
      <c r="G116" s="28">
        <v>0</v>
      </c>
      <c r="H116" s="28">
        <v>116077</v>
      </c>
      <c r="I116" s="28">
        <f t="shared" si="1"/>
        <v>-1770629</v>
      </c>
    </row>
    <row r="117" spans="1:9" x14ac:dyDescent="0.3">
      <c r="A117" s="16" t="s">
        <v>393</v>
      </c>
      <c r="B117" s="16" t="s">
        <v>394</v>
      </c>
      <c r="C117" s="25">
        <v>45748</v>
      </c>
      <c r="D117" s="16" t="s">
        <v>305</v>
      </c>
      <c r="E117" s="16" t="s">
        <v>306</v>
      </c>
      <c r="F117" s="16"/>
      <c r="G117" s="28">
        <v>0</v>
      </c>
      <c r="H117" s="28">
        <v>1070</v>
      </c>
      <c r="I117" s="28">
        <f t="shared" si="1"/>
        <v>-1771699</v>
      </c>
    </row>
    <row r="118" spans="1:9" x14ac:dyDescent="0.3">
      <c r="A118" s="16" t="s">
        <v>393</v>
      </c>
      <c r="B118" s="16" t="s">
        <v>394</v>
      </c>
      <c r="C118" s="25">
        <v>45749</v>
      </c>
      <c r="D118" s="16" t="s">
        <v>305</v>
      </c>
      <c r="E118" s="16" t="s">
        <v>306</v>
      </c>
      <c r="F118" s="16" t="s">
        <v>489</v>
      </c>
      <c r="G118" s="28">
        <v>0</v>
      </c>
      <c r="H118" s="28">
        <v>62979</v>
      </c>
      <c r="I118" s="28">
        <f t="shared" si="1"/>
        <v>-1834678</v>
      </c>
    </row>
    <row r="119" spans="1:9" x14ac:dyDescent="0.3">
      <c r="A119" s="16" t="s">
        <v>393</v>
      </c>
      <c r="B119" s="16" t="s">
        <v>394</v>
      </c>
      <c r="C119" s="25">
        <v>45749</v>
      </c>
      <c r="D119" s="16" t="s">
        <v>305</v>
      </c>
      <c r="E119" s="16" t="s">
        <v>373</v>
      </c>
      <c r="F119" s="16" t="s">
        <v>490</v>
      </c>
      <c r="G119" s="28">
        <v>0</v>
      </c>
      <c r="H119" s="28">
        <v>39800</v>
      </c>
      <c r="I119" s="28">
        <f t="shared" si="1"/>
        <v>-1874478</v>
      </c>
    </row>
    <row r="120" spans="1:9" x14ac:dyDescent="0.3">
      <c r="A120" s="16" t="s">
        <v>393</v>
      </c>
      <c r="B120" s="16" t="s">
        <v>394</v>
      </c>
      <c r="C120" s="25">
        <v>45749</v>
      </c>
      <c r="D120" s="16" t="s">
        <v>305</v>
      </c>
      <c r="E120" s="16" t="s">
        <v>491</v>
      </c>
      <c r="F120" s="16" t="s">
        <v>492</v>
      </c>
      <c r="G120" s="28">
        <v>0</v>
      </c>
      <c r="H120" s="28">
        <v>26090</v>
      </c>
      <c r="I120" s="28">
        <f t="shared" si="1"/>
        <v>-1900568</v>
      </c>
    </row>
    <row r="121" spans="1:9" x14ac:dyDescent="0.3">
      <c r="A121" s="16" t="s">
        <v>393</v>
      </c>
      <c r="B121" s="16" t="s">
        <v>394</v>
      </c>
      <c r="C121" s="25">
        <v>45750</v>
      </c>
      <c r="D121" s="16" t="s">
        <v>305</v>
      </c>
      <c r="E121" s="16" t="s">
        <v>306</v>
      </c>
      <c r="F121" s="16" t="s">
        <v>493</v>
      </c>
      <c r="G121" s="28">
        <v>0</v>
      </c>
      <c r="H121" s="28">
        <v>17990</v>
      </c>
      <c r="I121" s="28">
        <f t="shared" si="1"/>
        <v>-1918558</v>
      </c>
    </row>
    <row r="122" spans="1:9" x14ac:dyDescent="0.3">
      <c r="A122" s="16" t="s">
        <v>393</v>
      </c>
      <c r="B122" s="16" t="s">
        <v>394</v>
      </c>
      <c r="C122" s="25">
        <v>45750</v>
      </c>
      <c r="D122" s="16" t="s">
        <v>305</v>
      </c>
      <c r="E122" s="16" t="s">
        <v>373</v>
      </c>
      <c r="F122" s="16" t="s">
        <v>494</v>
      </c>
      <c r="G122" s="28">
        <v>0</v>
      </c>
      <c r="H122" s="28">
        <v>39800</v>
      </c>
      <c r="I122" s="28">
        <f t="shared" si="1"/>
        <v>-1958358</v>
      </c>
    </row>
    <row r="123" spans="1:9" x14ac:dyDescent="0.3">
      <c r="A123" s="16" t="s">
        <v>393</v>
      </c>
      <c r="B123" s="16" t="s">
        <v>394</v>
      </c>
      <c r="C123" s="25">
        <v>45750</v>
      </c>
      <c r="D123" s="16" t="s">
        <v>305</v>
      </c>
      <c r="E123" s="16" t="s">
        <v>495</v>
      </c>
      <c r="F123" s="16" t="s">
        <v>496</v>
      </c>
      <c r="G123" s="28">
        <v>0</v>
      </c>
      <c r="H123" s="28">
        <v>90000</v>
      </c>
      <c r="I123" s="28">
        <f t="shared" si="1"/>
        <v>-2048358</v>
      </c>
    </row>
    <row r="124" spans="1:9" x14ac:dyDescent="0.3">
      <c r="A124" s="16" t="s">
        <v>393</v>
      </c>
      <c r="B124" s="16" t="s">
        <v>394</v>
      </c>
      <c r="C124" s="25">
        <v>45754</v>
      </c>
      <c r="D124" s="16" t="s">
        <v>312</v>
      </c>
      <c r="E124" s="16" t="s">
        <v>396</v>
      </c>
      <c r="F124" s="16" t="s">
        <v>497</v>
      </c>
      <c r="G124" s="28">
        <v>0</v>
      </c>
      <c r="H124" s="28">
        <v>298570</v>
      </c>
      <c r="I124" s="28">
        <f t="shared" si="1"/>
        <v>-2346928</v>
      </c>
    </row>
    <row r="125" spans="1:9" x14ac:dyDescent="0.3">
      <c r="A125" s="16" t="s">
        <v>393</v>
      </c>
      <c r="B125" s="16" t="s">
        <v>394</v>
      </c>
      <c r="C125" s="25">
        <v>45754</v>
      </c>
      <c r="D125" s="16" t="s">
        <v>312</v>
      </c>
      <c r="E125" s="16" t="s">
        <v>396</v>
      </c>
      <c r="F125" s="16" t="s">
        <v>398</v>
      </c>
      <c r="G125" s="28">
        <v>0</v>
      </c>
      <c r="H125" s="28">
        <v>24003</v>
      </c>
      <c r="I125" s="28">
        <f t="shared" si="1"/>
        <v>-2370931</v>
      </c>
    </row>
    <row r="126" spans="1:9" x14ac:dyDescent="0.3">
      <c r="A126" s="16" t="s">
        <v>393</v>
      </c>
      <c r="B126" s="16" t="s">
        <v>394</v>
      </c>
      <c r="C126" s="25">
        <v>45754</v>
      </c>
      <c r="D126" s="16" t="s">
        <v>305</v>
      </c>
      <c r="E126" s="16" t="s">
        <v>373</v>
      </c>
      <c r="F126" s="16" t="s">
        <v>498</v>
      </c>
      <c r="G126" s="28">
        <v>0</v>
      </c>
      <c r="H126" s="28">
        <v>40300</v>
      </c>
      <c r="I126" s="28">
        <f t="shared" si="1"/>
        <v>-2411231</v>
      </c>
    </row>
    <row r="127" spans="1:9" x14ac:dyDescent="0.3">
      <c r="A127" s="16" t="s">
        <v>393</v>
      </c>
      <c r="B127" s="16" t="s">
        <v>394</v>
      </c>
      <c r="C127" s="25">
        <v>45755</v>
      </c>
      <c r="D127" s="16" t="s">
        <v>305</v>
      </c>
      <c r="E127" s="16" t="s">
        <v>373</v>
      </c>
      <c r="F127" s="16" t="s">
        <v>499</v>
      </c>
      <c r="G127" s="28">
        <v>0</v>
      </c>
      <c r="H127" s="28">
        <v>42300</v>
      </c>
      <c r="I127" s="28">
        <f t="shared" si="1"/>
        <v>-2453531</v>
      </c>
    </row>
    <row r="128" spans="1:9" x14ac:dyDescent="0.3">
      <c r="A128" s="16" t="s">
        <v>393</v>
      </c>
      <c r="B128" s="16" t="s">
        <v>394</v>
      </c>
      <c r="C128" s="25">
        <v>45756</v>
      </c>
      <c r="D128" s="16" t="s">
        <v>305</v>
      </c>
      <c r="E128" s="16" t="s">
        <v>373</v>
      </c>
      <c r="F128" s="16" t="s">
        <v>500</v>
      </c>
      <c r="G128" s="28">
        <v>0</v>
      </c>
      <c r="H128" s="28">
        <v>43300</v>
      </c>
      <c r="I128" s="28">
        <f t="shared" si="1"/>
        <v>-2496831</v>
      </c>
    </row>
    <row r="129" spans="1:9" x14ac:dyDescent="0.3">
      <c r="A129" s="16" t="s">
        <v>393</v>
      </c>
      <c r="B129" s="16" t="s">
        <v>394</v>
      </c>
      <c r="C129" s="25">
        <v>45757</v>
      </c>
      <c r="D129" s="16" t="s">
        <v>305</v>
      </c>
      <c r="E129" s="16" t="s">
        <v>373</v>
      </c>
      <c r="F129" s="16" t="s">
        <v>501</v>
      </c>
      <c r="G129" s="28">
        <v>0</v>
      </c>
      <c r="H129" s="28">
        <v>43800</v>
      </c>
      <c r="I129" s="28">
        <f t="shared" si="1"/>
        <v>-2540631</v>
      </c>
    </row>
    <row r="130" spans="1:9" x14ac:dyDescent="0.3">
      <c r="A130" s="16" t="s">
        <v>393</v>
      </c>
      <c r="B130" s="16" t="s">
        <v>394</v>
      </c>
      <c r="C130" s="25">
        <v>45757</v>
      </c>
      <c r="D130" s="16" t="s">
        <v>305</v>
      </c>
      <c r="E130" s="16" t="s">
        <v>502</v>
      </c>
      <c r="F130" s="16" t="s">
        <v>503</v>
      </c>
      <c r="G130" s="28">
        <v>0</v>
      </c>
      <c r="H130" s="28">
        <v>109760</v>
      </c>
      <c r="I130" s="28">
        <f t="shared" si="1"/>
        <v>-2650391</v>
      </c>
    </row>
    <row r="131" spans="1:9" x14ac:dyDescent="0.3">
      <c r="A131" s="16" t="s">
        <v>393</v>
      </c>
      <c r="B131" s="16" t="s">
        <v>394</v>
      </c>
      <c r="C131" s="25">
        <v>45758</v>
      </c>
      <c r="D131" s="16" t="s">
        <v>305</v>
      </c>
      <c r="E131" s="16" t="s">
        <v>373</v>
      </c>
      <c r="F131" s="16" t="s">
        <v>504</v>
      </c>
      <c r="G131" s="28">
        <v>0</v>
      </c>
      <c r="H131" s="28">
        <v>49100</v>
      </c>
      <c r="I131" s="28">
        <f t="shared" si="1"/>
        <v>-2699491</v>
      </c>
    </row>
    <row r="132" spans="1:9" x14ac:dyDescent="0.3">
      <c r="A132" s="16" t="s">
        <v>393</v>
      </c>
      <c r="B132" s="16" t="s">
        <v>394</v>
      </c>
      <c r="C132" s="25">
        <v>45761</v>
      </c>
      <c r="D132" s="16" t="s">
        <v>305</v>
      </c>
      <c r="E132" s="16" t="s">
        <v>373</v>
      </c>
      <c r="F132" s="16" t="s">
        <v>505</v>
      </c>
      <c r="G132" s="28">
        <v>0</v>
      </c>
      <c r="H132" s="28">
        <v>38800</v>
      </c>
      <c r="I132" s="28">
        <f t="shared" ref="I132:I195" si="2">I131+G132-H132</f>
        <v>-2738291</v>
      </c>
    </row>
    <row r="133" spans="1:9" x14ac:dyDescent="0.3">
      <c r="A133" s="16" t="s">
        <v>393</v>
      </c>
      <c r="B133" s="16" t="s">
        <v>394</v>
      </c>
      <c r="C133" s="25">
        <v>45762</v>
      </c>
      <c r="D133" s="16" t="s">
        <v>308</v>
      </c>
      <c r="E133" s="16" t="s">
        <v>407</v>
      </c>
      <c r="F133" s="16" t="s">
        <v>506</v>
      </c>
      <c r="G133" s="28">
        <v>1497172</v>
      </c>
      <c r="H133" s="28">
        <v>0</v>
      </c>
      <c r="I133" s="28">
        <f t="shared" si="2"/>
        <v>-1241119</v>
      </c>
    </row>
    <row r="134" spans="1:9" x14ac:dyDescent="0.3">
      <c r="A134" s="16" t="s">
        <v>393</v>
      </c>
      <c r="B134" s="16" t="s">
        <v>394</v>
      </c>
      <c r="C134" s="25">
        <v>45762</v>
      </c>
      <c r="D134" s="16" t="s">
        <v>305</v>
      </c>
      <c r="E134" s="16" t="s">
        <v>306</v>
      </c>
      <c r="F134" s="16" t="s">
        <v>507</v>
      </c>
      <c r="G134" s="28">
        <v>0</v>
      </c>
      <c r="H134" s="28">
        <v>45690</v>
      </c>
      <c r="I134" s="28">
        <f t="shared" si="2"/>
        <v>-1286809</v>
      </c>
    </row>
    <row r="135" spans="1:9" x14ac:dyDescent="0.3">
      <c r="A135" s="16" t="s">
        <v>393</v>
      </c>
      <c r="B135" s="16" t="s">
        <v>394</v>
      </c>
      <c r="C135" s="25">
        <v>45762</v>
      </c>
      <c r="D135" s="16" t="s">
        <v>305</v>
      </c>
      <c r="E135" s="16" t="s">
        <v>373</v>
      </c>
      <c r="F135" s="16" t="s">
        <v>508</v>
      </c>
      <c r="G135" s="28">
        <v>0</v>
      </c>
      <c r="H135" s="28">
        <v>37800</v>
      </c>
      <c r="I135" s="28">
        <f t="shared" si="2"/>
        <v>-1324609</v>
      </c>
    </row>
    <row r="136" spans="1:9" x14ac:dyDescent="0.3">
      <c r="A136" s="16" t="s">
        <v>393</v>
      </c>
      <c r="B136" s="16" t="s">
        <v>394</v>
      </c>
      <c r="C136" s="25">
        <v>45762</v>
      </c>
      <c r="D136" s="16" t="s">
        <v>305</v>
      </c>
      <c r="E136" s="16" t="s">
        <v>306</v>
      </c>
      <c r="F136" s="16" t="s">
        <v>509</v>
      </c>
      <c r="G136" s="28">
        <v>0</v>
      </c>
      <c r="H136" s="28">
        <v>67800</v>
      </c>
      <c r="I136" s="28">
        <f t="shared" si="2"/>
        <v>-1392409</v>
      </c>
    </row>
    <row r="137" spans="1:9" x14ac:dyDescent="0.3">
      <c r="A137" s="16" t="s">
        <v>393</v>
      </c>
      <c r="B137" s="16" t="s">
        <v>394</v>
      </c>
      <c r="C137" s="25">
        <v>45763</v>
      </c>
      <c r="D137" s="16" t="s">
        <v>305</v>
      </c>
      <c r="E137" s="16" t="s">
        <v>373</v>
      </c>
      <c r="F137" s="16" t="s">
        <v>510</v>
      </c>
      <c r="G137" s="28">
        <v>0</v>
      </c>
      <c r="H137" s="28">
        <v>42100</v>
      </c>
      <c r="I137" s="28">
        <f t="shared" si="2"/>
        <v>-1434509</v>
      </c>
    </row>
    <row r="138" spans="1:9" x14ac:dyDescent="0.3">
      <c r="A138" s="16" t="s">
        <v>393</v>
      </c>
      <c r="B138" s="16" t="s">
        <v>394</v>
      </c>
      <c r="C138" s="25">
        <v>45764</v>
      </c>
      <c r="D138" s="16" t="s">
        <v>305</v>
      </c>
      <c r="E138" s="16" t="s">
        <v>373</v>
      </c>
      <c r="F138" s="16" t="s">
        <v>511</v>
      </c>
      <c r="G138" s="28">
        <v>0</v>
      </c>
      <c r="H138" s="28">
        <v>40100</v>
      </c>
      <c r="I138" s="28">
        <f t="shared" si="2"/>
        <v>-1474609</v>
      </c>
    </row>
    <row r="139" spans="1:9" x14ac:dyDescent="0.3">
      <c r="A139" s="16" t="s">
        <v>393</v>
      </c>
      <c r="B139" s="16" t="s">
        <v>394</v>
      </c>
      <c r="C139" s="25">
        <v>45768</v>
      </c>
      <c r="D139" s="16" t="s">
        <v>305</v>
      </c>
      <c r="E139" s="16" t="s">
        <v>306</v>
      </c>
      <c r="F139" s="16" t="s">
        <v>512</v>
      </c>
      <c r="G139" s="28">
        <v>0</v>
      </c>
      <c r="H139" s="28">
        <v>16786</v>
      </c>
      <c r="I139" s="28">
        <f t="shared" si="2"/>
        <v>-1491395</v>
      </c>
    </row>
    <row r="140" spans="1:9" x14ac:dyDescent="0.3">
      <c r="A140" s="16" t="s">
        <v>393</v>
      </c>
      <c r="B140" s="16" t="s">
        <v>394</v>
      </c>
      <c r="C140" s="25">
        <v>45768</v>
      </c>
      <c r="D140" s="16" t="s">
        <v>305</v>
      </c>
      <c r="E140" s="16" t="s">
        <v>306</v>
      </c>
      <c r="F140" s="16" t="s">
        <v>513</v>
      </c>
      <c r="G140" s="28">
        <v>0</v>
      </c>
      <c r="H140" s="28">
        <v>11426</v>
      </c>
      <c r="I140" s="28">
        <f t="shared" si="2"/>
        <v>-1502821</v>
      </c>
    </row>
    <row r="141" spans="1:9" x14ac:dyDescent="0.3">
      <c r="A141" s="16" t="s">
        <v>393</v>
      </c>
      <c r="B141" s="16" t="s">
        <v>394</v>
      </c>
      <c r="C141" s="25">
        <v>45769</v>
      </c>
      <c r="D141" s="16" t="s">
        <v>305</v>
      </c>
      <c r="E141" s="16" t="s">
        <v>306</v>
      </c>
      <c r="F141" s="16" t="s">
        <v>514</v>
      </c>
      <c r="G141" s="28">
        <v>0</v>
      </c>
      <c r="H141" s="28">
        <v>25146</v>
      </c>
      <c r="I141" s="28">
        <f t="shared" si="2"/>
        <v>-1527967</v>
      </c>
    </row>
    <row r="142" spans="1:9" x14ac:dyDescent="0.3">
      <c r="A142" s="16" t="s">
        <v>393</v>
      </c>
      <c r="B142" s="16" t="s">
        <v>394</v>
      </c>
      <c r="C142" s="25">
        <v>45769</v>
      </c>
      <c r="D142" s="16" t="s">
        <v>305</v>
      </c>
      <c r="E142" s="16" t="s">
        <v>306</v>
      </c>
      <c r="F142" s="16" t="s">
        <v>515</v>
      </c>
      <c r="G142" s="28">
        <v>0</v>
      </c>
      <c r="H142" s="28">
        <v>33325</v>
      </c>
      <c r="I142" s="28">
        <f t="shared" si="2"/>
        <v>-1561292</v>
      </c>
    </row>
    <row r="143" spans="1:9" x14ac:dyDescent="0.3">
      <c r="A143" s="16" t="s">
        <v>393</v>
      </c>
      <c r="B143" s="16" t="s">
        <v>394</v>
      </c>
      <c r="C143" s="25">
        <v>45769</v>
      </c>
      <c r="D143" s="16" t="s">
        <v>305</v>
      </c>
      <c r="E143" s="16" t="s">
        <v>306</v>
      </c>
      <c r="F143" s="16" t="s">
        <v>516</v>
      </c>
      <c r="G143" s="28">
        <v>0</v>
      </c>
      <c r="H143" s="28">
        <v>6000</v>
      </c>
      <c r="I143" s="28">
        <f t="shared" si="2"/>
        <v>-1567292</v>
      </c>
    </row>
    <row r="144" spans="1:9" x14ac:dyDescent="0.3">
      <c r="A144" s="16" t="s">
        <v>393</v>
      </c>
      <c r="B144" s="16" t="s">
        <v>394</v>
      </c>
      <c r="C144" s="25">
        <v>45770</v>
      </c>
      <c r="D144" s="16" t="s">
        <v>305</v>
      </c>
      <c r="E144" s="16" t="s">
        <v>306</v>
      </c>
      <c r="F144" s="16" t="s">
        <v>517</v>
      </c>
      <c r="G144" s="28">
        <v>0</v>
      </c>
      <c r="H144" s="28">
        <v>56800</v>
      </c>
      <c r="I144" s="28">
        <f t="shared" si="2"/>
        <v>-1624092</v>
      </c>
    </row>
    <row r="145" spans="1:9" x14ac:dyDescent="0.3">
      <c r="A145" s="16" t="s">
        <v>393</v>
      </c>
      <c r="B145" s="16" t="s">
        <v>394</v>
      </c>
      <c r="C145" s="25">
        <v>45770</v>
      </c>
      <c r="D145" s="16" t="s">
        <v>305</v>
      </c>
      <c r="E145" s="16" t="s">
        <v>306</v>
      </c>
      <c r="F145" s="16" t="s">
        <v>518</v>
      </c>
      <c r="G145" s="28">
        <v>0</v>
      </c>
      <c r="H145" s="28">
        <v>14161</v>
      </c>
      <c r="I145" s="28">
        <f t="shared" si="2"/>
        <v>-1638253</v>
      </c>
    </row>
    <row r="146" spans="1:9" x14ac:dyDescent="0.3">
      <c r="A146" s="16" t="s">
        <v>393</v>
      </c>
      <c r="B146" s="16" t="s">
        <v>394</v>
      </c>
      <c r="C146" s="25">
        <v>45770</v>
      </c>
      <c r="D146" s="16" t="s">
        <v>305</v>
      </c>
      <c r="E146" s="16" t="s">
        <v>306</v>
      </c>
      <c r="F146" s="16" t="s">
        <v>519</v>
      </c>
      <c r="G146" s="28">
        <v>0</v>
      </c>
      <c r="H146" s="28">
        <v>6000</v>
      </c>
      <c r="I146" s="28">
        <f t="shared" si="2"/>
        <v>-1644253</v>
      </c>
    </row>
    <row r="147" spans="1:9" x14ac:dyDescent="0.3">
      <c r="A147" s="16" t="s">
        <v>393</v>
      </c>
      <c r="B147" s="16" t="s">
        <v>394</v>
      </c>
      <c r="C147" s="25">
        <v>45770</v>
      </c>
      <c r="D147" s="16" t="s">
        <v>305</v>
      </c>
      <c r="E147" s="16" t="s">
        <v>306</v>
      </c>
      <c r="F147" s="16" t="s">
        <v>520</v>
      </c>
      <c r="G147" s="28">
        <v>0</v>
      </c>
      <c r="H147" s="28">
        <v>24717</v>
      </c>
      <c r="I147" s="28">
        <f t="shared" si="2"/>
        <v>-1668970</v>
      </c>
    </row>
    <row r="148" spans="1:9" x14ac:dyDescent="0.3">
      <c r="A148" s="16" t="s">
        <v>393</v>
      </c>
      <c r="B148" s="16" t="s">
        <v>394</v>
      </c>
      <c r="C148" s="25">
        <v>45770</v>
      </c>
      <c r="D148" s="16" t="s">
        <v>305</v>
      </c>
      <c r="E148" s="16" t="s">
        <v>306</v>
      </c>
      <c r="F148" s="16"/>
      <c r="G148" s="28">
        <v>0</v>
      </c>
      <c r="H148" s="28">
        <v>59960</v>
      </c>
      <c r="I148" s="28">
        <f t="shared" si="2"/>
        <v>-1728930</v>
      </c>
    </row>
    <row r="149" spans="1:9" x14ac:dyDescent="0.3">
      <c r="A149" s="16" t="s">
        <v>393</v>
      </c>
      <c r="B149" s="16" t="s">
        <v>394</v>
      </c>
      <c r="C149" s="25">
        <v>45771</v>
      </c>
      <c r="D149" s="16" t="s">
        <v>305</v>
      </c>
      <c r="E149" s="16" t="s">
        <v>306</v>
      </c>
      <c r="F149" s="16" t="s">
        <v>521</v>
      </c>
      <c r="G149" s="28">
        <v>0</v>
      </c>
      <c r="H149" s="28">
        <v>75138</v>
      </c>
      <c r="I149" s="28">
        <f t="shared" si="2"/>
        <v>-1804068</v>
      </c>
    </row>
    <row r="150" spans="1:9" x14ac:dyDescent="0.3">
      <c r="A150" s="16" t="s">
        <v>393</v>
      </c>
      <c r="B150" s="16" t="s">
        <v>394</v>
      </c>
      <c r="C150" s="25">
        <v>45771</v>
      </c>
      <c r="D150" s="16" t="s">
        <v>305</v>
      </c>
      <c r="E150" s="16" t="s">
        <v>306</v>
      </c>
      <c r="F150" s="16" t="s">
        <v>522</v>
      </c>
      <c r="G150" s="28">
        <v>0</v>
      </c>
      <c r="H150" s="28">
        <v>117555</v>
      </c>
      <c r="I150" s="28">
        <f t="shared" si="2"/>
        <v>-1921623</v>
      </c>
    </row>
    <row r="151" spans="1:9" x14ac:dyDescent="0.3">
      <c r="A151" s="16" t="s">
        <v>393</v>
      </c>
      <c r="B151" s="16" t="s">
        <v>394</v>
      </c>
      <c r="C151" s="25">
        <v>45771</v>
      </c>
      <c r="D151" s="16" t="s">
        <v>305</v>
      </c>
      <c r="E151" s="16" t="s">
        <v>306</v>
      </c>
      <c r="F151" s="16" t="s">
        <v>523</v>
      </c>
      <c r="G151" s="28">
        <v>0</v>
      </c>
      <c r="H151" s="28">
        <v>40182</v>
      </c>
      <c r="I151" s="28">
        <f t="shared" si="2"/>
        <v>-1961805</v>
      </c>
    </row>
    <row r="152" spans="1:9" x14ac:dyDescent="0.3">
      <c r="A152" s="16" t="s">
        <v>393</v>
      </c>
      <c r="B152" s="16" t="s">
        <v>394</v>
      </c>
      <c r="C152" s="25">
        <v>45771</v>
      </c>
      <c r="D152" s="16" t="s">
        <v>305</v>
      </c>
      <c r="E152" s="16" t="s">
        <v>306</v>
      </c>
      <c r="F152" s="16" t="s">
        <v>524</v>
      </c>
      <c r="G152" s="28">
        <v>0</v>
      </c>
      <c r="H152" s="28">
        <v>18772</v>
      </c>
      <c r="I152" s="28">
        <f t="shared" si="2"/>
        <v>-1980577</v>
      </c>
    </row>
    <row r="153" spans="1:9" x14ac:dyDescent="0.3">
      <c r="A153" s="16" t="s">
        <v>393</v>
      </c>
      <c r="B153" s="16" t="s">
        <v>394</v>
      </c>
      <c r="C153" s="25">
        <v>45771</v>
      </c>
      <c r="D153" s="16" t="s">
        <v>305</v>
      </c>
      <c r="E153" s="16" t="s">
        <v>306</v>
      </c>
      <c r="F153" s="16" t="s">
        <v>525</v>
      </c>
      <c r="G153" s="28">
        <v>0</v>
      </c>
      <c r="H153" s="28">
        <v>12251</v>
      </c>
      <c r="I153" s="28">
        <f t="shared" si="2"/>
        <v>-1992828</v>
      </c>
    </row>
    <row r="154" spans="1:9" x14ac:dyDescent="0.3">
      <c r="A154" s="16" t="s">
        <v>393</v>
      </c>
      <c r="B154" s="16" t="s">
        <v>394</v>
      </c>
      <c r="C154" s="25">
        <v>45771</v>
      </c>
      <c r="D154" s="16" t="s">
        <v>305</v>
      </c>
      <c r="E154" s="16" t="s">
        <v>306</v>
      </c>
      <c r="F154" s="16" t="s">
        <v>526</v>
      </c>
      <c r="G154" s="28">
        <v>0</v>
      </c>
      <c r="H154" s="28">
        <v>11273</v>
      </c>
      <c r="I154" s="28">
        <f t="shared" si="2"/>
        <v>-2004101</v>
      </c>
    </row>
    <row r="155" spans="1:9" x14ac:dyDescent="0.3">
      <c r="A155" s="16" t="s">
        <v>393</v>
      </c>
      <c r="B155" s="16" t="s">
        <v>394</v>
      </c>
      <c r="C155" s="25">
        <v>45771</v>
      </c>
      <c r="D155" s="16" t="s">
        <v>305</v>
      </c>
      <c r="E155" s="16" t="s">
        <v>306</v>
      </c>
      <c r="F155" s="16" t="s">
        <v>527</v>
      </c>
      <c r="G155" s="28">
        <v>0</v>
      </c>
      <c r="H155" s="28">
        <v>5000</v>
      </c>
      <c r="I155" s="28">
        <f t="shared" si="2"/>
        <v>-2009101</v>
      </c>
    </row>
    <row r="156" spans="1:9" x14ac:dyDescent="0.3">
      <c r="A156" s="16" t="s">
        <v>393</v>
      </c>
      <c r="B156" s="16" t="s">
        <v>394</v>
      </c>
      <c r="C156" s="25">
        <v>45771</v>
      </c>
      <c r="D156" s="16" t="s">
        <v>305</v>
      </c>
      <c r="E156" s="16" t="s">
        <v>306</v>
      </c>
      <c r="F156" s="16" t="s">
        <v>528</v>
      </c>
      <c r="G156" s="28">
        <v>0</v>
      </c>
      <c r="H156" s="28">
        <v>12087</v>
      </c>
      <c r="I156" s="28">
        <f t="shared" si="2"/>
        <v>-2021188</v>
      </c>
    </row>
    <row r="157" spans="1:9" x14ac:dyDescent="0.3">
      <c r="A157" s="16" t="s">
        <v>393</v>
      </c>
      <c r="B157" s="16" t="s">
        <v>394</v>
      </c>
      <c r="C157" s="25">
        <v>45771</v>
      </c>
      <c r="D157" s="16" t="s">
        <v>305</v>
      </c>
      <c r="E157" s="16" t="s">
        <v>306</v>
      </c>
      <c r="F157" s="16" t="s">
        <v>529</v>
      </c>
      <c r="G157" s="28">
        <v>0</v>
      </c>
      <c r="H157" s="28">
        <v>13372</v>
      </c>
      <c r="I157" s="28">
        <f t="shared" si="2"/>
        <v>-2034560</v>
      </c>
    </row>
    <row r="158" spans="1:9" x14ac:dyDescent="0.3">
      <c r="A158" s="16" t="s">
        <v>393</v>
      </c>
      <c r="B158" s="16" t="s">
        <v>394</v>
      </c>
      <c r="C158" s="25">
        <v>45772</v>
      </c>
      <c r="D158" s="16" t="s">
        <v>305</v>
      </c>
      <c r="E158" s="16" t="s">
        <v>306</v>
      </c>
      <c r="F158" s="16" t="s">
        <v>530</v>
      </c>
      <c r="G158" s="28">
        <v>0</v>
      </c>
      <c r="H158" s="28">
        <v>12413</v>
      </c>
      <c r="I158" s="28">
        <f t="shared" si="2"/>
        <v>-2046973</v>
      </c>
    </row>
    <row r="159" spans="1:9" x14ac:dyDescent="0.3">
      <c r="A159" s="16" t="s">
        <v>393</v>
      </c>
      <c r="B159" s="16" t="s">
        <v>394</v>
      </c>
      <c r="C159" s="25">
        <v>45772</v>
      </c>
      <c r="D159" s="16" t="s">
        <v>305</v>
      </c>
      <c r="E159" s="16" t="s">
        <v>306</v>
      </c>
      <c r="F159" s="16" t="s">
        <v>531</v>
      </c>
      <c r="G159" s="28">
        <v>0</v>
      </c>
      <c r="H159" s="28">
        <v>21260</v>
      </c>
      <c r="I159" s="28">
        <f t="shared" si="2"/>
        <v>-2068233</v>
      </c>
    </row>
    <row r="160" spans="1:9" x14ac:dyDescent="0.3">
      <c r="A160" s="16" t="s">
        <v>393</v>
      </c>
      <c r="B160" s="16" t="s">
        <v>394</v>
      </c>
      <c r="C160" s="25">
        <v>45772</v>
      </c>
      <c r="D160" s="16" t="s">
        <v>305</v>
      </c>
      <c r="E160" s="16" t="s">
        <v>306</v>
      </c>
      <c r="F160" s="16" t="s">
        <v>532</v>
      </c>
      <c r="G160" s="28">
        <v>0</v>
      </c>
      <c r="H160" s="28">
        <v>14269</v>
      </c>
      <c r="I160" s="28">
        <f t="shared" si="2"/>
        <v>-2082502</v>
      </c>
    </row>
    <row r="161" spans="1:9" x14ac:dyDescent="0.3">
      <c r="A161" s="16" t="s">
        <v>393</v>
      </c>
      <c r="B161" s="16" t="s">
        <v>394</v>
      </c>
      <c r="C161" s="25">
        <v>45772</v>
      </c>
      <c r="D161" s="16" t="s">
        <v>305</v>
      </c>
      <c r="E161" s="16" t="s">
        <v>306</v>
      </c>
      <c r="F161" s="16" t="s">
        <v>533</v>
      </c>
      <c r="G161" s="28">
        <v>0</v>
      </c>
      <c r="H161" s="28">
        <v>13161</v>
      </c>
      <c r="I161" s="28">
        <f t="shared" si="2"/>
        <v>-2095663</v>
      </c>
    </row>
    <row r="162" spans="1:9" x14ac:dyDescent="0.3">
      <c r="A162" s="16" t="s">
        <v>393</v>
      </c>
      <c r="B162" s="16" t="s">
        <v>394</v>
      </c>
      <c r="C162" s="25">
        <v>45772</v>
      </c>
      <c r="D162" s="16" t="s">
        <v>305</v>
      </c>
      <c r="E162" s="16" t="s">
        <v>306</v>
      </c>
      <c r="F162" s="16" t="s">
        <v>534</v>
      </c>
      <c r="G162" s="28">
        <v>0</v>
      </c>
      <c r="H162" s="28">
        <v>29235</v>
      </c>
      <c r="I162" s="28">
        <f t="shared" si="2"/>
        <v>-2124898</v>
      </c>
    </row>
    <row r="163" spans="1:9" x14ac:dyDescent="0.3">
      <c r="A163" s="16" t="s">
        <v>393</v>
      </c>
      <c r="B163" s="16" t="s">
        <v>394</v>
      </c>
      <c r="C163" s="25">
        <v>45772</v>
      </c>
      <c r="D163" s="16" t="s">
        <v>305</v>
      </c>
      <c r="E163" s="16" t="s">
        <v>306</v>
      </c>
      <c r="F163" s="16" t="s">
        <v>535</v>
      </c>
      <c r="G163" s="28">
        <v>0</v>
      </c>
      <c r="H163" s="28">
        <v>13040</v>
      </c>
      <c r="I163" s="28">
        <f t="shared" si="2"/>
        <v>-2137938</v>
      </c>
    </row>
    <row r="164" spans="1:9" x14ac:dyDescent="0.3">
      <c r="A164" s="16" t="s">
        <v>393</v>
      </c>
      <c r="B164" s="16" t="s">
        <v>394</v>
      </c>
      <c r="C164" s="25">
        <v>45772</v>
      </c>
      <c r="D164" s="16" t="s">
        <v>305</v>
      </c>
      <c r="E164" s="16" t="s">
        <v>306</v>
      </c>
      <c r="F164" s="16" t="s">
        <v>536</v>
      </c>
      <c r="G164" s="28">
        <v>0</v>
      </c>
      <c r="H164" s="28">
        <v>98280</v>
      </c>
      <c r="I164" s="28">
        <f t="shared" si="2"/>
        <v>-2236218</v>
      </c>
    </row>
    <row r="165" spans="1:9" x14ac:dyDescent="0.3">
      <c r="A165" s="16" t="s">
        <v>393</v>
      </c>
      <c r="B165" s="16" t="s">
        <v>394</v>
      </c>
      <c r="C165" s="25">
        <v>45772</v>
      </c>
      <c r="D165" s="16" t="s">
        <v>305</v>
      </c>
      <c r="E165" s="16" t="s">
        <v>311</v>
      </c>
      <c r="F165" s="16"/>
      <c r="G165" s="28">
        <v>0</v>
      </c>
      <c r="H165" s="28">
        <v>25098</v>
      </c>
      <c r="I165" s="28">
        <f t="shared" si="2"/>
        <v>-2261316</v>
      </c>
    </row>
    <row r="166" spans="1:9" x14ac:dyDescent="0.3">
      <c r="A166" s="16" t="s">
        <v>393</v>
      </c>
      <c r="B166" s="16" t="s">
        <v>394</v>
      </c>
      <c r="C166" s="25">
        <v>45772</v>
      </c>
      <c r="D166" s="16" t="s">
        <v>305</v>
      </c>
      <c r="E166" s="16" t="s">
        <v>311</v>
      </c>
      <c r="F166" s="16"/>
      <c r="G166" s="28">
        <v>0</v>
      </c>
      <c r="H166" s="28">
        <v>3904</v>
      </c>
      <c r="I166" s="28">
        <f t="shared" si="2"/>
        <v>-2265220</v>
      </c>
    </row>
    <row r="167" spans="1:9" x14ac:dyDescent="0.3">
      <c r="A167" s="16" t="s">
        <v>393</v>
      </c>
      <c r="B167" s="16" t="s">
        <v>394</v>
      </c>
      <c r="C167" s="25">
        <v>45772</v>
      </c>
      <c r="D167" s="16" t="s">
        <v>305</v>
      </c>
      <c r="E167" s="16" t="s">
        <v>311</v>
      </c>
      <c r="F167" s="16"/>
      <c r="G167" s="28">
        <v>0</v>
      </c>
      <c r="H167" s="28">
        <v>637</v>
      </c>
      <c r="I167" s="28">
        <f t="shared" si="2"/>
        <v>-2265857</v>
      </c>
    </row>
    <row r="168" spans="1:9" x14ac:dyDescent="0.3">
      <c r="A168" s="16" t="s">
        <v>393</v>
      </c>
      <c r="B168" s="16" t="s">
        <v>394</v>
      </c>
      <c r="C168" s="25">
        <v>45777</v>
      </c>
      <c r="D168" s="16" t="s">
        <v>305</v>
      </c>
      <c r="E168" s="16" t="s">
        <v>311</v>
      </c>
      <c r="F168" s="16"/>
      <c r="G168" s="28">
        <v>0</v>
      </c>
      <c r="H168" s="28">
        <v>42805</v>
      </c>
      <c r="I168" s="28">
        <f t="shared" si="2"/>
        <v>-2308662</v>
      </c>
    </row>
    <row r="169" spans="1:9" x14ac:dyDescent="0.3">
      <c r="A169" s="16" t="s">
        <v>393</v>
      </c>
      <c r="B169" s="16" t="s">
        <v>394</v>
      </c>
      <c r="C169" s="25">
        <v>45778</v>
      </c>
      <c r="D169" s="16" t="s">
        <v>305</v>
      </c>
      <c r="E169" s="16" t="s">
        <v>306</v>
      </c>
      <c r="F169" s="16"/>
      <c r="G169" s="28">
        <v>0</v>
      </c>
      <c r="H169" s="28">
        <v>14962</v>
      </c>
      <c r="I169" s="28">
        <f t="shared" si="2"/>
        <v>-2323624</v>
      </c>
    </row>
    <row r="170" spans="1:9" x14ac:dyDescent="0.3">
      <c r="A170" s="16" t="s">
        <v>393</v>
      </c>
      <c r="B170" s="16" t="s">
        <v>394</v>
      </c>
      <c r="C170" s="25">
        <v>45778</v>
      </c>
      <c r="D170" s="16" t="s">
        <v>305</v>
      </c>
      <c r="E170" s="16" t="s">
        <v>306</v>
      </c>
      <c r="F170" s="16"/>
      <c r="G170" s="28">
        <v>0</v>
      </c>
      <c r="H170" s="28">
        <v>18772</v>
      </c>
      <c r="I170" s="28">
        <f t="shared" si="2"/>
        <v>-2342396</v>
      </c>
    </row>
    <row r="171" spans="1:9" x14ac:dyDescent="0.3">
      <c r="A171" s="16" t="s">
        <v>393</v>
      </c>
      <c r="B171" s="16" t="s">
        <v>394</v>
      </c>
      <c r="C171" s="25">
        <v>45778</v>
      </c>
      <c r="D171" s="16" t="s">
        <v>305</v>
      </c>
      <c r="E171" s="16" t="s">
        <v>306</v>
      </c>
      <c r="F171" s="16"/>
      <c r="G171" s="28">
        <v>0</v>
      </c>
      <c r="H171" s="28">
        <v>35756</v>
      </c>
      <c r="I171" s="28">
        <f t="shared" si="2"/>
        <v>-2378152</v>
      </c>
    </row>
    <row r="172" spans="1:9" x14ac:dyDescent="0.3">
      <c r="A172" s="16" t="s">
        <v>393</v>
      </c>
      <c r="B172" s="16" t="s">
        <v>394</v>
      </c>
      <c r="C172" s="25">
        <v>45783</v>
      </c>
      <c r="D172" s="16" t="s">
        <v>305</v>
      </c>
      <c r="E172" s="16" t="s">
        <v>306</v>
      </c>
      <c r="F172" s="16" t="s">
        <v>537</v>
      </c>
      <c r="G172" s="28">
        <v>0</v>
      </c>
      <c r="H172" s="28">
        <v>10730</v>
      </c>
      <c r="I172" s="28">
        <f t="shared" si="2"/>
        <v>-2388882</v>
      </c>
    </row>
    <row r="173" spans="1:9" x14ac:dyDescent="0.3">
      <c r="A173" s="16" t="s">
        <v>393</v>
      </c>
      <c r="B173" s="16" t="s">
        <v>394</v>
      </c>
      <c r="C173" s="25">
        <v>45789</v>
      </c>
      <c r="D173" s="16" t="s">
        <v>305</v>
      </c>
      <c r="E173" s="16" t="s">
        <v>306</v>
      </c>
      <c r="F173" s="16" t="s">
        <v>538</v>
      </c>
      <c r="G173" s="28">
        <v>0</v>
      </c>
      <c r="H173" s="28">
        <v>121854</v>
      </c>
      <c r="I173" s="28">
        <f t="shared" si="2"/>
        <v>-2510736</v>
      </c>
    </row>
    <row r="174" spans="1:9" x14ac:dyDescent="0.3">
      <c r="A174" s="16" t="s">
        <v>393</v>
      </c>
      <c r="B174" s="16" t="s">
        <v>394</v>
      </c>
      <c r="C174" s="25">
        <v>45789</v>
      </c>
      <c r="D174" s="16" t="s">
        <v>318</v>
      </c>
      <c r="E174" s="16" t="s">
        <v>319</v>
      </c>
      <c r="F174" s="16"/>
      <c r="G174" s="28">
        <v>0</v>
      </c>
      <c r="H174" s="28">
        <v>6</v>
      </c>
      <c r="I174" s="28">
        <f t="shared" si="2"/>
        <v>-2510742</v>
      </c>
    </row>
    <row r="175" spans="1:9" x14ac:dyDescent="0.3">
      <c r="A175" s="16" t="s">
        <v>393</v>
      </c>
      <c r="B175" s="16" t="s">
        <v>394</v>
      </c>
      <c r="C175" s="25">
        <v>45789</v>
      </c>
      <c r="D175" s="16" t="s">
        <v>312</v>
      </c>
      <c r="E175" s="16" t="s">
        <v>396</v>
      </c>
      <c r="F175" s="16" t="s">
        <v>539</v>
      </c>
      <c r="G175" s="28">
        <v>0</v>
      </c>
      <c r="H175" s="28">
        <v>299973</v>
      </c>
      <c r="I175" s="28">
        <f t="shared" si="2"/>
        <v>-2810715</v>
      </c>
    </row>
    <row r="176" spans="1:9" x14ac:dyDescent="0.3">
      <c r="A176" s="16" t="s">
        <v>393</v>
      </c>
      <c r="B176" s="16" t="s">
        <v>394</v>
      </c>
      <c r="C176" s="25">
        <v>45789</v>
      </c>
      <c r="D176" s="16" t="s">
        <v>312</v>
      </c>
      <c r="E176" s="16" t="s">
        <v>396</v>
      </c>
      <c r="F176" s="16" t="s">
        <v>398</v>
      </c>
      <c r="G176" s="28">
        <v>0</v>
      </c>
      <c r="H176" s="28">
        <v>24003</v>
      </c>
      <c r="I176" s="28">
        <f t="shared" si="2"/>
        <v>-2834718</v>
      </c>
    </row>
    <row r="177" spans="1:9" x14ac:dyDescent="0.3">
      <c r="A177" s="16" t="s">
        <v>393</v>
      </c>
      <c r="B177" s="16" t="s">
        <v>394</v>
      </c>
      <c r="C177" s="25">
        <v>45791</v>
      </c>
      <c r="D177" s="16" t="s">
        <v>305</v>
      </c>
      <c r="E177" s="16" t="s">
        <v>306</v>
      </c>
      <c r="F177" s="16" t="s">
        <v>450</v>
      </c>
      <c r="G177" s="28">
        <v>0</v>
      </c>
      <c r="H177" s="28">
        <v>135600</v>
      </c>
      <c r="I177" s="28">
        <f t="shared" si="2"/>
        <v>-2970318</v>
      </c>
    </row>
    <row r="178" spans="1:9" x14ac:dyDescent="0.3">
      <c r="A178" s="16" t="s">
        <v>393</v>
      </c>
      <c r="B178" s="16" t="s">
        <v>394</v>
      </c>
      <c r="C178" s="25">
        <v>45792</v>
      </c>
      <c r="D178" s="16" t="s">
        <v>308</v>
      </c>
      <c r="E178" s="16" t="s">
        <v>407</v>
      </c>
      <c r="F178" s="16" t="s">
        <v>540</v>
      </c>
      <c r="G178" s="28">
        <v>3070443</v>
      </c>
      <c r="H178" s="28">
        <v>0</v>
      </c>
      <c r="I178" s="28">
        <f t="shared" si="2"/>
        <v>100125</v>
      </c>
    </row>
    <row r="179" spans="1:9" x14ac:dyDescent="0.3">
      <c r="A179" s="16" t="s">
        <v>393</v>
      </c>
      <c r="B179" s="16" t="s">
        <v>394</v>
      </c>
      <c r="C179" s="25">
        <v>45797</v>
      </c>
      <c r="D179" s="16" t="s">
        <v>305</v>
      </c>
      <c r="E179" s="16" t="s">
        <v>306</v>
      </c>
      <c r="F179" s="16" t="s">
        <v>541</v>
      </c>
      <c r="G179" s="28">
        <v>0</v>
      </c>
      <c r="H179" s="28">
        <v>40890</v>
      </c>
      <c r="I179" s="28">
        <f t="shared" si="2"/>
        <v>59235</v>
      </c>
    </row>
    <row r="180" spans="1:9" x14ac:dyDescent="0.3">
      <c r="A180" s="16" t="s">
        <v>393</v>
      </c>
      <c r="B180" s="16" t="s">
        <v>394</v>
      </c>
      <c r="C180" s="25">
        <v>45797</v>
      </c>
      <c r="D180" s="16" t="s">
        <v>305</v>
      </c>
      <c r="E180" s="16" t="s">
        <v>306</v>
      </c>
      <c r="F180" s="16" t="s">
        <v>542</v>
      </c>
      <c r="G180" s="28">
        <v>0</v>
      </c>
      <c r="H180" s="28">
        <v>12246</v>
      </c>
      <c r="I180" s="28">
        <f t="shared" si="2"/>
        <v>46989</v>
      </c>
    </row>
    <row r="181" spans="1:9" x14ac:dyDescent="0.3">
      <c r="A181" s="16" t="s">
        <v>393</v>
      </c>
      <c r="B181" s="16" t="s">
        <v>394</v>
      </c>
      <c r="C181" s="25">
        <v>45797</v>
      </c>
      <c r="D181" s="16" t="s">
        <v>305</v>
      </c>
      <c r="E181" s="16" t="s">
        <v>306</v>
      </c>
      <c r="F181" s="16" t="s">
        <v>543</v>
      </c>
      <c r="G181" s="28">
        <v>0</v>
      </c>
      <c r="H181" s="28">
        <v>14465</v>
      </c>
      <c r="I181" s="28">
        <f t="shared" si="2"/>
        <v>32524</v>
      </c>
    </row>
    <row r="182" spans="1:9" x14ac:dyDescent="0.3">
      <c r="A182" s="16" t="s">
        <v>393</v>
      </c>
      <c r="B182" s="16" t="s">
        <v>394</v>
      </c>
      <c r="C182" s="25">
        <v>45797</v>
      </c>
      <c r="D182" s="16" t="s">
        <v>305</v>
      </c>
      <c r="E182" s="16" t="s">
        <v>544</v>
      </c>
      <c r="F182" s="16" t="s">
        <v>545</v>
      </c>
      <c r="G182" s="28">
        <v>0</v>
      </c>
      <c r="H182" s="28">
        <v>23800</v>
      </c>
      <c r="I182" s="28">
        <f t="shared" si="2"/>
        <v>8724</v>
      </c>
    </row>
    <row r="183" spans="1:9" x14ac:dyDescent="0.3">
      <c r="A183" s="16" t="s">
        <v>393</v>
      </c>
      <c r="B183" s="16" t="s">
        <v>394</v>
      </c>
      <c r="C183" s="25">
        <v>45799</v>
      </c>
      <c r="D183" s="16" t="s">
        <v>305</v>
      </c>
      <c r="E183" s="16" t="s">
        <v>546</v>
      </c>
      <c r="F183" s="16" t="s">
        <v>547</v>
      </c>
      <c r="G183" s="28">
        <v>0</v>
      </c>
      <c r="H183" s="28">
        <v>64980</v>
      </c>
      <c r="I183" s="28">
        <f t="shared" si="2"/>
        <v>-56256</v>
      </c>
    </row>
    <row r="184" spans="1:9" x14ac:dyDescent="0.3">
      <c r="A184" s="16" t="s">
        <v>393</v>
      </c>
      <c r="B184" s="16" t="s">
        <v>394</v>
      </c>
      <c r="C184" s="25">
        <v>45802</v>
      </c>
      <c r="D184" s="16" t="s">
        <v>305</v>
      </c>
      <c r="E184" s="16" t="s">
        <v>306</v>
      </c>
      <c r="F184" s="16" t="s">
        <v>548</v>
      </c>
      <c r="G184" s="28">
        <v>0</v>
      </c>
      <c r="H184" s="28">
        <v>32566</v>
      </c>
      <c r="I184" s="28">
        <f t="shared" si="2"/>
        <v>-88822</v>
      </c>
    </row>
    <row r="185" spans="1:9" x14ac:dyDescent="0.3">
      <c r="A185" s="16" t="s">
        <v>393</v>
      </c>
      <c r="B185" s="16" t="s">
        <v>394</v>
      </c>
      <c r="C185" s="25">
        <v>45804</v>
      </c>
      <c r="D185" s="16" t="s">
        <v>305</v>
      </c>
      <c r="E185" s="16" t="s">
        <v>306</v>
      </c>
      <c r="F185" s="16" t="s">
        <v>549</v>
      </c>
      <c r="G185" s="28">
        <v>0</v>
      </c>
      <c r="H185" s="28">
        <v>87611</v>
      </c>
      <c r="I185" s="28">
        <f t="shared" si="2"/>
        <v>-176433</v>
      </c>
    </row>
    <row r="186" spans="1:9" x14ac:dyDescent="0.3">
      <c r="A186" s="16" t="s">
        <v>393</v>
      </c>
      <c r="B186" s="16" t="s">
        <v>394</v>
      </c>
      <c r="C186" s="25">
        <v>45804</v>
      </c>
      <c r="D186" s="16" t="s">
        <v>305</v>
      </c>
      <c r="E186" s="16" t="s">
        <v>550</v>
      </c>
      <c r="F186" s="16" t="s">
        <v>551</v>
      </c>
      <c r="G186" s="28">
        <v>0</v>
      </c>
      <c r="H186" s="28">
        <v>75382</v>
      </c>
      <c r="I186" s="28">
        <f t="shared" si="2"/>
        <v>-251815</v>
      </c>
    </row>
    <row r="187" spans="1:9" x14ac:dyDescent="0.3">
      <c r="A187" s="16" t="s">
        <v>393</v>
      </c>
      <c r="B187" s="16" t="s">
        <v>394</v>
      </c>
      <c r="C187" s="25">
        <v>45805</v>
      </c>
      <c r="D187" s="16" t="s">
        <v>305</v>
      </c>
      <c r="E187" s="16" t="s">
        <v>306</v>
      </c>
      <c r="F187" s="16" t="s">
        <v>552</v>
      </c>
      <c r="G187" s="28">
        <v>0</v>
      </c>
      <c r="H187" s="28">
        <v>21924</v>
      </c>
      <c r="I187" s="28">
        <f t="shared" si="2"/>
        <v>-273739</v>
      </c>
    </row>
    <row r="188" spans="1:9" x14ac:dyDescent="0.3">
      <c r="A188" s="16" t="s">
        <v>393</v>
      </c>
      <c r="B188" s="16" t="s">
        <v>394</v>
      </c>
      <c r="C188" s="25">
        <v>45805</v>
      </c>
      <c r="D188" s="16" t="s">
        <v>305</v>
      </c>
      <c r="E188" s="16" t="s">
        <v>311</v>
      </c>
      <c r="F188" s="16"/>
      <c r="G188" s="28">
        <v>0</v>
      </c>
      <c r="H188" s="28">
        <v>3918</v>
      </c>
      <c r="I188" s="28">
        <f t="shared" si="2"/>
        <v>-277657</v>
      </c>
    </row>
    <row r="189" spans="1:9" x14ac:dyDescent="0.3">
      <c r="A189" s="16" t="s">
        <v>393</v>
      </c>
      <c r="B189" s="16" t="s">
        <v>394</v>
      </c>
      <c r="C189" s="25">
        <v>45806</v>
      </c>
      <c r="D189" s="16" t="s">
        <v>305</v>
      </c>
      <c r="E189" s="16" t="s">
        <v>306</v>
      </c>
      <c r="F189" s="16" t="s">
        <v>553</v>
      </c>
      <c r="G189" s="28">
        <v>0</v>
      </c>
      <c r="H189" s="28">
        <v>45430</v>
      </c>
      <c r="I189" s="28">
        <f t="shared" si="2"/>
        <v>-323087</v>
      </c>
    </row>
    <row r="190" spans="1:9" x14ac:dyDescent="0.3">
      <c r="A190" s="16" t="s">
        <v>393</v>
      </c>
      <c r="B190" s="16" t="s">
        <v>394</v>
      </c>
      <c r="C190" s="25">
        <v>45809</v>
      </c>
      <c r="D190" s="16" t="s">
        <v>305</v>
      </c>
      <c r="E190" s="16" t="s">
        <v>339</v>
      </c>
      <c r="F190" s="16"/>
      <c r="G190" s="28">
        <v>0</v>
      </c>
      <c r="H190" s="28">
        <v>10017</v>
      </c>
      <c r="I190" s="28">
        <f t="shared" si="2"/>
        <v>-333104</v>
      </c>
    </row>
    <row r="191" spans="1:9" x14ac:dyDescent="0.3">
      <c r="A191" s="16" t="s">
        <v>393</v>
      </c>
      <c r="B191" s="16" t="s">
        <v>394</v>
      </c>
      <c r="C191" s="25">
        <v>45818</v>
      </c>
      <c r="D191" s="16" t="s">
        <v>305</v>
      </c>
      <c r="E191" s="16" t="s">
        <v>306</v>
      </c>
      <c r="F191" s="16" t="s">
        <v>554</v>
      </c>
      <c r="G191" s="28">
        <v>0</v>
      </c>
      <c r="H191" s="28">
        <v>26086</v>
      </c>
      <c r="I191" s="28">
        <f t="shared" si="2"/>
        <v>-359190</v>
      </c>
    </row>
    <row r="192" spans="1:9" x14ac:dyDescent="0.3">
      <c r="A192" s="16" t="s">
        <v>393</v>
      </c>
      <c r="B192" s="16" t="s">
        <v>394</v>
      </c>
      <c r="C192" s="25">
        <v>45818</v>
      </c>
      <c r="D192" s="16" t="s">
        <v>305</v>
      </c>
      <c r="E192" s="16" t="s">
        <v>306</v>
      </c>
      <c r="F192" s="16" t="s">
        <v>555</v>
      </c>
      <c r="G192" s="28">
        <v>0</v>
      </c>
      <c r="H192" s="28">
        <v>16451</v>
      </c>
      <c r="I192" s="28">
        <f t="shared" si="2"/>
        <v>-375641</v>
      </c>
    </row>
    <row r="193" spans="1:9" x14ac:dyDescent="0.3">
      <c r="A193" s="16" t="s">
        <v>393</v>
      </c>
      <c r="B193" s="16" t="s">
        <v>394</v>
      </c>
      <c r="C193" s="25">
        <v>45818</v>
      </c>
      <c r="D193" s="16" t="s">
        <v>305</v>
      </c>
      <c r="E193" s="16" t="s">
        <v>306</v>
      </c>
      <c r="F193" s="16" t="s">
        <v>556</v>
      </c>
      <c r="G193" s="28">
        <v>0</v>
      </c>
      <c r="H193" s="28">
        <v>9049</v>
      </c>
      <c r="I193" s="28">
        <f t="shared" si="2"/>
        <v>-384690</v>
      </c>
    </row>
    <row r="194" spans="1:9" x14ac:dyDescent="0.3">
      <c r="A194" s="16" t="s">
        <v>393</v>
      </c>
      <c r="B194" s="16" t="s">
        <v>394</v>
      </c>
      <c r="C194" s="25">
        <v>45818</v>
      </c>
      <c r="D194" s="16" t="s">
        <v>312</v>
      </c>
      <c r="E194" s="16" t="s">
        <v>396</v>
      </c>
      <c r="F194" s="16" t="s">
        <v>557</v>
      </c>
      <c r="G194" s="28">
        <v>0</v>
      </c>
      <c r="H194" s="28">
        <v>300818</v>
      </c>
      <c r="I194" s="28">
        <f t="shared" si="2"/>
        <v>-685508</v>
      </c>
    </row>
    <row r="195" spans="1:9" x14ac:dyDescent="0.3">
      <c r="A195" s="16" t="s">
        <v>393</v>
      </c>
      <c r="B195" s="16" t="s">
        <v>394</v>
      </c>
      <c r="C195" s="25">
        <v>45818</v>
      </c>
      <c r="D195" s="16" t="s">
        <v>312</v>
      </c>
      <c r="E195" s="16" t="s">
        <v>396</v>
      </c>
      <c r="F195" s="16" t="s">
        <v>398</v>
      </c>
      <c r="G195" s="28">
        <v>0</v>
      </c>
      <c r="H195" s="28">
        <v>24003</v>
      </c>
      <c r="I195" s="28">
        <f t="shared" si="2"/>
        <v>-709511</v>
      </c>
    </row>
    <row r="196" spans="1:9" x14ac:dyDescent="0.3">
      <c r="A196" s="16" t="s">
        <v>393</v>
      </c>
      <c r="B196" s="16" t="s">
        <v>394</v>
      </c>
      <c r="C196" s="25">
        <v>45819</v>
      </c>
      <c r="D196" s="16" t="s">
        <v>305</v>
      </c>
      <c r="E196" s="16" t="s">
        <v>306</v>
      </c>
      <c r="F196" s="16" t="s">
        <v>558</v>
      </c>
      <c r="G196" s="28">
        <v>0</v>
      </c>
      <c r="H196" s="28">
        <v>9216</v>
      </c>
      <c r="I196" s="28">
        <f t="shared" ref="I196:I259" si="3">I195+G196-H196</f>
        <v>-718727</v>
      </c>
    </row>
    <row r="197" spans="1:9" x14ac:dyDescent="0.3">
      <c r="A197" s="16" t="s">
        <v>393</v>
      </c>
      <c r="B197" s="16" t="s">
        <v>394</v>
      </c>
      <c r="C197" s="25">
        <v>45819</v>
      </c>
      <c r="D197" s="16" t="s">
        <v>305</v>
      </c>
      <c r="E197" s="16" t="s">
        <v>306</v>
      </c>
      <c r="F197" s="16" t="s">
        <v>559</v>
      </c>
      <c r="G197" s="28">
        <v>0</v>
      </c>
      <c r="H197" s="28">
        <v>13292</v>
      </c>
      <c r="I197" s="28">
        <f t="shared" si="3"/>
        <v>-732019</v>
      </c>
    </row>
    <row r="198" spans="1:9" x14ac:dyDescent="0.3">
      <c r="A198" s="16" t="s">
        <v>393</v>
      </c>
      <c r="B198" s="16" t="s">
        <v>394</v>
      </c>
      <c r="C198" s="25">
        <v>45819</v>
      </c>
      <c r="D198" s="16" t="s">
        <v>305</v>
      </c>
      <c r="E198" s="16" t="s">
        <v>306</v>
      </c>
      <c r="F198" s="16" t="s">
        <v>560</v>
      </c>
      <c r="G198" s="28">
        <v>0</v>
      </c>
      <c r="H198" s="28">
        <v>7744</v>
      </c>
      <c r="I198" s="28">
        <f t="shared" si="3"/>
        <v>-739763</v>
      </c>
    </row>
    <row r="199" spans="1:9" x14ac:dyDescent="0.3">
      <c r="A199" s="16" t="s">
        <v>393</v>
      </c>
      <c r="B199" s="16" t="s">
        <v>394</v>
      </c>
      <c r="C199" s="25">
        <v>45820</v>
      </c>
      <c r="D199" s="16" t="s">
        <v>308</v>
      </c>
      <c r="E199" s="16" t="s">
        <v>407</v>
      </c>
      <c r="F199" s="16" t="s">
        <v>561</v>
      </c>
      <c r="G199" s="28">
        <v>1231423</v>
      </c>
      <c r="H199" s="28">
        <v>0</v>
      </c>
      <c r="I199" s="28">
        <f t="shared" si="3"/>
        <v>491660</v>
      </c>
    </row>
    <row r="200" spans="1:9" x14ac:dyDescent="0.3">
      <c r="A200" s="16" t="s">
        <v>393</v>
      </c>
      <c r="B200" s="16" t="s">
        <v>394</v>
      </c>
      <c r="C200" s="25">
        <v>45820</v>
      </c>
      <c r="D200" s="16" t="s">
        <v>305</v>
      </c>
      <c r="E200" s="16" t="s">
        <v>306</v>
      </c>
      <c r="F200" s="16" t="s">
        <v>562</v>
      </c>
      <c r="G200" s="28">
        <v>0</v>
      </c>
      <c r="H200" s="28">
        <v>12088</v>
      </c>
      <c r="I200" s="28">
        <f t="shared" si="3"/>
        <v>479572</v>
      </c>
    </row>
    <row r="201" spans="1:9" x14ac:dyDescent="0.3">
      <c r="A201" s="16" t="s">
        <v>393</v>
      </c>
      <c r="B201" s="16" t="s">
        <v>394</v>
      </c>
      <c r="C201" s="25">
        <v>45820</v>
      </c>
      <c r="D201" s="16" t="s">
        <v>305</v>
      </c>
      <c r="E201" s="16" t="s">
        <v>306</v>
      </c>
      <c r="F201" s="16" t="s">
        <v>563</v>
      </c>
      <c r="G201" s="28">
        <v>0</v>
      </c>
      <c r="H201" s="28">
        <v>10082</v>
      </c>
      <c r="I201" s="28">
        <f t="shared" si="3"/>
        <v>469490</v>
      </c>
    </row>
    <row r="202" spans="1:9" x14ac:dyDescent="0.3">
      <c r="A202" s="16" t="s">
        <v>393</v>
      </c>
      <c r="B202" s="16" t="s">
        <v>394</v>
      </c>
      <c r="C202" s="25">
        <v>45820</v>
      </c>
      <c r="D202" s="16" t="s">
        <v>305</v>
      </c>
      <c r="E202" s="16" t="s">
        <v>306</v>
      </c>
      <c r="F202" s="16" t="s">
        <v>564</v>
      </c>
      <c r="G202" s="28">
        <v>0</v>
      </c>
      <c r="H202" s="28">
        <v>8273</v>
      </c>
      <c r="I202" s="28">
        <f t="shared" si="3"/>
        <v>461217</v>
      </c>
    </row>
    <row r="203" spans="1:9" x14ac:dyDescent="0.3">
      <c r="A203" s="16" t="s">
        <v>393</v>
      </c>
      <c r="B203" s="16" t="s">
        <v>394</v>
      </c>
      <c r="C203" s="25">
        <v>45820</v>
      </c>
      <c r="D203" s="16" t="s">
        <v>305</v>
      </c>
      <c r="E203" s="16" t="s">
        <v>306</v>
      </c>
      <c r="F203" s="16" t="s">
        <v>565</v>
      </c>
      <c r="G203" s="28">
        <v>0</v>
      </c>
      <c r="H203" s="28">
        <v>14593</v>
      </c>
      <c r="I203" s="28">
        <f t="shared" si="3"/>
        <v>446624</v>
      </c>
    </row>
    <row r="204" spans="1:9" x14ac:dyDescent="0.3">
      <c r="A204" s="16" t="s">
        <v>393</v>
      </c>
      <c r="B204" s="16" t="s">
        <v>394</v>
      </c>
      <c r="C204" s="25">
        <v>45821</v>
      </c>
      <c r="D204" s="16" t="s">
        <v>305</v>
      </c>
      <c r="E204" s="16" t="s">
        <v>306</v>
      </c>
      <c r="F204" s="16" t="s">
        <v>566</v>
      </c>
      <c r="G204" s="28">
        <v>0</v>
      </c>
      <c r="H204" s="28">
        <v>9207</v>
      </c>
      <c r="I204" s="28">
        <f t="shared" si="3"/>
        <v>437417</v>
      </c>
    </row>
    <row r="205" spans="1:9" x14ac:dyDescent="0.3">
      <c r="A205" s="16" t="s">
        <v>393</v>
      </c>
      <c r="B205" s="16" t="s">
        <v>394</v>
      </c>
      <c r="C205" s="25">
        <v>45821</v>
      </c>
      <c r="D205" s="16" t="s">
        <v>305</v>
      </c>
      <c r="E205" s="16" t="s">
        <v>306</v>
      </c>
      <c r="F205" s="16" t="s">
        <v>567</v>
      </c>
      <c r="G205" s="28">
        <v>0</v>
      </c>
      <c r="H205" s="28">
        <v>8769</v>
      </c>
      <c r="I205" s="28">
        <f t="shared" si="3"/>
        <v>428648</v>
      </c>
    </row>
    <row r="206" spans="1:9" x14ac:dyDescent="0.3">
      <c r="A206" s="16" t="s">
        <v>393</v>
      </c>
      <c r="B206" s="16" t="s">
        <v>394</v>
      </c>
      <c r="C206" s="25">
        <v>45821</v>
      </c>
      <c r="D206" s="16" t="s">
        <v>305</v>
      </c>
      <c r="E206" s="16" t="s">
        <v>306</v>
      </c>
      <c r="F206" s="16" t="s">
        <v>568</v>
      </c>
      <c r="G206" s="28">
        <v>0</v>
      </c>
      <c r="H206" s="28">
        <v>10310</v>
      </c>
      <c r="I206" s="28">
        <f t="shared" si="3"/>
        <v>418338</v>
      </c>
    </row>
    <row r="207" spans="1:9" x14ac:dyDescent="0.3">
      <c r="A207" s="16" t="s">
        <v>393</v>
      </c>
      <c r="B207" s="16" t="s">
        <v>394</v>
      </c>
      <c r="C207" s="25">
        <v>45821</v>
      </c>
      <c r="D207" s="16" t="s">
        <v>305</v>
      </c>
      <c r="E207" s="16" t="s">
        <v>306</v>
      </c>
      <c r="F207" s="16" t="s">
        <v>569</v>
      </c>
      <c r="G207" s="28">
        <v>0</v>
      </c>
      <c r="H207" s="28">
        <v>13905</v>
      </c>
      <c r="I207" s="28">
        <f t="shared" si="3"/>
        <v>404433</v>
      </c>
    </row>
    <row r="208" spans="1:9" x14ac:dyDescent="0.3">
      <c r="A208" s="16" t="s">
        <v>393</v>
      </c>
      <c r="B208" s="16" t="s">
        <v>394</v>
      </c>
      <c r="C208" s="25">
        <v>45824</v>
      </c>
      <c r="D208" s="16" t="s">
        <v>305</v>
      </c>
      <c r="E208" s="16" t="s">
        <v>306</v>
      </c>
      <c r="F208" s="16" t="s">
        <v>570</v>
      </c>
      <c r="G208" s="28">
        <v>0</v>
      </c>
      <c r="H208" s="28">
        <v>133460</v>
      </c>
      <c r="I208" s="28">
        <f t="shared" si="3"/>
        <v>270973</v>
      </c>
    </row>
    <row r="209" spans="1:9" x14ac:dyDescent="0.3">
      <c r="A209" s="16" t="s">
        <v>393</v>
      </c>
      <c r="B209" s="16" t="s">
        <v>394</v>
      </c>
      <c r="C209" s="25">
        <v>45824</v>
      </c>
      <c r="D209" s="16" t="s">
        <v>305</v>
      </c>
      <c r="E209" s="16" t="s">
        <v>571</v>
      </c>
      <c r="F209" s="16" t="s">
        <v>572</v>
      </c>
      <c r="G209" s="28">
        <v>0</v>
      </c>
      <c r="H209" s="28">
        <v>23970</v>
      </c>
      <c r="I209" s="28">
        <f t="shared" si="3"/>
        <v>247003</v>
      </c>
    </row>
    <row r="210" spans="1:9" x14ac:dyDescent="0.3">
      <c r="A210" s="16" t="s">
        <v>393</v>
      </c>
      <c r="B210" s="16" t="s">
        <v>394</v>
      </c>
      <c r="C210" s="25">
        <v>45825</v>
      </c>
      <c r="D210" s="16" t="s">
        <v>305</v>
      </c>
      <c r="E210" s="16" t="s">
        <v>306</v>
      </c>
      <c r="F210" s="16" t="s">
        <v>573</v>
      </c>
      <c r="G210" s="28">
        <v>0</v>
      </c>
      <c r="H210" s="28">
        <v>65175</v>
      </c>
      <c r="I210" s="28">
        <f t="shared" si="3"/>
        <v>181828</v>
      </c>
    </row>
    <row r="211" spans="1:9" x14ac:dyDescent="0.3">
      <c r="A211" s="16" t="s">
        <v>393</v>
      </c>
      <c r="B211" s="16" t="s">
        <v>394</v>
      </c>
      <c r="C211" s="25">
        <v>45826</v>
      </c>
      <c r="D211" s="16" t="s">
        <v>305</v>
      </c>
      <c r="E211" s="16" t="s">
        <v>306</v>
      </c>
      <c r="F211" s="16" t="s">
        <v>574</v>
      </c>
      <c r="G211" s="28">
        <v>0</v>
      </c>
      <c r="H211" s="28">
        <v>30800</v>
      </c>
      <c r="I211" s="28">
        <f t="shared" si="3"/>
        <v>151028</v>
      </c>
    </row>
    <row r="212" spans="1:9" x14ac:dyDescent="0.3">
      <c r="A212" s="16" t="s">
        <v>393</v>
      </c>
      <c r="B212" s="16" t="s">
        <v>394</v>
      </c>
      <c r="C212" s="25">
        <v>45826</v>
      </c>
      <c r="D212" s="16" t="s">
        <v>305</v>
      </c>
      <c r="E212" s="16" t="s">
        <v>575</v>
      </c>
      <c r="F212" s="16" t="s">
        <v>576</v>
      </c>
      <c r="G212" s="28">
        <v>0</v>
      </c>
      <c r="H212" s="28">
        <v>41940</v>
      </c>
      <c r="I212" s="28">
        <f t="shared" si="3"/>
        <v>109088</v>
      </c>
    </row>
    <row r="213" spans="1:9" x14ac:dyDescent="0.3">
      <c r="A213" s="16" t="s">
        <v>393</v>
      </c>
      <c r="B213" s="16" t="s">
        <v>394</v>
      </c>
      <c r="C213" s="25">
        <v>45827</v>
      </c>
      <c r="D213" s="16" t="s">
        <v>305</v>
      </c>
      <c r="E213" s="16" t="s">
        <v>306</v>
      </c>
      <c r="F213" s="16" t="s">
        <v>577</v>
      </c>
      <c r="G213" s="28">
        <v>0</v>
      </c>
      <c r="H213" s="28">
        <v>44190</v>
      </c>
      <c r="I213" s="28">
        <f t="shared" si="3"/>
        <v>64898</v>
      </c>
    </row>
    <row r="214" spans="1:9" x14ac:dyDescent="0.3">
      <c r="A214" s="16" t="s">
        <v>393</v>
      </c>
      <c r="B214" s="16" t="s">
        <v>394</v>
      </c>
      <c r="C214" s="25">
        <v>45827</v>
      </c>
      <c r="D214" s="16" t="s">
        <v>305</v>
      </c>
      <c r="E214" s="16" t="s">
        <v>306</v>
      </c>
      <c r="F214" s="16" t="s">
        <v>578</v>
      </c>
      <c r="G214" s="28">
        <v>0</v>
      </c>
      <c r="H214" s="28">
        <v>23980</v>
      </c>
      <c r="I214" s="28">
        <f t="shared" si="3"/>
        <v>40918</v>
      </c>
    </row>
    <row r="215" spans="1:9" x14ac:dyDescent="0.3">
      <c r="A215" s="16" t="s">
        <v>393</v>
      </c>
      <c r="B215" s="16" t="s">
        <v>394</v>
      </c>
      <c r="C215" s="25">
        <v>45827</v>
      </c>
      <c r="D215" s="16" t="s">
        <v>305</v>
      </c>
      <c r="E215" s="16" t="s">
        <v>306</v>
      </c>
      <c r="F215" s="16" t="s">
        <v>579</v>
      </c>
      <c r="G215" s="28">
        <v>0</v>
      </c>
      <c r="H215" s="28">
        <v>13750</v>
      </c>
      <c r="I215" s="28">
        <f t="shared" si="3"/>
        <v>27168</v>
      </c>
    </row>
    <row r="216" spans="1:9" x14ac:dyDescent="0.3">
      <c r="A216" s="16" t="s">
        <v>393</v>
      </c>
      <c r="B216" s="16" t="s">
        <v>394</v>
      </c>
      <c r="C216" s="25">
        <v>45833</v>
      </c>
      <c r="D216" s="16" t="s">
        <v>305</v>
      </c>
      <c r="E216" s="16" t="s">
        <v>546</v>
      </c>
      <c r="F216" s="16" t="s">
        <v>580</v>
      </c>
      <c r="G216" s="28">
        <v>0</v>
      </c>
      <c r="H216" s="28">
        <v>28980</v>
      </c>
      <c r="I216" s="28">
        <f t="shared" si="3"/>
        <v>-1812</v>
      </c>
    </row>
    <row r="217" spans="1:9" x14ac:dyDescent="0.3">
      <c r="A217" s="16" t="s">
        <v>393</v>
      </c>
      <c r="B217" s="16" t="s">
        <v>394</v>
      </c>
      <c r="C217" s="25">
        <v>45834</v>
      </c>
      <c r="D217" s="16" t="s">
        <v>305</v>
      </c>
      <c r="E217" s="16" t="s">
        <v>311</v>
      </c>
      <c r="F217" s="16"/>
      <c r="G217" s="28">
        <v>0</v>
      </c>
      <c r="H217" s="28">
        <v>3926</v>
      </c>
      <c r="I217" s="28">
        <f t="shared" si="3"/>
        <v>-5738</v>
      </c>
    </row>
    <row r="218" spans="1:9" x14ac:dyDescent="0.3">
      <c r="A218" s="16" t="s">
        <v>393</v>
      </c>
      <c r="B218" s="16" t="s">
        <v>394</v>
      </c>
      <c r="C218" s="25">
        <v>45838</v>
      </c>
      <c r="D218" s="16" t="s">
        <v>305</v>
      </c>
      <c r="E218" s="16" t="s">
        <v>306</v>
      </c>
      <c r="F218" s="16" t="s">
        <v>581</v>
      </c>
      <c r="G218" s="28">
        <v>0</v>
      </c>
      <c r="H218" s="28">
        <v>47960</v>
      </c>
      <c r="I218" s="28">
        <f t="shared" si="3"/>
        <v>-53698</v>
      </c>
    </row>
    <row r="219" spans="1:9" x14ac:dyDescent="0.3">
      <c r="A219" s="16" t="s">
        <v>393</v>
      </c>
      <c r="B219" s="16" t="s">
        <v>394</v>
      </c>
      <c r="C219" s="25">
        <v>45838</v>
      </c>
      <c r="D219" s="16" t="s">
        <v>305</v>
      </c>
      <c r="E219" s="16" t="s">
        <v>306</v>
      </c>
      <c r="F219" s="16" t="s">
        <v>582</v>
      </c>
      <c r="G219" s="28">
        <v>0</v>
      </c>
      <c r="H219" s="28">
        <v>20800</v>
      </c>
      <c r="I219" s="28">
        <f t="shared" si="3"/>
        <v>-74498</v>
      </c>
    </row>
    <row r="220" spans="1:9" x14ac:dyDescent="0.3">
      <c r="A220" s="16" t="s">
        <v>393</v>
      </c>
      <c r="B220" s="16" t="s">
        <v>394</v>
      </c>
      <c r="C220" s="25">
        <v>45838</v>
      </c>
      <c r="D220" s="16" t="s">
        <v>305</v>
      </c>
      <c r="E220" s="16" t="s">
        <v>546</v>
      </c>
      <c r="F220" s="16" t="s">
        <v>583</v>
      </c>
      <c r="G220" s="28">
        <v>0</v>
      </c>
      <c r="H220" s="28">
        <v>100949</v>
      </c>
      <c r="I220" s="28">
        <f t="shared" si="3"/>
        <v>-175447</v>
      </c>
    </row>
    <row r="221" spans="1:9" x14ac:dyDescent="0.3">
      <c r="A221" s="16" t="s">
        <v>393</v>
      </c>
      <c r="B221" s="16" t="s">
        <v>394</v>
      </c>
      <c r="C221" s="25">
        <v>45839</v>
      </c>
      <c r="D221" s="16" t="s">
        <v>305</v>
      </c>
      <c r="E221" s="16" t="s">
        <v>306</v>
      </c>
      <c r="F221" s="16" t="s">
        <v>584</v>
      </c>
      <c r="G221" s="28">
        <v>0</v>
      </c>
      <c r="H221" s="28">
        <v>23602</v>
      </c>
      <c r="I221" s="28">
        <f t="shared" si="3"/>
        <v>-199049</v>
      </c>
    </row>
    <row r="222" spans="1:9" x14ac:dyDescent="0.3">
      <c r="A222" s="16" t="s">
        <v>393</v>
      </c>
      <c r="B222" s="16" t="s">
        <v>394</v>
      </c>
      <c r="C222" s="25">
        <v>45839</v>
      </c>
      <c r="D222" s="16" t="s">
        <v>305</v>
      </c>
      <c r="E222" s="16" t="s">
        <v>306</v>
      </c>
      <c r="F222" s="16" t="s">
        <v>585</v>
      </c>
      <c r="G222" s="28">
        <v>0</v>
      </c>
      <c r="H222" s="28">
        <v>68640</v>
      </c>
      <c r="I222" s="28">
        <f t="shared" si="3"/>
        <v>-267689</v>
      </c>
    </row>
    <row r="223" spans="1:9" x14ac:dyDescent="0.3">
      <c r="A223" s="16" t="s">
        <v>393</v>
      </c>
      <c r="B223" s="16" t="s">
        <v>394</v>
      </c>
      <c r="C223" s="25">
        <v>45839</v>
      </c>
      <c r="D223" s="16" t="s">
        <v>305</v>
      </c>
      <c r="E223" s="16" t="s">
        <v>306</v>
      </c>
      <c r="F223" s="16" t="s">
        <v>586</v>
      </c>
      <c r="G223" s="28">
        <v>0</v>
      </c>
      <c r="H223" s="28">
        <v>16906</v>
      </c>
      <c r="I223" s="28">
        <f t="shared" si="3"/>
        <v>-284595</v>
      </c>
    </row>
    <row r="224" spans="1:9" x14ac:dyDescent="0.3">
      <c r="A224" s="16" t="s">
        <v>393</v>
      </c>
      <c r="B224" s="16" t="s">
        <v>394</v>
      </c>
      <c r="C224" s="25">
        <v>45839</v>
      </c>
      <c r="D224" s="16" t="s">
        <v>305</v>
      </c>
      <c r="E224" s="16" t="s">
        <v>311</v>
      </c>
      <c r="F224" s="16"/>
      <c r="G224" s="28">
        <v>0</v>
      </c>
      <c r="H224" s="28">
        <v>3919</v>
      </c>
      <c r="I224" s="28">
        <f t="shared" si="3"/>
        <v>-288514</v>
      </c>
    </row>
    <row r="225" spans="1:9" x14ac:dyDescent="0.3">
      <c r="A225" s="16" t="s">
        <v>393</v>
      </c>
      <c r="B225" s="16" t="s">
        <v>394</v>
      </c>
      <c r="C225" s="25">
        <v>45839</v>
      </c>
      <c r="D225" s="16" t="s">
        <v>318</v>
      </c>
      <c r="E225" s="16" t="s">
        <v>319</v>
      </c>
      <c r="F225" s="16"/>
      <c r="G225" s="28">
        <v>0</v>
      </c>
      <c r="H225" s="28">
        <v>1</v>
      </c>
      <c r="I225" s="28">
        <f t="shared" si="3"/>
        <v>-288515</v>
      </c>
    </row>
    <row r="226" spans="1:9" x14ac:dyDescent="0.3">
      <c r="A226" s="16" t="s">
        <v>393</v>
      </c>
      <c r="B226" s="16" t="s">
        <v>394</v>
      </c>
      <c r="C226" s="25">
        <v>45839</v>
      </c>
      <c r="D226" s="16" t="s">
        <v>305</v>
      </c>
      <c r="E226" s="16" t="s">
        <v>587</v>
      </c>
      <c r="F226" s="16" t="s">
        <v>588</v>
      </c>
      <c r="G226" s="28">
        <v>0</v>
      </c>
      <c r="H226" s="28">
        <v>80980</v>
      </c>
      <c r="I226" s="28">
        <f t="shared" si="3"/>
        <v>-369495</v>
      </c>
    </row>
    <row r="227" spans="1:9" x14ac:dyDescent="0.3">
      <c r="A227" s="16" t="s">
        <v>393</v>
      </c>
      <c r="B227" s="16" t="s">
        <v>394</v>
      </c>
      <c r="C227" s="25">
        <v>45840</v>
      </c>
      <c r="D227" s="16" t="s">
        <v>305</v>
      </c>
      <c r="E227" s="16" t="s">
        <v>306</v>
      </c>
      <c r="F227" s="16" t="s">
        <v>589</v>
      </c>
      <c r="G227" s="28">
        <v>0</v>
      </c>
      <c r="H227" s="28">
        <v>117976</v>
      </c>
      <c r="I227" s="28">
        <f t="shared" si="3"/>
        <v>-487471</v>
      </c>
    </row>
    <row r="228" spans="1:9" x14ac:dyDescent="0.3">
      <c r="A228" s="16" t="s">
        <v>393</v>
      </c>
      <c r="B228" s="16" t="s">
        <v>394</v>
      </c>
      <c r="C228" s="25">
        <v>45840</v>
      </c>
      <c r="D228" s="16" t="s">
        <v>305</v>
      </c>
      <c r="E228" s="16" t="s">
        <v>306</v>
      </c>
      <c r="F228" s="16" t="s">
        <v>590</v>
      </c>
      <c r="G228" s="28">
        <v>0</v>
      </c>
      <c r="H228" s="28">
        <v>16582</v>
      </c>
      <c r="I228" s="28">
        <f t="shared" si="3"/>
        <v>-504053</v>
      </c>
    </row>
    <row r="229" spans="1:9" x14ac:dyDescent="0.3">
      <c r="A229" s="16" t="s">
        <v>393</v>
      </c>
      <c r="B229" s="16" t="s">
        <v>394</v>
      </c>
      <c r="C229" s="25">
        <v>45840</v>
      </c>
      <c r="D229" s="16" t="s">
        <v>305</v>
      </c>
      <c r="E229" s="16" t="s">
        <v>306</v>
      </c>
      <c r="F229" s="16" t="s">
        <v>591</v>
      </c>
      <c r="G229" s="28">
        <v>0</v>
      </c>
      <c r="H229" s="28">
        <v>15980</v>
      </c>
      <c r="I229" s="28">
        <f t="shared" si="3"/>
        <v>-520033</v>
      </c>
    </row>
    <row r="230" spans="1:9" x14ac:dyDescent="0.3">
      <c r="A230" s="16" t="s">
        <v>393</v>
      </c>
      <c r="B230" s="16" t="s">
        <v>394</v>
      </c>
      <c r="C230" s="25">
        <v>45841</v>
      </c>
      <c r="D230" s="16" t="s">
        <v>305</v>
      </c>
      <c r="E230" s="16" t="s">
        <v>306</v>
      </c>
      <c r="F230" s="16" t="s">
        <v>592</v>
      </c>
      <c r="G230" s="28">
        <v>0</v>
      </c>
      <c r="H230" s="28">
        <v>6000</v>
      </c>
      <c r="I230" s="28">
        <f t="shared" si="3"/>
        <v>-526033</v>
      </c>
    </row>
    <row r="231" spans="1:9" x14ac:dyDescent="0.3">
      <c r="A231" s="16" t="s">
        <v>393</v>
      </c>
      <c r="B231" s="16" t="s">
        <v>394</v>
      </c>
      <c r="C231" s="25">
        <v>45841</v>
      </c>
      <c r="D231" s="16" t="s">
        <v>305</v>
      </c>
      <c r="E231" s="16" t="s">
        <v>306</v>
      </c>
      <c r="F231" s="16" t="s">
        <v>593</v>
      </c>
      <c r="G231" s="28">
        <v>0</v>
      </c>
      <c r="H231" s="28">
        <v>6000</v>
      </c>
      <c r="I231" s="28">
        <f t="shared" si="3"/>
        <v>-532033</v>
      </c>
    </row>
    <row r="232" spans="1:9" x14ac:dyDescent="0.3">
      <c r="A232" s="16" t="s">
        <v>393</v>
      </c>
      <c r="B232" s="16" t="s">
        <v>394</v>
      </c>
      <c r="C232" s="25">
        <v>45841</v>
      </c>
      <c r="D232" s="16" t="s">
        <v>305</v>
      </c>
      <c r="E232" s="16" t="s">
        <v>306</v>
      </c>
      <c r="F232" s="16" t="s">
        <v>594</v>
      </c>
      <c r="G232" s="28">
        <v>0</v>
      </c>
      <c r="H232" s="28">
        <v>26085</v>
      </c>
      <c r="I232" s="28">
        <f t="shared" si="3"/>
        <v>-558118</v>
      </c>
    </row>
    <row r="233" spans="1:9" x14ac:dyDescent="0.3">
      <c r="A233" s="16" t="s">
        <v>393</v>
      </c>
      <c r="B233" s="16" t="s">
        <v>394</v>
      </c>
      <c r="C233" s="25">
        <v>45841</v>
      </c>
      <c r="D233" s="16" t="s">
        <v>305</v>
      </c>
      <c r="E233" s="16" t="s">
        <v>306</v>
      </c>
      <c r="F233" s="16" t="s">
        <v>595</v>
      </c>
      <c r="G233" s="28">
        <v>0</v>
      </c>
      <c r="H233" s="28">
        <v>15763</v>
      </c>
      <c r="I233" s="28">
        <f t="shared" si="3"/>
        <v>-573881</v>
      </c>
    </row>
    <row r="234" spans="1:9" x14ac:dyDescent="0.3">
      <c r="A234" s="16" t="s">
        <v>393</v>
      </c>
      <c r="B234" s="16" t="s">
        <v>394</v>
      </c>
      <c r="C234" s="25">
        <v>45841</v>
      </c>
      <c r="D234" s="16" t="s">
        <v>305</v>
      </c>
      <c r="E234" s="16" t="s">
        <v>306</v>
      </c>
      <c r="F234" s="16" t="s">
        <v>596</v>
      </c>
      <c r="G234" s="28">
        <v>0</v>
      </c>
      <c r="H234" s="28">
        <v>5000</v>
      </c>
      <c r="I234" s="28">
        <f t="shared" si="3"/>
        <v>-578881</v>
      </c>
    </row>
    <row r="235" spans="1:9" x14ac:dyDescent="0.3">
      <c r="A235" s="16" t="s">
        <v>393</v>
      </c>
      <c r="B235" s="16" t="s">
        <v>394</v>
      </c>
      <c r="C235" s="25">
        <v>45841</v>
      </c>
      <c r="D235" s="16" t="s">
        <v>305</v>
      </c>
      <c r="E235" s="16" t="s">
        <v>306</v>
      </c>
      <c r="F235" s="16" t="s">
        <v>597</v>
      </c>
      <c r="G235" s="28">
        <v>0</v>
      </c>
      <c r="H235" s="28">
        <v>41693</v>
      </c>
      <c r="I235" s="28">
        <f t="shared" si="3"/>
        <v>-620574</v>
      </c>
    </row>
    <row r="236" spans="1:9" x14ac:dyDescent="0.3">
      <c r="A236" s="16" t="s">
        <v>393</v>
      </c>
      <c r="B236" s="16" t="s">
        <v>394</v>
      </c>
      <c r="C236" s="25">
        <v>45841</v>
      </c>
      <c r="D236" s="16" t="s">
        <v>305</v>
      </c>
      <c r="E236" s="16" t="s">
        <v>306</v>
      </c>
      <c r="F236" s="16" t="s">
        <v>598</v>
      </c>
      <c r="G236" s="28">
        <v>0</v>
      </c>
      <c r="H236" s="28">
        <v>9516</v>
      </c>
      <c r="I236" s="28">
        <f t="shared" si="3"/>
        <v>-630090</v>
      </c>
    </row>
    <row r="237" spans="1:9" x14ac:dyDescent="0.3">
      <c r="A237" s="16" t="s">
        <v>393</v>
      </c>
      <c r="B237" s="16" t="s">
        <v>394</v>
      </c>
      <c r="C237" s="25">
        <v>45841</v>
      </c>
      <c r="D237" s="16" t="s">
        <v>305</v>
      </c>
      <c r="E237" s="16" t="s">
        <v>306</v>
      </c>
      <c r="F237" s="16" t="s">
        <v>599</v>
      </c>
      <c r="G237" s="28">
        <v>0</v>
      </c>
      <c r="H237" s="28">
        <v>9528</v>
      </c>
      <c r="I237" s="28">
        <f t="shared" si="3"/>
        <v>-639618</v>
      </c>
    </row>
    <row r="238" spans="1:9" x14ac:dyDescent="0.3">
      <c r="A238" s="16" t="s">
        <v>393</v>
      </c>
      <c r="B238" s="16" t="s">
        <v>394</v>
      </c>
      <c r="C238" s="25">
        <v>45842</v>
      </c>
      <c r="D238" s="16" t="s">
        <v>305</v>
      </c>
      <c r="E238" s="16" t="s">
        <v>306</v>
      </c>
      <c r="F238" s="16" t="s">
        <v>600</v>
      </c>
      <c r="G238" s="28">
        <v>0</v>
      </c>
      <c r="H238" s="28">
        <v>43170</v>
      </c>
      <c r="I238" s="28">
        <f t="shared" si="3"/>
        <v>-682788</v>
      </c>
    </row>
    <row r="239" spans="1:9" x14ac:dyDescent="0.3">
      <c r="A239" s="16" t="s">
        <v>393</v>
      </c>
      <c r="B239" s="16" t="s">
        <v>394</v>
      </c>
      <c r="C239" s="25">
        <v>45842</v>
      </c>
      <c r="D239" s="16" t="s">
        <v>312</v>
      </c>
      <c r="E239" s="16" t="s">
        <v>601</v>
      </c>
      <c r="F239" s="16" t="s">
        <v>602</v>
      </c>
      <c r="G239" s="28">
        <v>0</v>
      </c>
      <c r="H239" s="28">
        <v>85000</v>
      </c>
      <c r="I239" s="28">
        <f t="shared" si="3"/>
        <v>-767788</v>
      </c>
    </row>
    <row r="240" spans="1:9" x14ac:dyDescent="0.3">
      <c r="A240" s="16" t="s">
        <v>393</v>
      </c>
      <c r="B240" s="16" t="s">
        <v>394</v>
      </c>
      <c r="C240" s="25">
        <v>45843</v>
      </c>
      <c r="D240" s="16" t="s">
        <v>305</v>
      </c>
      <c r="E240" s="16" t="s">
        <v>306</v>
      </c>
      <c r="F240" s="16" t="s">
        <v>603</v>
      </c>
      <c r="G240" s="28">
        <v>0</v>
      </c>
      <c r="H240" s="28">
        <v>18470</v>
      </c>
      <c r="I240" s="28">
        <f t="shared" si="3"/>
        <v>-786258</v>
      </c>
    </row>
    <row r="241" spans="1:9" x14ac:dyDescent="0.3">
      <c r="A241" s="16" t="s">
        <v>393</v>
      </c>
      <c r="B241" s="16" t="s">
        <v>394</v>
      </c>
      <c r="C241" s="25">
        <v>45843</v>
      </c>
      <c r="D241" s="16" t="s">
        <v>305</v>
      </c>
      <c r="E241" s="16" t="s">
        <v>306</v>
      </c>
      <c r="F241" s="16" t="s">
        <v>604</v>
      </c>
      <c r="G241" s="28">
        <v>0</v>
      </c>
      <c r="H241" s="28">
        <v>151661</v>
      </c>
      <c r="I241" s="28">
        <f t="shared" si="3"/>
        <v>-937919</v>
      </c>
    </row>
    <row r="242" spans="1:9" x14ac:dyDescent="0.3">
      <c r="A242" s="16" t="s">
        <v>393</v>
      </c>
      <c r="B242" s="16" t="s">
        <v>394</v>
      </c>
      <c r="C242" s="25">
        <v>45845</v>
      </c>
      <c r="D242" s="16" t="s">
        <v>305</v>
      </c>
      <c r="E242" s="16" t="s">
        <v>306</v>
      </c>
      <c r="F242" s="16" t="s">
        <v>605</v>
      </c>
      <c r="G242" s="28">
        <v>0</v>
      </c>
      <c r="H242" s="28">
        <v>20040</v>
      </c>
      <c r="I242" s="28">
        <f t="shared" si="3"/>
        <v>-957959</v>
      </c>
    </row>
    <row r="243" spans="1:9" x14ac:dyDescent="0.3">
      <c r="A243" s="16" t="s">
        <v>393</v>
      </c>
      <c r="B243" s="16" t="s">
        <v>394</v>
      </c>
      <c r="C243" s="25">
        <v>45845</v>
      </c>
      <c r="D243" s="16" t="s">
        <v>305</v>
      </c>
      <c r="E243" s="16" t="s">
        <v>306</v>
      </c>
      <c r="F243" s="16" t="s">
        <v>606</v>
      </c>
      <c r="G243" s="28">
        <v>0</v>
      </c>
      <c r="H243" s="28">
        <v>40590</v>
      </c>
      <c r="I243" s="28">
        <f t="shared" si="3"/>
        <v>-998549</v>
      </c>
    </row>
    <row r="244" spans="1:9" x14ac:dyDescent="0.3">
      <c r="A244" s="16" t="s">
        <v>393</v>
      </c>
      <c r="B244" s="16" t="s">
        <v>394</v>
      </c>
      <c r="C244" s="25">
        <v>45845</v>
      </c>
      <c r="D244" s="16" t="s">
        <v>305</v>
      </c>
      <c r="E244" s="16" t="s">
        <v>306</v>
      </c>
      <c r="F244" s="16" t="s">
        <v>607</v>
      </c>
      <c r="G244" s="28">
        <v>0</v>
      </c>
      <c r="H244" s="28">
        <v>110483</v>
      </c>
      <c r="I244" s="28">
        <f t="shared" si="3"/>
        <v>-1109032</v>
      </c>
    </row>
    <row r="245" spans="1:9" x14ac:dyDescent="0.3">
      <c r="A245" s="16" t="s">
        <v>393</v>
      </c>
      <c r="B245" s="16" t="s">
        <v>394</v>
      </c>
      <c r="C245" s="25">
        <v>45845</v>
      </c>
      <c r="D245" s="16" t="s">
        <v>318</v>
      </c>
      <c r="E245" s="16" t="s">
        <v>319</v>
      </c>
      <c r="F245" s="16"/>
      <c r="G245" s="28">
        <v>0</v>
      </c>
      <c r="H245" s="28">
        <v>7</v>
      </c>
      <c r="I245" s="28">
        <f t="shared" si="3"/>
        <v>-1109039</v>
      </c>
    </row>
    <row r="246" spans="1:9" x14ac:dyDescent="0.3">
      <c r="A246" s="16" t="s">
        <v>393</v>
      </c>
      <c r="B246" s="16" t="s">
        <v>394</v>
      </c>
      <c r="C246" s="25">
        <v>45845</v>
      </c>
      <c r="D246" s="16" t="s">
        <v>305</v>
      </c>
      <c r="E246" s="16" t="s">
        <v>608</v>
      </c>
      <c r="F246" s="16" t="s">
        <v>609</v>
      </c>
      <c r="G246" s="28">
        <v>0</v>
      </c>
      <c r="H246" s="28">
        <v>42950</v>
      </c>
      <c r="I246" s="28">
        <f t="shared" si="3"/>
        <v>-1151989</v>
      </c>
    </row>
    <row r="247" spans="1:9" x14ac:dyDescent="0.3">
      <c r="A247" s="16" t="s">
        <v>393</v>
      </c>
      <c r="B247" s="16" t="s">
        <v>394</v>
      </c>
      <c r="C247" s="25">
        <v>45847</v>
      </c>
      <c r="D247" s="16" t="s">
        <v>312</v>
      </c>
      <c r="E247" s="16" t="s">
        <v>396</v>
      </c>
      <c r="F247" s="16" t="s">
        <v>610</v>
      </c>
      <c r="G247" s="28">
        <v>0</v>
      </c>
      <c r="H247" s="28">
        <v>301415</v>
      </c>
      <c r="I247" s="28">
        <f t="shared" si="3"/>
        <v>-1453404</v>
      </c>
    </row>
    <row r="248" spans="1:9" x14ac:dyDescent="0.3">
      <c r="A248" s="16" t="s">
        <v>393</v>
      </c>
      <c r="B248" s="16" t="s">
        <v>394</v>
      </c>
      <c r="C248" s="25">
        <v>45847</v>
      </c>
      <c r="D248" s="16" t="s">
        <v>312</v>
      </c>
      <c r="E248" s="16" t="s">
        <v>396</v>
      </c>
      <c r="F248" s="16" t="s">
        <v>398</v>
      </c>
      <c r="G248" s="28">
        <v>0</v>
      </c>
      <c r="H248" s="28">
        <v>24003</v>
      </c>
      <c r="I248" s="28">
        <f t="shared" si="3"/>
        <v>-1477407</v>
      </c>
    </row>
    <row r="249" spans="1:9" x14ac:dyDescent="0.3">
      <c r="A249" s="16" t="s">
        <v>393</v>
      </c>
      <c r="B249" s="16" t="s">
        <v>394</v>
      </c>
      <c r="C249" s="25">
        <v>45848</v>
      </c>
      <c r="D249" s="16" t="s">
        <v>308</v>
      </c>
      <c r="E249" s="16" t="s">
        <v>407</v>
      </c>
      <c r="F249" s="16" t="s">
        <v>611</v>
      </c>
      <c r="G249" s="28">
        <v>981428</v>
      </c>
      <c r="H249" s="28">
        <v>0</v>
      </c>
      <c r="I249" s="28">
        <f t="shared" si="3"/>
        <v>-495979</v>
      </c>
    </row>
    <row r="250" spans="1:9" x14ac:dyDescent="0.3">
      <c r="A250" s="16" t="s">
        <v>393</v>
      </c>
      <c r="B250" s="16" t="s">
        <v>394</v>
      </c>
      <c r="C250" s="25">
        <v>45859</v>
      </c>
      <c r="D250" s="16" t="s">
        <v>305</v>
      </c>
      <c r="E250" s="16" t="s">
        <v>306</v>
      </c>
      <c r="F250" s="16" t="s">
        <v>612</v>
      </c>
      <c r="G250" s="28">
        <v>0</v>
      </c>
      <c r="H250" s="28">
        <v>55990</v>
      </c>
      <c r="I250" s="28">
        <f t="shared" si="3"/>
        <v>-551969</v>
      </c>
    </row>
    <row r="251" spans="1:9" x14ac:dyDescent="0.3">
      <c r="A251" s="16" t="s">
        <v>393</v>
      </c>
      <c r="B251" s="16" t="s">
        <v>394</v>
      </c>
      <c r="C251" s="25">
        <v>45859</v>
      </c>
      <c r="D251" s="16" t="s">
        <v>305</v>
      </c>
      <c r="E251" s="16" t="s">
        <v>306</v>
      </c>
      <c r="F251" s="16" t="s">
        <v>613</v>
      </c>
      <c r="G251" s="28">
        <v>0</v>
      </c>
      <c r="H251" s="28">
        <v>61700</v>
      </c>
      <c r="I251" s="28">
        <f t="shared" si="3"/>
        <v>-613669</v>
      </c>
    </row>
    <row r="252" spans="1:9" x14ac:dyDescent="0.3">
      <c r="A252" s="16" t="s">
        <v>393</v>
      </c>
      <c r="B252" s="16" t="s">
        <v>394</v>
      </c>
      <c r="C252" s="25">
        <v>45859</v>
      </c>
      <c r="D252" s="16" t="s">
        <v>305</v>
      </c>
      <c r="E252" s="16" t="s">
        <v>614</v>
      </c>
      <c r="F252" s="16" t="s">
        <v>615</v>
      </c>
      <c r="G252" s="28">
        <v>0</v>
      </c>
      <c r="H252" s="28">
        <v>72928</v>
      </c>
      <c r="I252" s="28">
        <f t="shared" si="3"/>
        <v>-686597</v>
      </c>
    </row>
    <row r="253" spans="1:9" x14ac:dyDescent="0.3">
      <c r="A253" s="16" t="s">
        <v>393</v>
      </c>
      <c r="B253" s="16" t="s">
        <v>394</v>
      </c>
      <c r="C253" s="25">
        <v>45860</v>
      </c>
      <c r="D253" s="16" t="s">
        <v>305</v>
      </c>
      <c r="E253" s="16" t="s">
        <v>306</v>
      </c>
      <c r="F253" s="16" t="s">
        <v>616</v>
      </c>
      <c r="G253" s="28">
        <v>0</v>
      </c>
      <c r="H253" s="28">
        <v>101700</v>
      </c>
      <c r="I253" s="28">
        <f t="shared" si="3"/>
        <v>-788297</v>
      </c>
    </row>
    <row r="254" spans="1:9" x14ac:dyDescent="0.3">
      <c r="A254" s="16" t="s">
        <v>393</v>
      </c>
      <c r="B254" s="16" t="s">
        <v>394</v>
      </c>
      <c r="C254" s="25">
        <v>45861</v>
      </c>
      <c r="D254" s="16" t="s">
        <v>305</v>
      </c>
      <c r="E254" s="16" t="s">
        <v>306</v>
      </c>
      <c r="F254" s="16" t="s">
        <v>617</v>
      </c>
      <c r="G254" s="28">
        <v>0</v>
      </c>
      <c r="H254" s="28">
        <v>39300</v>
      </c>
      <c r="I254" s="28">
        <f t="shared" si="3"/>
        <v>-827597</v>
      </c>
    </row>
    <row r="255" spans="1:9" x14ac:dyDescent="0.3">
      <c r="A255" s="16" t="s">
        <v>393</v>
      </c>
      <c r="B255" s="16" t="s">
        <v>394</v>
      </c>
      <c r="C255" s="25">
        <v>45861</v>
      </c>
      <c r="D255" s="16" t="s">
        <v>305</v>
      </c>
      <c r="E255" s="16" t="s">
        <v>306</v>
      </c>
      <c r="F255" s="16" t="s">
        <v>618</v>
      </c>
      <c r="G255" s="28">
        <v>0</v>
      </c>
      <c r="H255" s="28">
        <v>17890</v>
      </c>
      <c r="I255" s="28">
        <f t="shared" si="3"/>
        <v>-845487</v>
      </c>
    </row>
    <row r="256" spans="1:9" x14ac:dyDescent="0.3">
      <c r="A256" s="16" t="s">
        <v>393</v>
      </c>
      <c r="B256" s="16" t="s">
        <v>394</v>
      </c>
      <c r="C256" s="25">
        <v>45863</v>
      </c>
      <c r="D256" s="16" t="s">
        <v>305</v>
      </c>
      <c r="E256" s="16" t="s">
        <v>306</v>
      </c>
      <c r="F256" s="16" t="s">
        <v>619</v>
      </c>
      <c r="G256" s="28">
        <v>0</v>
      </c>
      <c r="H256" s="28">
        <v>14145</v>
      </c>
      <c r="I256" s="28">
        <f t="shared" si="3"/>
        <v>-859632</v>
      </c>
    </row>
    <row r="257" spans="1:11" x14ac:dyDescent="0.3">
      <c r="A257" s="16" t="s">
        <v>393</v>
      </c>
      <c r="B257" s="16" t="s">
        <v>394</v>
      </c>
      <c r="C257" s="25">
        <v>45863</v>
      </c>
      <c r="D257" s="16" t="s">
        <v>305</v>
      </c>
      <c r="E257" s="16" t="s">
        <v>306</v>
      </c>
      <c r="F257" s="16" t="s">
        <v>620</v>
      </c>
      <c r="G257" s="28">
        <v>0</v>
      </c>
      <c r="H257" s="28">
        <v>14788</v>
      </c>
      <c r="I257" s="28">
        <f t="shared" si="3"/>
        <v>-874420</v>
      </c>
    </row>
    <row r="258" spans="1:11" x14ac:dyDescent="0.3">
      <c r="A258" s="16" t="s">
        <v>393</v>
      </c>
      <c r="B258" s="16" t="s">
        <v>394</v>
      </c>
      <c r="C258" s="25">
        <v>45863</v>
      </c>
      <c r="D258" s="16" t="s">
        <v>305</v>
      </c>
      <c r="E258" s="16" t="s">
        <v>306</v>
      </c>
      <c r="F258" s="16" t="s">
        <v>621</v>
      </c>
      <c r="G258" s="28">
        <v>0</v>
      </c>
      <c r="H258" s="28">
        <v>11765</v>
      </c>
      <c r="I258" s="28">
        <f t="shared" si="3"/>
        <v>-886185</v>
      </c>
    </row>
    <row r="259" spans="1:11" x14ac:dyDescent="0.3">
      <c r="A259" s="16" t="s">
        <v>393</v>
      </c>
      <c r="B259" s="16" t="s">
        <v>394</v>
      </c>
      <c r="C259" s="25">
        <v>45870</v>
      </c>
      <c r="D259" s="16" t="s">
        <v>305</v>
      </c>
      <c r="E259" s="16" t="s">
        <v>306</v>
      </c>
      <c r="F259" s="16" t="s">
        <v>622</v>
      </c>
      <c r="G259" s="28">
        <v>0</v>
      </c>
      <c r="H259" s="28">
        <v>17271</v>
      </c>
      <c r="I259" s="28">
        <f t="shared" si="3"/>
        <v>-903456</v>
      </c>
    </row>
    <row r="260" spans="1:11" x14ac:dyDescent="0.3">
      <c r="A260" s="16" t="s">
        <v>393</v>
      </c>
      <c r="B260" s="16" t="s">
        <v>394</v>
      </c>
      <c r="C260" s="25">
        <v>45874</v>
      </c>
      <c r="D260" s="16" t="s">
        <v>305</v>
      </c>
      <c r="E260" s="16" t="s">
        <v>306</v>
      </c>
      <c r="F260" s="16" t="s">
        <v>623</v>
      </c>
      <c r="G260" s="28">
        <v>0</v>
      </c>
      <c r="H260" s="28">
        <v>26210</v>
      </c>
      <c r="I260" s="28">
        <f t="shared" ref="I260:I269" si="4">I259+G260-H260</f>
        <v>-929666</v>
      </c>
    </row>
    <row r="261" spans="1:11" x14ac:dyDescent="0.3">
      <c r="A261" s="16" t="s">
        <v>393</v>
      </c>
      <c r="B261" s="16" t="s">
        <v>394</v>
      </c>
      <c r="C261" s="25">
        <v>45874</v>
      </c>
      <c r="D261" s="16" t="s">
        <v>305</v>
      </c>
      <c r="E261" s="16" t="s">
        <v>306</v>
      </c>
      <c r="F261" s="16" t="s">
        <v>624</v>
      </c>
      <c r="G261" s="28">
        <v>0</v>
      </c>
      <c r="H261" s="28">
        <v>99110</v>
      </c>
      <c r="I261" s="28">
        <f t="shared" si="4"/>
        <v>-1028776</v>
      </c>
    </row>
    <row r="262" spans="1:11" x14ac:dyDescent="0.3">
      <c r="A262" s="16" t="s">
        <v>393</v>
      </c>
      <c r="B262" s="16" t="s">
        <v>394</v>
      </c>
      <c r="C262" s="25">
        <v>45874</v>
      </c>
      <c r="D262" s="16" t="s">
        <v>305</v>
      </c>
      <c r="E262" s="16" t="s">
        <v>306</v>
      </c>
      <c r="F262" s="16" t="s">
        <v>625</v>
      </c>
      <c r="G262" s="28">
        <v>0</v>
      </c>
      <c r="H262" s="28">
        <v>29000</v>
      </c>
      <c r="I262" s="28">
        <f t="shared" si="4"/>
        <v>-1057776</v>
      </c>
    </row>
    <row r="263" spans="1:11" x14ac:dyDescent="0.3">
      <c r="A263" s="16" t="s">
        <v>393</v>
      </c>
      <c r="B263" s="16" t="s">
        <v>394</v>
      </c>
      <c r="C263" s="25">
        <v>45874</v>
      </c>
      <c r="D263" s="16" t="s">
        <v>305</v>
      </c>
      <c r="E263" s="16" t="s">
        <v>550</v>
      </c>
      <c r="F263" s="16" t="s">
        <v>626</v>
      </c>
      <c r="G263" s="28">
        <v>0</v>
      </c>
      <c r="H263" s="28">
        <v>83199</v>
      </c>
      <c r="I263" s="28">
        <f t="shared" si="4"/>
        <v>-1140975</v>
      </c>
    </row>
    <row r="264" spans="1:11" x14ac:dyDescent="0.3">
      <c r="A264" s="16" t="s">
        <v>393</v>
      </c>
      <c r="B264" s="16" t="s">
        <v>394</v>
      </c>
      <c r="C264" s="25">
        <v>45875</v>
      </c>
      <c r="D264" s="16" t="s">
        <v>305</v>
      </c>
      <c r="E264" s="16" t="s">
        <v>306</v>
      </c>
      <c r="F264" s="16" t="s">
        <v>627</v>
      </c>
      <c r="G264" s="28">
        <v>0</v>
      </c>
      <c r="H264" s="28">
        <v>23863</v>
      </c>
      <c r="I264" s="28">
        <f t="shared" si="4"/>
        <v>-1164838</v>
      </c>
    </row>
    <row r="265" spans="1:11" x14ac:dyDescent="0.3">
      <c r="A265" s="16" t="s">
        <v>393</v>
      </c>
      <c r="B265" s="16" t="s">
        <v>394</v>
      </c>
      <c r="C265" s="25">
        <v>45876</v>
      </c>
      <c r="D265" s="16" t="s">
        <v>312</v>
      </c>
      <c r="E265" s="16" t="s">
        <v>396</v>
      </c>
      <c r="F265" s="16" t="s">
        <v>628</v>
      </c>
      <c r="G265" s="28">
        <v>0</v>
      </c>
      <c r="H265" s="28">
        <v>300680</v>
      </c>
      <c r="I265" s="28">
        <f t="shared" si="4"/>
        <v>-1465518</v>
      </c>
    </row>
    <row r="266" spans="1:11" x14ac:dyDescent="0.3">
      <c r="A266" s="16" t="s">
        <v>393</v>
      </c>
      <c r="B266" s="16" t="s">
        <v>394</v>
      </c>
      <c r="C266" s="25">
        <v>45876</v>
      </c>
      <c r="D266" s="16" t="s">
        <v>312</v>
      </c>
      <c r="E266" s="16" t="s">
        <v>396</v>
      </c>
      <c r="F266" s="16" t="s">
        <v>398</v>
      </c>
      <c r="G266" s="28">
        <v>0</v>
      </c>
      <c r="H266" s="28">
        <v>24003</v>
      </c>
      <c r="I266" s="28">
        <f t="shared" si="4"/>
        <v>-1489521</v>
      </c>
    </row>
    <row r="267" spans="1:11" x14ac:dyDescent="0.3">
      <c r="A267" s="16" t="s">
        <v>393</v>
      </c>
      <c r="B267" s="16" t="s">
        <v>394</v>
      </c>
      <c r="C267" s="25">
        <v>45882</v>
      </c>
      <c r="D267" s="16" t="s">
        <v>308</v>
      </c>
      <c r="E267" s="16" t="s">
        <v>407</v>
      </c>
      <c r="F267" s="16" t="s">
        <v>629</v>
      </c>
      <c r="G267" s="28">
        <v>1861875</v>
      </c>
      <c r="H267" s="28">
        <v>0</v>
      </c>
      <c r="I267" s="28">
        <f t="shared" si="4"/>
        <v>372354</v>
      </c>
    </row>
    <row r="268" spans="1:11" x14ac:dyDescent="0.3">
      <c r="A268" s="16" t="s">
        <v>393</v>
      </c>
      <c r="B268" s="16" t="s">
        <v>394</v>
      </c>
      <c r="C268" s="25">
        <v>45896</v>
      </c>
      <c r="D268" s="16" t="s">
        <v>305</v>
      </c>
      <c r="E268" s="16" t="s">
        <v>311</v>
      </c>
      <c r="F268" s="16"/>
      <c r="G268" s="28">
        <v>0</v>
      </c>
      <c r="H268" s="28">
        <v>3934</v>
      </c>
      <c r="I268" s="28">
        <f t="shared" si="4"/>
        <v>368420</v>
      </c>
    </row>
    <row r="269" spans="1:11" x14ac:dyDescent="0.3">
      <c r="A269" s="16" t="s">
        <v>393</v>
      </c>
      <c r="B269" s="16" t="s">
        <v>394</v>
      </c>
      <c r="C269" s="25">
        <v>45911</v>
      </c>
      <c r="D269" s="16" t="s">
        <v>308</v>
      </c>
      <c r="E269" s="16" t="s">
        <v>407</v>
      </c>
      <c r="F269" s="16" t="s">
        <v>630</v>
      </c>
      <c r="G269" s="28">
        <v>607270</v>
      </c>
      <c r="H269" s="28"/>
      <c r="I269" s="35">
        <f t="shared" si="4"/>
        <v>975690</v>
      </c>
      <c r="J269" s="31">
        <v>-975690</v>
      </c>
      <c r="K269" s="32" t="s">
        <v>894</v>
      </c>
    </row>
    <row r="270" spans="1:11" x14ac:dyDescent="0.3">
      <c r="G270" s="38">
        <f>SUM(G2:G269)</f>
        <v>14632295</v>
      </c>
      <c r="H270" s="38">
        <f>SUM(H2:H269)</f>
        <v>13656605</v>
      </c>
      <c r="I270" s="38">
        <f>G270-H270</f>
        <v>975690</v>
      </c>
    </row>
    <row r="276" spans="10:11" x14ac:dyDescent="0.3">
      <c r="J276" s="32">
        <v>0</v>
      </c>
      <c r="K276" t="s">
        <v>891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2B36-B297-47AC-800A-9E992E55F860}">
  <sheetPr>
    <tabColor rgb="FF002060"/>
  </sheetPr>
  <dimension ref="A1:K60"/>
  <sheetViews>
    <sheetView topLeftCell="A28" workbookViewId="0">
      <pane ySplit="1" topLeftCell="A41" activePane="bottomLeft" state="frozen"/>
      <selection activeCell="A28" sqref="A28"/>
      <selection pane="bottomLeft" activeCell="E65" sqref="E65"/>
    </sheetView>
  </sheetViews>
  <sheetFormatPr baseColWidth="10" defaultRowHeight="14" x14ac:dyDescent="0.3"/>
  <cols>
    <col min="1" max="1" width="4.296875" customWidth="1"/>
    <col min="3" max="3" width="7.59765625" customWidth="1"/>
    <col min="4" max="4" width="26.8984375" customWidth="1"/>
    <col min="6" max="6" width="19" customWidth="1"/>
  </cols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15</v>
      </c>
      <c r="B2" s="1">
        <v>45772</v>
      </c>
      <c r="C2" s="2">
        <v>2555</v>
      </c>
      <c r="D2" t="s">
        <v>17</v>
      </c>
      <c r="E2" t="s">
        <v>16</v>
      </c>
      <c r="H2" s="2">
        <v>122074</v>
      </c>
      <c r="I2" s="2">
        <v>-3687220</v>
      </c>
    </row>
    <row r="3" spans="1:9" hidden="1" x14ac:dyDescent="0.3">
      <c r="A3" t="s">
        <v>35</v>
      </c>
      <c r="B3" s="1">
        <v>45792</v>
      </c>
      <c r="C3" s="2">
        <v>2746</v>
      </c>
      <c r="D3" t="s">
        <v>36</v>
      </c>
      <c r="E3" t="s">
        <v>16</v>
      </c>
      <c r="G3" s="2">
        <v>72314</v>
      </c>
      <c r="I3" s="2">
        <v>-544463</v>
      </c>
    </row>
    <row r="4" spans="1:9" hidden="1" x14ac:dyDescent="0.3">
      <c r="A4" t="s">
        <v>47</v>
      </c>
      <c r="B4" s="1">
        <v>45805</v>
      </c>
      <c r="C4" s="2">
        <v>2911</v>
      </c>
      <c r="D4" t="s">
        <v>48</v>
      </c>
      <c r="E4" t="s">
        <v>16</v>
      </c>
      <c r="H4" s="2">
        <v>161109</v>
      </c>
      <c r="I4" s="2">
        <v>-498439</v>
      </c>
    </row>
    <row r="5" spans="1:9" hidden="1" x14ac:dyDescent="0.3">
      <c r="A5" t="s">
        <v>52</v>
      </c>
      <c r="B5" s="1">
        <v>45805</v>
      </c>
      <c r="C5" s="2">
        <v>3504</v>
      </c>
      <c r="D5" t="s">
        <v>48</v>
      </c>
      <c r="E5" t="s">
        <v>16</v>
      </c>
      <c r="H5" s="2">
        <v>229285</v>
      </c>
      <c r="I5" s="2">
        <v>-779243</v>
      </c>
    </row>
    <row r="6" spans="1:9" hidden="1" x14ac:dyDescent="0.3">
      <c r="A6" t="s">
        <v>60</v>
      </c>
      <c r="B6" s="1">
        <v>45820</v>
      </c>
      <c r="C6" s="2">
        <v>2862</v>
      </c>
      <c r="D6" t="s">
        <v>36</v>
      </c>
      <c r="E6" t="s">
        <v>16</v>
      </c>
      <c r="G6" s="2">
        <v>210396</v>
      </c>
      <c r="I6" s="2">
        <v>107093</v>
      </c>
    </row>
    <row r="7" spans="1:9" hidden="1" x14ac:dyDescent="0.3">
      <c r="A7" t="s">
        <v>82</v>
      </c>
      <c r="B7" s="1">
        <v>45867</v>
      </c>
      <c r="C7" s="2">
        <v>3094</v>
      </c>
      <c r="D7" t="s">
        <v>48</v>
      </c>
      <c r="E7" t="s">
        <v>16</v>
      </c>
      <c r="H7" s="2">
        <v>293855</v>
      </c>
      <c r="I7" s="2">
        <v>-3600643</v>
      </c>
    </row>
    <row r="8" spans="1:9" hidden="1" x14ac:dyDescent="0.3">
      <c r="A8" t="s">
        <v>95</v>
      </c>
      <c r="B8" s="1">
        <v>45869</v>
      </c>
      <c r="C8" s="2">
        <v>3286</v>
      </c>
      <c r="D8" t="s">
        <v>96</v>
      </c>
      <c r="E8" t="s">
        <v>16</v>
      </c>
      <c r="H8" s="2">
        <v>650343</v>
      </c>
      <c r="I8" s="2">
        <v>-13820934</v>
      </c>
    </row>
    <row r="9" spans="1:9" hidden="1" x14ac:dyDescent="0.3">
      <c r="A9" t="s">
        <v>107</v>
      </c>
      <c r="B9" s="1">
        <v>45869</v>
      </c>
      <c r="C9" s="2">
        <v>3303</v>
      </c>
      <c r="D9" t="s">
        <v>108</v>
      </c>
      <c r="E9" t="s">
        <v>16</v>
      </c>
      <c r="H9" s="2">
        <v>20962</v>
      </c>
      <c r="I9" s="2">
        <v>-20359392</v>
      </c>
    </row>
    <row r="10" spans="1:9" hidden="1" x14ac:dyDescent="0.3"/>
    <row r="11" spans="1:9" hidden="1" x14ac:dyDescent="0.3"/>
    <row r="12" spans="1:9" hidden="1" x14ac:dyDescent="0.3">
      <c r="D12" s="9" t="s">
        <v>128</v>
      </c>
      <c r="G12" s="10">
        <v>293855</v>
      </c>
    </row>
    <row r="13" spans="1:9" hidden="1" x14ac:dyDescent="0.3"/>
    <row r="14" spans="1:9" hidden="1" x14ac:dyDescent="0.3">
      <c r="B14" s="11" t="s">
        <v>2</v>
      </c>
      <c r="C14" s="11" t="s">
        <v>3</v>
      </c>
      <c r="D14" s="11"/>
      <c r="E14" s="11" t="s">
        <v>4</v>
      </c>
      <c r="G14" s="11" t="s">
        <v>6</v>
      </c>
      <c r="H14" s="11" t="s">
        <v>7</v>
      </c>
      <c r="I14" s="11" t="s">
        <v>8</v>
      </c>
    </row>
    <row r="15" spans="1:9" hidden="1" x14ac:dyDescent="0.3">
      <c r="B15" s="1">
        <v>45772</v>
      </c>
      <c r="C15" s="2">
        <v>2555</v>
      </c>
      <c r="D15" t="s">
        <v>17</v>
      </c>
      <c r="E15" t="s">
        <v>16</v>
      </c>
      <c r="H15" s="2">
        <v>122074</v>
      </c>
      <c r="I15" s="2">
        <f>-H15</f>
        <v>-122074</v>
      </c>
    </row>
    <row r="16" spans="1:9" hidden="1" x14ac:dyDescent="0.3">
      <c r="B16" s="1">
        <v>45792</v>
      </c>
      <c r="C16" s="2">
        <v>2746</v>
      </c>
      <c r="D16" t="s">
        <v>36</v>
      </c>
      <c r="E16" t="s">
        <v>16</v>
      </c>
      <c r="G16" s="2">
        <v>72314</v>
      </c>
      <c r="I16" s="2">
        <f>I15+G16-H16</f>
        <v>-49760</v>
      </c>
    </row>
    <row r="17" spans="2:10" hidden="1" x14ac:dyDescent="0.3">
      <c r="B17" s="1">
        <v>45805</v>
      </c>
      <c r="C17" s="2">
        <v>2911</v>
      </c>
      <c r="D17" t="s">
        <v>48</v>
      </c>
      <c r="E17" t="s">
        <v>16</v>
      </c>
      <c r="H17" s="2">
        <v>161109</v>
      </c>
      <c r="I17" s="2">
        <f t="shared" ref="I17:I20" si="0">I16+G17-H17</f>
        <v>-210869</v>
      </c>
    </row>
    <row r="18" spans="2:10" hidden="1" x14ac:dyDescent="0.3">
      <c r="B18" s="1">
        <v>45805</v>
      </c>
      <c r="C18" s="2">
        <v>3504</v>
      </c>
      <c r="D18" t="s">
        <v>48</v>
      </c>
      <c r="E18" t="s">
        <v>16</v>
      </c>
      <c r="H18" s="2">
        <v>229285</v>
      </c>
      <c r="I18" s="2">
        <f t="shared" si="0"/>
        <v>-440154</v>
      </c>
    </row>
    <row r="19" spans="2:10" hidden="1" x14ac:dyDescent="0.3">
      <c r="B19" s="1">
        <v>45813</v>
      </c>
      <c r="C19" s="2">
        <v>2814</v>
      </c>
      <c r="D19" t="s">
        <v>147</v>
      </c>
      <c r="E19" t="s">
        <v>16</v>
      </c>
      <c r="G19" s="2">
        <v>43000</v>
      </c>
      <c r="I19" s="2">
        <f t="shared" si="0"/>
        <v>-397154</v>
      </c>
    </row>
    <row r="20" spans="2:10" hidden="1" x14ac:dyDescent="0.3">
      <c r="B20" s="1">
        <v>45820</v>
      </c>
      <c r="C20" s="2">
        <v>2862</v>
      </c>
      <c r="D20" t="s">
        <v>36</v>
      </c>
      <c r="E20" t="s">
        <v>16</v>
      </c>
      <c r="G20" s="2">
        <v>210396</v>
      </c>
      <c r="I20" s="2">
        <f t="shared" si="0"/>
        <v>-186758</v>
      </c>
    </row>
    <row r="21" spans="2:10" hidden="1" x14ac:dyDescent="0.3">
      <c r="B21" s="1">
        <v>45867</v>
      </c>
      <c r="C21" s="2">
        <v>3094</v>
      </c>
      <c r="D21" t="s">
        <v>48</v>
      </c>
      <c r="E21" t="s">
        <v>16</v>
      </c>
      <c r="H21" s="12">
        <v>293855</v>
      </c>
      <c r="I21" s="2">
        <v>-4049198</v>
      </c>
    </row>
    <row r="22" spans="2:10" hidden="1" x14ac:dyDescent="0.3">
      <c r="B22" s="1">
        <v>45869</v>
      </c>
      <c r="C22" s="2">
        <v>3286</v>
      </c>
      <c r="D22" t="s">
        <v>96</v>
      </c>
      <c r="E22" t="s">
        <v>16</v>
      </c>
      <c r="H22" s="13">
        <v>650343</v>
      </c>
      <c r="I22" s="2">
        <v>-15087471</v>
      </c>
    </row>
    <row r="23" spans="2:10" hidden="1" x14ac:dyDescent="0.3">
      <c r="B23" s="1">
        <v>45869</v>
      </c>
      <c r="C23" s="2">
        <v>3303</v>
      </c>
      <c r="D23" t="s">
        <v>108</v>
      </c>
      <c r="E23" t="s">
        <v>16</v>
      </c>
      <c r="H23" s="13">
        <v>20962</v>
      </c>
      <c r="I23" s="2">
        <v>-21625929</v>
      </c>
    </row>
    <row r="24" spans="2:10" hidden="1" x14ac:dyDescent="0.3">
      <c r="B24" s="1">
        <v>45869</v>
      </c>
      <c r="C24" s="2">
        <v>3459</v>
      </c>
      <c r="D24" t="s">
        <v>163</v>
      </c>
      <c r="E24" t="s">
        <v>16</v>
      </c>
      <c r="H24" s="2">
        <v>118170</v>
      </c>
      <c r="I24" s="2">
        <v>-26517189</v>
      </c>
      <c r="J24" t="s">
        <v>170</v>
      </c>
    </row>
    <row r="25" spans="2:10" hidden="1" x14ac:dyDescent="0.3">
      <c r="B25" s="1">
        <v>45869</v>
      </c>
      <c r="C25" s="2">
        <v>3459</v>
      </c>
      <c r="D25" t="s">
        <v>163</v>
      </c>
      <c r="E25" t="s">
        <v>16</v>
      </c>
      <c r="H25" s="2">
        <v>289936</v>
      </c>
      <c r="I25" s="2">
        <v>-26807125</v>
      </c>
      <c r="J25" t="s">
        <v>170</v>
      </c>
    </row>
    <row r="26" spans="2:10" hidden="1" x14ac:dyDescent="0.3"/>
    <row r="27" spans="2:10" hidden="1" x14ac:dyDescent="0.3"/>
    <row r="28" spans="2:10" x14ac:dyDescent="0.3">
      <c r="B28" s="14" t="s">
        <v>2</v>
      </c>
      <c r="C28" s="14" t="s">
        <v>3</v>
      </c>
      <c r="D28" s="14"/>
      <c r="E28" s="14" t="s">
        <v>4</v>
      </c>
      <c r="F28" s="14" t="s">
        <v>5</v>
      </c>
      <c r="G28" s="14" t="s">
        <v>6</v>
      </c>
      <c r="H28" s="14" t="s">
        <v>7</v>
      </c>
      <c r="I28" s="14" t="s">
        <v>8</v>
      </c>
    </row>
    <row r="29" spans="2:10" x14ac:dyDescent="0.3">
      <c r="B29" s="1">
        <v>45701</v>
      </c>
      <c r="C29" s="2">
        <v>2282</v>
      </c>
      <c r="D29" t="s">
        <v>173</v>
      </c>
      <c r="E29" t="s">
        <v>16</v>
      </c>
      <c r="G29" s="2">
        <v>650343</v>
      </c>
      <c r="I29" s="2">
        <f>+G29</f>
        <v>650343</v>
      </c>
    </row>
    <row r="30" spans="2:10" x14ac:dyDescent="0.3">
      <c r="B30" s="1">
        <v>45772</v>
      </c>
      <c r="C30" s="2">
        <v>2555</v>
      </c>
      <c r="D30" t="s">
        <v>17</v>
      </c>
      <c r="E30" t="s">
        <v>16</v>
      </c>
      <c r="H30" s="2">
        <v>122074</v>
      </c>
      <c r="I30" s="2">
        <f>I29+G30-H30</f>
        <v>528269</v>
      </c>
    </row>
    <row r="31" spans="2:10" x14ac:dyDescent="0.3">
      <c r="B31" s="1">
        <v>45792</v>
      </c>
      <c r="C31" s="2">
        <v>2746</v>
      </c>
      <c r="D31" t="s">
        <v>36</v>
      </c>
      <c r="E31" t="s">
        <v>16</v>
      </c>
      <c r="G31" s="2">
        <v>72314</v>
      </c>
      <c r="I31" s="2">
        <f t="shared" ref="I31:I42" si="1">I30+G31-H31</f>
        <v>600583</v>
      </c>
    </row>
    <row r="32" spans="2:10" x14ac:dyDescent="0.3">
      <c r="B32" s="1">
        <v>45805</v>
      </c>
      <c r="C32" s="2">
        <v>2911</v>
      </c>
      <c r="D32" t="s">
        <v>48</v>
      </c>
      <c r="E32" t="s">
        <v>16</v>
      </c>
      <c r="H32" s="2">
        <v>161109</v>
      </c>
      <c r="I32" s="2">
        <f t="shared" si="1"/>
        <v>439474</v>
      </c>
    </row>
    <row r="33" spans="1:9" x14ac:dyDescent="0.3">
      <c r="B33" s="1">
        <v>45805</v>
      </c>
      <c r="C33" s="2">
        <v>3504</v>
      </c>
      <c r="D33" t="s">
        <v>48</v>
      </c>
      <c r="E33" t="s">
        <v>16</v>
      </c>
      <c r="H33" s="2">
        <v>229285</v>
      </c>
      <c r="I33" s="2">
        <f t="shared" si="1"/>
        <v>210189</v>
      </c>
    </row>
    <row r="34" spans="1:9" x14ac:dyDescent="0.3">
      <c r="B34" s="1">
        <v>45813</v>
      </c>
      <c r="C34" s="2">
        <v>2814</v>
      </c>
      <c r="D34" t="s">
        <v>147</v>
      </c>
      <c r="E34" t="s">
        <v>16</v>
      </c>
      <c r="G34" s="2">
        <v>43000</v>
      </c>
      <c r="I34" s="2">
        <f t="shared" si="1"/>
        <v>253189</v>
      </c>
    </row>
    <row r="35" spans="1:9" x14ac:dyDescent="0.3">
      <c r="B35" s="1">
        <v>45820</v>
      </c>
      <c r="C35" s="2">
        <v>2862</v>
      </c>
      <c r="D35" t="s">
        <v>36</v>
      </c>
      <c r="E35" t="s">
        <v>16</v>
      </c>
      <c r="G35" s="2">
        <v>210396</v>
      </c>
      <c r="I35" s="2">
        <f t="shared" si="1"/>
        <v>463585</v>
      </c>
    </row>
    <row r="36" spans="1:9" x14ac:dyDescent="0.3">
      <c r="B36" s="1">
        <v>45867</v>
      </c>
      <c r="C36" s="2">
        <v>3094</v>
      </c>
      <c r="D36" t="s">
        <v>48</v>
      </c>
      <c r="E36" t="s">
        <v>16</v>
      </c>
      <c r="H36" s="2">
        <v>293855</v>
      </c>
      <c r="I36" s="2">
        <f t="shared" si="1"/>
        <v>169730</v>
      </c>
    </row>
    <row r="37" spans="1:9" x14ac:dyDescent="0.3">
      <c r="B37" s="1">
        <v>45869</v>
      </c>
      <c r="C37" s="2">
        <v>3286</v>
      </c>
      <c r="D37" t="s">
        <v>96</v>
      </c>
      <c r="E37" t="s">
        <v>16</v>
      </c>
      <c r="H37" s="2">
        <v>650343</v>
      </c>
      <c r="I37" s="2">
        <f t="shared" si="1"/>
        <v>-480613</v>
      </c>
    </row>
    <row r="38" spans="1:9" x14ac:dyDescent="0.3">
      <c r="B38" s="1">
        <v>45869</v>
      </c>
      <c r="C38" s="2">
        <v>3303</v>
      </c>
      <c r="D38" t="s">
        <v>108</v>
      </c>
      <c r="E38" t="s">
        <v>16</v>
      </c>
      <c r="H38" s="2">
        <v>20962</v>
      </c>
      <c r="I38" s="2">
        <f t="shared" si="1"/>
        <v>-501575</v>
      </c>
    </row>
    <row r="39" spans="1:9" x14ac:dyDescent="0.3">
      <c r="B39" s="1">
        <v>45869</v>
      </c>
      <c r="C39" s="2">
        <v>3459</v>
      </c>
      <c r="D39" t="s">
        <v>163</v>
      </c>
      <c r="E39" t="s">
        <v>16</v>
      </c>
      <c r="H39" s="2">
        <v>118170</v>
      </c>
      <c r="I39" s="2">
        <f t="shared" si="1"/>
        <v>-619745</v>
      </c>
    </row>
    <row r="40" spans="1:9" x14ac:dyDescent="0.3">
      <c r="B40" s="1">
        <v>45869</v>
      </c>
      <c r="C40" s="2">
        <v>3459</v>
      </c>
      <c r="D40" t="s">
        <v>163</v>
      </c>
      <c r="E40" t="s">
        <v>16</v>
      </c>
      <c r="H40" s="2">
        <v>289936</v>
      </c>
      <c r="I40" s="2">
        <f t="shared" si="1"/>
        <v>-909681</v>
      </c>
    </row>
    <row r="41" spans="1:9" x14ac:dyDescent="0.3">
      <c r="B41" s="1">
        <v>45869</v>
      </c>
      <c r="C41" s="2">
        <v>3574</v>
      </c>
      <c r="D41" t="s">
        <v>194</v>
      </c>
      <c r="E41" t="s">
        <v>16</v>
      </c>
      <c r="G41" s="2">
        <v>594864</v>
      </c>
      <c r="I41" s="2">
        <f t="shared" si="1"/>
        <v>-314817</v>
      </c>
    </row>
    <row r="42" spans="1:9" x14ac:dyDescent="0.3">
      <c r="B42" s="1">
        <v>45729</v>
      </c>
      <c r="C42" s="2">
        <v>2343</v>
      </c>
      <c r="D42" t="s">
        <v>180</v>
      </c>
      <c r="E42" t="s">
        <v>16</v>
      </c>
      <c r="G42" s="2">
        <v>20962</v>
      </c>
      <c r="I42" s="15">
        <f t="shared" si="1"/>
        <v>-293855</v>
      </c>
    </row>
    <row r="43" spans="1:9" x14ac:dyDescent="0.3">
      <c r="B43" s="1">
        <v>45882</v>
      </c>
      <c r="C43" s="2">
        <v>3259</v>
      </c>
      <c r="D43" t="s">
        <v>204</v>
      </c>
      <c r="E43" t="s">
        <v>198</v>
      </c>
      <c r="G43" s="2">
        <v>293855</v>
      </c>
      <c r="I43" s="2">
        <f>I42+G43-H43</f>
        <v>0</v>
      </c>
    </row>
    <row r="44" spans="1:9" x14ac:dyDescent="0.3">
      <c r="B44" s="1">
        <v>45897</v>
      </c>
      <c r="C44" s="2">
        <v>3504</v>
      </c>
      <c r="D44" t="s">
        <v>48</v>
      </c>
      <c r="E44" t="s">
        <v>198</v>
      </c>
      <c r="H44" s="2">
        <v>37917</v>
      </c>
      <c r="I44" s="2">
        <f t="shared" ref="I44:I52" si="2">I43+G44-H44</f>
        <v>-37917</v>
      </c>
    </row>
    <row r="45" spans="1:9" x14ac:dyDescent="0.3">
      <c r="B45" s="1">
        <v>45897</v>
      </c>
      <c r="C45" s="2"/>
      <c r="D45" t="s">
        <v>242</v>
      </c>
      <c r="G45" s="2">
        <v>37919</v>
      </c>
      <c r="H45" s="2">
        <v>71641</v>
      </c>
      <c r="I45" s="2">
        <f t="shared" si="2"/>
        <v>-71639</v>
      </c>
    </row>
    <row r="46" spans="1:9" x14ac:dyDescent="0.3">
      <c r="B46" s="1">
        <v>45911</v>
      </c>
      <c r="C46" s="2">
        <v>3534</v>
      </c>
      <c r="D46" t="s">
        <v>226</v>
      </c>
      <c r="E46" t="s">
        <v>198</v>
      </c>
      <c r="G46" s="2">
        <v>37917</v>
      </c>
      <c r="I46" s="18">
        <f t="shared" si="2"/>
        <v>-33722</v>
      </c>
    </row>
    <row r="47" spans="1:9" x14ac:dyDescent="0.3">
      <c r="B47" s="1">
        <v>45926</v>
      </c>
      <c r="C47" s="2">
        <v>3579</v>
      </c>
      <c r="D47" t="s">
        <v>48</v>
      </c>
      <c r="E47" t="s">
        <v>198</v>
      </c>
      <c r="H47" s="6">
        <v>50192</v>
      </c>
      <c r="I47" s="2">
        <f t="shared" si="2"/>
        <v>-83914</v>
      </c>
    </row>
    <row r="48" spans="1:9" x14ac:dyDescent="0.3">
      <c r="A48" t="s">
        <v>246</v>
      </c>
      <c r="B48" s="1">
        <v>45944</v>
      </c>
      <c r="C48" s="2">
        <v>3747</v>
      </c>
      <c r="D48" t="s">
        <v>198</v>
      </c>
      <c r="G48" s="2">
        <v>50192</v>
      </c>
      <c r="I48" s="2">
        <f t="shared" si="2"/>
        <v>-33722</v>
      </c>
    </row>
    <row r="49" spans="1:11" x14ac:dyDescent="0.3">
      <c r="A49" t="s">
        <v>247</v>
      </c>
      <c r="B49" s="1">
        <v>45958</v>
      </c>
      <c r="C49" s="2">
        <v>3801</v>
      </c>
      <c r="D49" t="s">
        <v>198</v>
      </c>
      <c r="H49" s="2">
        <v>246372</v>
      </c>
      <c r="I49" s="2">
        <f t="shared" si="2"/>
        <v>-280094</v>
      </c>
    </row>
    <row r="50" spans="1:11" x14ac:dyDescent="0.3">
      <c r="A50" t="s">
        <v>256</v>
      </c>
      <c r="B50" s="1">
        <v>45974</v>
      </c>
      <c r="C50" s="2">
        <v>3907</v>
      </c>
      <c r="D50" t="str">
        <f t="shared" ref="D50" si="3">+A50</f>
        <v>adig/1740</v>
      </c>
      <c r="E50" t="s">
        <v>198</v>
      </c>
      <c r="G50" s="2">
        <v>246372</v>
      </c>
      <c r="I50" s="2">
        <f t="shared" si="2"/>
        <v>-33722</v>
      </c>
    </row>
    <row r="51" spans="1:11" x14ac:dyDescent="0.3">
      <c r="A51" t="s">
        <v>270</v>
      </c>
      <c r="B51" s="1">
        <v>46009</v>
      </c>
      <c r="C51" s="2">
        <v>4119</v>
      </c>
      <c r="D51" t="s">
        <v>271</v>
      </c>
      <c r="E51" t="s">
        <v>198</v>
      </c>
      <c r="G51" s="2"/>
      <c r="I51" s="2">
        <f t="shared" si="2"/>
        <v>-33722</v>
      </c>
    </row>
    <row r="52" spans="1:11" x14ac:dyDescent="0.3">
      <c r="A52" t="s">
        <v>268</v>
      </c>
      <c r="B52" s="1">
        <v>46017</v>
      </c>
      <c r="C52" s="2">
        <v>4132</v>
      </c>
      <c r="D52" t="s">
        <v>269</v>
      </c>
      <c r="E52" t="s">
        <v>198</v>
      </c>
      <c r="H52" s="2">
        <v>6314</v>
      </c>
      <c r="I52" s="15">
        <f t="shared" si="2"/>
        <v>-40036</v>
      </c>
    </row>
    <row r="53" spans="1:11" x14ac:dyDescent="0.3">
      <c r="B53" s="1"/>
      <c r="C53" s="2"/>
      <c r="H53" s="2"/>
      <c r="I53" s="2"/>
    </row>
    <row r="54" spans="1:11" x14ac:dyDescent="0.3">
      <c r="B54" s="1"/>
      <c r="C54" s="2"/>
      <c r="H54" s="2"/>
      <c r="I54" s="2"/>
    </row>
    <row r="55" spans="1:11" x14ac:dyDescent="0.3">
      <c r="B55" s="1">
        <v>45897</v>
      </c>
      <c r="C55" s="2">
        <v>3504</v>
      </c>
      <c r="D55" t="s">
        <v>48</v>
      </c>
      <c r="E55" t="s">
        <v>198</v>
      </c>
      <c r="H55">
        <v>39.94</v>
      </c>
      <c r="I55" s="3">
        <f>-H55</f>
        <v>-39.94</v>
      </c>
      <c r="J55" s="4">
        <f>H55*965.28</f>
        <v>38553.283199999998</v>
      </c>
    </row>
    <row r="56" spans="1:11" x14ac:dyDescent="0.3">
      <c r="B56" s="1">
        <v>45926</v>
      </c>
      <c r="C56" s="2">
        <v>3579</v>
      </c>
      <c r="D56" t="s">
        <v>48</v>
      </c>
      <c r="E56" t="s">
        <v>198</v>
      </c>
      <c r="H56">
        <v>239.08</v>
      </c>
      <c r="I56" s="3">
        <f>I55+G56-H56</f>
        <v>-279.02</v>
      </c>
      <c r="J56" s="4">
        <f>H56*962.39</f>
        <v>230088.20120000001</v>
      </c>
    </row>
    <row r="57" spans="1:11" x14ac:dyDescent="0.3">
      <c r="B57" s="1">
        <v>45926</v>
      </c>
      <c r="C57" s="2">
        <v>3579</v>
      </c>
      <c r="D57" t="s">
        <v>48</v>
      </c>
      <c r="E57" t="s">
        <v>198</v>
      </c>
      <c r="G57">
        <v>39.94</v>
      </c>
      <c r="I57" s="3">
        <f>I56+G57-H57</f>
        <v>-239.07999999999998</v>
      </c>
      <c r="J57" s="4">
        <f>I57*962.39</f>
        <v>-230088.20119999998</v>
      </c>
    </row>
    <row r="58" spans="1:11" x14ac:dyDescent="0.3">
      <c r="B58" s="1">
        <v>45958</v>
      </c>
      <c r="C58" s="2">
        <v>3801</v>
      </c>
      <c r="E58" t="s">
        <v>198</v>
      </c>
      <c r="G58">
        <v>239.08</v>
      </c>
      <c r="I58" s="3">
        <f>I57+G58-H58</f>
        <v>2.8421709430404007E-14</v>
      </c>
      <c r="J58" s="2">
        <v>224302</v>
      </c>
    </row>
    <row r="59" spans="1:11" x14ac:dyDescent="0.3">
      <c r="B59" s="1">
        <v>46017</v>
      </c>
      <c r="C59" s="2">
        <v>4132</v>
      </c>
      <c r="D59" t="s">
        <v>269</v>
      </c>
      <c r="E59" t="s">
        <v>198</v>
      </c>
      <c r="H59">
        <v>101.42</v>
      </c>
      <c r="I59" s="21">
        <f>I58+G59-H59</f>
        <v>-101.41999999999997</v>
      </c>
      <c r="J59" s="2">
        <f>-H59*907.13</f>
        <v>-92001.124599999996</v>
      </c>
      <c r="K59" s="19">
        <f>+J59+I52</f>
        <v>-132037.12459999998</v>
      </c>
    </row>
    <row r="60" spans="1:11" x14ac:dyDescent="0.3">
      <c r="A60" t="s">
        <v>268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4DFC-6884-4B20-8CF3-8FFE3DAFEFFE}">
  <dimension ref="A1:K79"/>
  <sheetViews>
    <sheetView topLeftCell="A49" workbookViewId="0">
      <selection activeCell="K65" sqref="K65"/>
    </sheetView>
  </sheetViews>
  <sheetFormatPr baseColWidth="10" defaultRowHeight="14" x14ac:dyDescent="0.3"/>
  <cols>
    <col min="7" max="9" width="11.19921875" style="4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9" x14ac:dyDescent="0.3">
      <c r="A2" s="16" t="s">
        <v>631</v>
      </c>
      <c r="B2" s="16" t="s">
        <v>632</v>
      </c>
      <c r="C2" s="25">
        <v>45677</v>
      </c>
      <c r="D2" s="16" t="s">
        <v>312</v>
      </c>
      <c r="E2" s="16" t="s">
        <v>633</v>
      </c>
      <c r="F2" s="16" t="s">
        <v>634</v>
      </c>
      <c r="G2" s="28">
        <v>0</v>
      </c>
      <c r="H2" s="28">
        <v>243096</v>
      </c>
      <c r="I2" s="28">
        <f>+G2-H2</f>
        <v>-243096</v>
      </c>
    </row>
    <row r="3" spans="1:9" x14ac:dyDescent="0.3">
      <c r="A3" s="16" t="s">
        <v>631</v>
      </c>
      <c r="B3" s="16" t="s">
        <v>632</v>
      </c>
      <c r="C3" s="25">
        <v>45677</v>
      </c>
      <c r="D3" s="16" t="s">
        <v>305</v>
      </c>
      <c r="E3" s="16" t="s">
        <v>306</v>
      </c>
      <c r="F3" s="16" t="s">
        <v>635</v>
      </c>
      <c r="G3" s="28">
        <v>0</v>
      </c>
      <c r="H3" s="28">
        <v>26840</v>
      </c>
      <c r="I3" s="28">
        <f>I2+G3-H3</f>
        <v>-269936</v>
      </c>
    </row>
    <row r="4" spans="1:9" x14ac:dyDescent="0.3">
      <c r="A4" s="16" t="s">
        <v>631</v>
      </c>
      <c r="B4" s="16" t="s">
        <v>632</v>
      </c>
      <c r="C4" s="25">
        <v>45678</v>
      </c>
      <c r="D4" s="16" t="s">
        <v>305</v>
      </c>
      <c r="E4" s="16" t="s">
        <v>306</v>
      </c>
      <c r="F4" s="16" t="s">
        <v>636</v>
      </c>
      <c r="G4" s="28">
        <v>0</v>
      </c>
      <c r="H4" s="28">
        <v>26840</v>
      </c>
      <c r="I4" s="28">
        <f t="shared" ref="I4:I67" si="0">I3+G4-H4</f>
        <v>-296776</v>
      </c>
    </row>
    <row r="5" spans="1:9" x14ac:dyDescent="0.3">
      <c r="A5" s="16" t="s">
        <v>631</v>
      </c>
      <c r="B5" s="16" t="s">
        <v>632</v>
      </c>
      <c r="C5" s="25">
        <v>45684</v>
      </c>
      <c r="D5" s="16" t="s">
        <v>312</v>
      </c>
      <c r="E5" s="16" t="s">
        <v>633</v>
      </c>
      <c r="F5" s="16" t="s">
        <v>637</v>
      </c>
      <c r="G5" s="28">
        <v>0</v>
      </c>
      <c r="H5" s="28">
        <v>303858</v>
      </c>
      <c r="I5" s="28">
        <f t="shared" si="0"/>
        <v>-600634</v>
      </c>
    </row>
    <row r="6" spans="1:9" x14ac:dyDescent="0.3">
      <c r="A6" s="16" t="s">
        <v>631</v>
      </c>
      <c r="B6" s="16" t="s">
        <v>632</v>
      </c>
      <c r="C6" s="25">
        <v>45684</v>
      </c>
      <c r="D6" s="16" t="s">
        <v>305</v>
      </c>
      <c r="E6" s="16" t="s">
        <v>306</v>
      </c>
      <c r="F6" s="16" t="s">
        <v>638</v>
      </c>
      <c r="G6" s="28">
        <v>0</v>
      </c>
      <c r="H6" s="28">
        <v>19960</v>
      </c>
      <c r="I6" s="28">
        <f t="shared" si="0"/>
        <v>-620594</v>
      </c>
    </row>
    <row r="7" spans="1:9" x14ac:dyDescent="0.3">
      <c r="A7" s="16" t="s">
        <v>631</v>
      </c>
      <c r="B7" s="16" t="s">
        <v>632</v>
      </c>
      <c r="C7" s="25">
        <v>45684</v>
      </c>
      <c r="D7" s="16" t="s">
        <v>318</v>
      </c>
      <c r="E7" s="16" t="s">
        <v>319</v>
      </c>
      <c r="F7" s="16"/>
      <c r="G7" s="28">
        <v>270</v>
      </c>
      <c r="H7" s="28">
        <v>0</v>
      </c>
      <c r="I7" s="28">
        <f t="shared" si="0"/>
        <v>-620324</v>
      </c>
    </row>
    <row r="8" spans="1:9" x14ac:dyDescent="0.3">
      <c r="A8" s="16" t="s">
        <v>631</v>
      </c>
      <c r="B8" s="16" t="s">
        <v>632</v>
      </c>
      <c r="C8" s="25">
        <v>45685</v>
      </c>
      <c r="D8" s="16" t="s">
        <v>305</v>
      </c>
      <c r="E8" s="16" t="s">
        <v>306</v>
      </c>
      <c r="F8" s="16" t="s">
        <v>639</v>
      </c>
      <c r="G8" s="28">
        <v>0</v>
      </c>
      <c r="H8" s="28">
        <v>26180</v>
      </c>
      <c r="I8" s="28">
        <f t="shared" si="0"/>
        <v>-646504</v>
      </c>
    </row>
    <row r="9" spans="1:9" x14ac:dyDescent="0.3">
      <c r="A9" s="16" t="s">
        <v>631</v>
      </c>
      <c r="B9" s="16" t="s">
        <v>632</v>
      </c>
      <c r="C9" s="25">
        <v>45686</v>
      </c>
      <c r="D9" s="16" t="s">
        <v>305</v>
      </c>
      <c r="E9" s="16" t="s">
        <v>311</v>
      </c>
      <c r="F9" s="16"/>
      <c r="G9" s="28">
        <v>0</v>
      </c>
      <c r="H9" s="28">
        <v>3839</v>
      </c>
      <c r="I9" s="28">
        <f t="shared" si="0"/>
        <v>-650343</v>
      </c>
    </row>
    <row r="10" spans="1:9" x14ac:dyDescent="0.3">
      <c r="A10" s="16" t="s">
        <v>631</v>
      </c>
      <c r="B10" s="16" t="s">
        <v>632</v>
      </c>
      <c r="C10" s="25">
        <v>45686</v>
      </c>
      <c r="D10" s="16" t="s">
        <v>305</v>
      </c>
      <c r="E10" s="16" t="s">
        <v>306</v>
      </c>
      <c r="F10" s="16" t="s">
        <v>640</v>
      </c>
      <c r="G10" s="28">
        <v>0</v>
      </c>
      <c r="H10" s="28">
        <v>17100</v>
      </c>
      <c r="I10" s="28">
        <f t="shared" si="0"/>
        <v>-667443</v>
      </c>
    </row>
    <row r="11" spans="1:9" x14ac:dyDescent="0.3">
      <c r="A11" s="16" t="s">
        <v>631</v>
      </c>
      <c r="B11" s="16" t="s">
        <v>632</v>
      </c>
      <c r="C11" s="25">
        <v>45701</v>
      </c>
      <c r="D11" s="16" t="s">
        <v>308</v>
      </c>
      <c r="E11" s="16" t="s">
        <v>641</v>
      </c>
      <c r="F11" s="16" t="s">
        <v>642</v>
      </c>
      <c r="G11" s="28">
        <v>650343</v>
      </c>
      <c r="H11" s="28">
        <v>0</v>
      </c>
      <c r="I11" s="28">
        <f t="shared" si="0"/>
        <v>-17100</v>
      </c>
    </row>
    <row r="12" spans="1:9" x14ac:dyDescent="0.3">
      <c r="A12" s="16" t="s">
        <v>631</v>
      </c>
      <c r="B12" s="16" t="s">
        <v>632</v>
      </c>
      <c r="C12" s="25">
        <v>45714</v>
      </c>
      <c r="D12" s="16" t="s">
        <v>305</v>
      </c>
      <c r="E12" s="16" t="s">
        <v>311</v>
      </c>
      <c r="F12" s="16"/>
      <c r="G12" s="28">
        <v>0</v>
      </c>
      <c r="H12" s="28">
        <v>3862</v>
      </c>
      <c r="I12" s="28">
        <f t="shared" si="0"/>
        <v>-20962</v>
      </c>
    </row>
    <row r="13" spans="1:9" x14ac:dyDescent="0.3">
      <c r="A13" s="16" t="s">
        <v>631</v>
      </c>
      <c r="B13" s="16" t="s">
        <v>632</v>
      </c>
      <c r="C13" s="25">
        <v>45729</v>
      </c>
      <c r="D13" s="16" t="s">
        <v>308</v>
      </c>
      <c r="E13" s="16" t="s">
        <v>641</v>
      </c>
      <c r="F13" s="16" t="s">
        <v>643</v>
      </c>
      <c r="G13" s="28">
        <v>20962</v>
      </c>
      <c r="H13" s="28">
        <v>0</v>
      </c>
      <c r="I13" s="28">
        <f t="shared" si="0"/>
        <v>0</v>
      </c>
    </row>
    <row r="14" spans="1:9" x14ac:dyDescent="0.3">
      <c r="A14" s="16" t="s">
        <v>631</v>
      </c>
      <c r="B14" s="16" t="s">
        <v>632</v>
      </c>
      <c r="C14" s="25">
        <v>45769</v>
      </c>
      <c r="D14" s="16" t="s">
        <v>305</v>
      </c>
      <c r="E14" s="16" t="s">
        <v>306</v>
      </c>
      <c r="F14" s="16" t="s">
        <v>644</v>
      </c>
      <c r="G14" s="28">
        <v>0</v>
      </c>
      <c r="H14" s="28">
        <v>19500</v>
      </c>
      <c r="I14" s="28">
        <f t="shared" si="0"/>
        <v>-19500</v>
      </c>
    </row>
    <row r="15" spans="1:9" x14ac:dyDescent="0.3">
      <c r="A15" s="16" t="s">
        <v>631</v>
      </c>
      <c r="B15" s="16" t="s">
        <v>632</v>
      </c>
      <c r="C15" s="25">
        <v>45771</v>
      </c>
      <c r="D15" s="16" t="s">
        <v>305</v>
      </c>
      <c r="E15" s="16" t="s">
        <v>306</v>
      </c>
      <c r="F15" s="16" t="s">
        <v>644</v>
      </c>
      <c r="G15" s="28">
        <v>0</v>
      </c>
      <c r="H15" s="28">
        <v>98670</v>
      </c>
      <c r="I15" s="28">
        <f t="shared" si="0"/>
        <v>-118170</v>
      </c>
    </row>
    <row r="16" spans="1:9" x14ac:dyDescent="0.3">
      <c r="A16" s="16" t="s">
        <v>631</v>
      </c>
      <c r="B16" s="16" t="s">
        <v>632</v>
      </c>
      <c r="C16" s="25">
        <v>45772</v>
      </c>
      <c r="D16" s="16" t="s">
        <v>305</v>
      </c>
      <c r="E16" s="16" t="s">
        <v>311</v>
      </c>
      <c r="F16" s="16"/>
      <c r="G16" s="28">
        <v>0</v>
      </c>
      <c r="H16" s="28">
        <v>3904</v>
      </c>
      <c r="I16" s="28">
        <f t="shared" si="0"/>
        <v>-122074</v>
      </c>
    </row>
    <row r="17" spans="1:9" x14ac:dyDescent="0.3">
      <c r="A17" s="16" t="s">
        <v>631</v>
      </c>
      <c r="B17" s="16" t="s">
        <v>632</v>
      </c>
      <c r="C17" s="25">
        <v>45782</v>
      </c>
      <c r="D17" s="16" t="s">
        <v>305</v>
      </c>
      <c r="E17" s="16" t="s">
        <v>306</v>
      </c>
      <c r="F17" s="16" t="s">
        <v>645</v>
      </c>
      <c r="G17" s="28">
        <v>0</v>
      </c>
      <c r="H17" s="28">
        <v>10000</v>
      </c>
      <c r="I17" s="28">
        <f t="shared" si="0"/>
        <v>-132074</v>
      </c>
    </row>
    <row r="18" spans="1:9" x14ac:dyDescent="0.3">
      <c r="A18" s="16" t="s">
        <v>631</v>
      </c>
      <c r="B18" s="16" t="s">
        <v>632</v>
      </c>
      <c r="C18" s="25">
        <v>45785</v>
      </c>
      <c r="D18" s="16" t="s">
        <v>312</v>
      </c>
      <c r="E18" s="16" t="s">
        <v>646</v>
      </c>
      <c r="F18" s="16" t="s">
        <v>647</v>
      </c>
      <c r="G18" s="28">
        <v>0</v>
      </c>
      <c r="H18" s="28">
        <v>49287</v>
      </c>
      <c r="I18" s="28">
        <f t="shared" si="0"/>
        <v>-181361</v>
      </c>
    </row>
    <row r="19" spans="1:9" x14ac:dyDescent="0.3">
      <c r="A19" s="16" t="s">
        <v>631</v>
      </c>
      <c r="B19" s="16" t="s">
        <v>632</v>
      </c>
      <c r="C19" s="25">
        <v>45789</v>
      </c>
      <c r="D19" s="16" t="s">
        <v>305</v>
      </c>
      <c r="E19" s="16" t="s">
        <v>306</v>
      </c>
      <c r="F19" s="16" t="s">
        <v>648</v>
      </c>
      <c r="G19" s="28">
        <v>0</v>
      </c>
      <c r="H19" s="28">
        <v>10000</v>
      </c>
      <c r="I19" s="28">
        <f t="shared" si="0"/>
        <v>-191361</v>
      </c>
    </row>
    <row r="20" spans="1:9" x14ac:dyDescent="0.3">
      <c r="A20" s="16" t="s">
        <v>631</v>
      </c>
      <c r="B20" s="16" t="s">
        <v>632</v>
      </c>
      <c r="C20" s="25">
        <v>45789</v>
      </c>
      <c r="D20" s="16" t="s">
        <v>305</v>
      </c>
      <c r="E20" s="16" t="s">
        <v>306</v>
      </c>
      <c r="F20" s="16" t="s">
        <v>649</v>
      </c>
      <c r="G20" s="28">
        <v>0</v>
      </c>
      <c r="H20" s="28">
        <v>21065</v>
      </c>
      <c r="I20" s="28">
        <f t="shared" si="0"/>
        <v>-212426</v>
      </c>
    </row>
    <row r="21" spans="1:9" x14ac:dyDescent="0.3">
      <c r="A21" s="16" t="s">
        <v>631</v>
      </c>
      <c r="B21" s="16" t="s">
        <v>632</v>
      </c>
      <c r="C21" s="25">
        <v>45791</v>
      </c>
      <c r="D21" s="16" t="s">
        <v>305</v>
      </c>
      <c r="E21" s="16" t="s">
        <v>306</v>
      </c>
      <c r="F21" s="16" t="s">
        <v>650</v>
      </c>
      <c r="G21" s="28">
        <v>0</v>
      </c>
      <c r="H21" s="28">
        <v>16115</v>
      </c>
      <c r="I21" s="28">
        <f t="shared" si="0"/>
        <v>-228541</v>
      </c>
    </row>
    <row r="22" spans="1:9" x14ac:dyDescent="0.3">
      <c r="A22" s="16" t="s">
        <v>631</v>
      </c>
      <c r="B22" s="16" t="s">
        <v>632</v>
      </c>
      <c r="C22" s="25">
        <v>45792</v>
      </c>
      <c r="D22" s="16" t="s">
        <v>308</v>
      </c>
      <c r="E22" s="16" t="s">
        <v>641</v>
      </c>
      <c r="F22" s="16" t="s">
        <v>651</v>
      </c>
      <c r="G22" s="28">
        <v>72314</v>
      </c>
      <c r="H22" s="28">
        <v>0</v>
      </c>
      <c r="I22" s="28">
        <f t="shared" si="0"/>
        <v>-156227</v>
      </c>
    </row>
    <row r="23" spans="1:9" x14ac:dyDescent="0.3">
      <c r="A23" s="16" t="s">
        <v>631</v>
      </c>
      <c r="B23" s="16" t="s">
        <v>632</v>
      </c>
      <c r="C23" s="25">
        <v>45792</v>
      </c>
      <c r="D23" s="16" t="s">
        <v>305</v>
      </c>
      <c r="E23" s="16" t="s">
        <v>306</v>
      </c>
      <c r="F23" s="16" t="s">
        <v>652</v>
      </c>
      <c r="G23" s="28">
        <v>0</v>
      </c>
      <c r="H23" s="28">
        <v>50251</v>
      </c>
      <c r="I23" s="28">
        <f t="shared" si="0"/>
        <v>-206478</v>
      </c>
    </row>
    <row r="24" spans="1:9" x14ac:dyDescent="0.3">
      <c r="A24" s="16" t="s">
        <v>631</v>
      </c>
      <c r="B24" s="16" t="s">
        <v>632</v>
      </c>
      <c r="C24" s="25">
        <v>45805</v>
      </c>
      <c r="D24" s="16" t="s">
        <v>305</v>
      </c>
      <c r="E24" s="16" t="s">
        <v>311</v>
      </c>
      <c r="F24" s="16"/>
      <c r="G24" s="28">
        <v>0</v>
      </c>
      <c r="H24" s="28">
        <v>3918</v>
      </c>
      <c r="I24" s="28">
        <f t="shared" si="0"/>
        <v>-210396</v>
      </c>
    </row>
    <row r="25" spans="1:9" x14ac:dyDescent="0.3">
      <c r="A25" s="16" t="s">
        <v>631</v>
      </c>
      <c r="B25" s="16" t="s">
        <v>632</v>
      </c>
      <c r="C25" s="25">
        <v>45820</v>
      </c>
      <c r="D25" s="16" t="s">
        <v>308</v>
      </c>
      <c r="E25" s="16" t="s">
        <v>641</v>
      </c>
      <c r="F25" s="16" t="s">
        <v>653</v>
      </c>
      <c r="G25" s="28">
        <v>210396</v>
      </c>
      <c r="H25" s="28">
        <v>0</v>
      </c>
      <c r="I25" s="28">
        <f t="shared" si="0"/>
        <v>0</v>
      </c>
    </row>
    <row r="26" spans="1:9" x14ac:dyDescent="0.3">
      <c r="A26" s="16" t="s">
        <v>631</v>
      </c>
      <c r="B26" s="16" t="s">
        <v>632</v>
      </c>
      <c r="C26" s="25">
        <v>45845</v>
      </c>
      <c r="D26" s="16" t="s">
        <v>305</v>
      </c>
      <c r="E26" s="16" t="s">
        <v>306</v>
      </c>
      <c r="F26" s="16" t="s">
        <v>654</v>
      </c>
      <c r="G26" s="28">
        <v>0</v>
      </c>
      <c r="H26" s="28">
        <v>12320</v>
      </c>
      <c r="I26" s="28">
        <f t="shared" si="0"/>
        <v>-12320</v>
      </c>
    </row>
    <row r="27" spans="1:9" x14ac:dyDescent="0.3">
      <c r="A27" s="16" t="s">
        <v>631</v>
      </c>
      <c r="B27" s="16" t="s">
        <v>632</v>
      </c>
      <c r="C27" s="25">
        <v>45845</v>
      </c>
      <c r="D27" s="16" t="s">
        <v>305</v>
      </c>
      <c r="E27" s="16" t="s">
        <v>306</v>
      </c>
      <c r="F27" s="16" t="s">
        <v>655</v>
      </c>
      <c r="G27" s="28">
        <v>0</v>
      </c>
      <c r="H27" s="28">
        <v>8500</v>
      </c>
      <c r="I27" s="28">
        <f t="shared" si="0"/>
        <v>-20820</v>
      </c>
    </row>
    <row r="28" spans="1:9" x14ac:dyDescent="0.3">
      <c r="A28" s="16" t="s">
        <v>631</v>
      </c>
      <c r="B28" s="16" t="s">
        <v>632</v>
      </c>
      <c r="C28" s="25">
        <v>45848</v>
      </c>
      <c r="D28" s="16" t="s">
        <v>305</v>
      </c>
      <c r="E28" s="16" t="s">
        <v>306</v>
      </c>
      <c r="F28" s="16" t="s">
        <v>656</v>
      </c>
      <c r="G28" s="28">
        <v>0</v>
      </c>
      <c r="H28" s="28">
        <v>58498</v>
      </c>
      <c r="I28" s="28">
        <f t="shared" si="0"/>
        <v>-79318</v>
      </c>
    </row>
    <row r="29" spans="1:9" x14ac:dyDescent="0.3">
      <c r="A29" s="16" t="s">
        <v>631</v>
      </c>
      <c r="B29" s="16" t="s">
        <v>632</v>
      </c>
      <c r="C29" s="25">
        <v>45859</v>
      </c>
      <c r="D29" s="16" t="s">
        <v>305</v>
      </c>
      <c r="E29" s="16" t="s">
        <v>306</v>
      </c>
      <c r="F29" s="16" t="s">
        <v>657</v>
      </c>
      <c r="G29" s="28">
        <v>0</v>
      </c>
      <c r="H29" s="28">
        <v>7000</v>
      </c>
      <c r="I29" s="28">
        <f t="shared" si="0"/>
        <v>-86318</v>
      </c>
    </row>
    <row r="30" spans="1:9" x14ac:dyDescent="0.3">
      <c r="A30" s="16" t="s">
        <v>631</v>
      </c>
      <c r="B30" s="16" t="s">
        <v>632</v>
      </c>
      <c r="C30" s="25">
        <v>45859</v>
      </c>
      <c r="D30" s="16" t="s">
        <v>305</v>
      </c>
      <c r="E30" s="16" t="s">
        <v>306</v>
      </c>
      <c r="F30" s="16" t="s">
        <v>658</v>
      </c>
      <c r="G30" s="28">
        <v>0</v>
      </c>
      <c r="H30" s="28">
        <v>60000</v>
      </c>
      <c r="I30" s="28">
        <f t="shared" si="0"/>
        <v>-146318</v>
      </c>
    </row>
    <row r="31" spans="1:9" x14ac:dyDescent="0.3">
      <c r="A31" s="16" t="s">
        <v>631</v>
      </c>
      <c r="B31" s="16" t="s">
        <v>632</v>
      </c>
      <c r="C31" s="25">
        <v>45862</v>
      </c>
      <c r="D31" s="16" t="s">
        <v>305</v>
      </c>
      <c r="E31" s="16" t="s">
        <v>306</v>
      </c>
      <c r="F31" s="16" t="s">
        <v>659</v>
      </c>
      <c r="G31" s="28">
        <v>0</v>
      </c>
      <c r="H31" s="28">
        <v>77018</v>
      </c>
      <c r="I31" s="28">
        <f t="shared" si="0"/>
        <v>-223336</v>
      </c>
    </row>
    <row r="32" spans="1:9" x14ac:dyDescent="0.3">
      <c r="A32" s="16" t="s">
        <v>631</v>
      </c>
      <c r="B32" s="16" t="s">
        <v>632</v>
      </c>
      <c r="C32" s="25">
        <v>45862</v>
      </c>
      <c r="D32" s="16" t="s">
        <v>305</v>
      </c>
      <c r="E32" s="16" t="s">
        <v>306</v>
      </c>
      <c r="F32" s="16" t="s">
        <v>660</v>
      </c>
      <c r="G32" s="28">
        <v>0</v>
      </c>
      <c r="H32" s="28">
        <v>60000</v>
      </c>
      <c r="I32" s="28">
        <f t="shared" si="0"/>
        <v>-283336</v>
      </c>
    </row>
    <row r="33" spans="1:9" x14ac:dyDescent="0.3">
      <c r="A33" s="16" t="s">
        <v>631</v>
      </c>
      <c r="B33" s="16" t="s">
        <v>632</v>
      </c>
      <c r="C33" s="25">
        <v>45863</v>
      </c>
      <c r="D33" s="16" t="s">
        <v>305</v>
      </c>
      <c r="E33" s="16" t="s">
        <v>306</v>
      </c>
      <c r="F33" s="16" t="s">
        <v>661</v>
      </c>
      <c r="G33" s="28">
        <v>0</v>
      </c>
      <c r="H33" s="28">
        <v>6600</v>
      </c>
      <c r="I33" s="28">
        <f t="shared" si="0"/>
        <v>-289936</v>
      </c>
    </row>
    <row r="34" spans="1:9" x14ac:dyDescent="0.3">
      <c r="A34" s="16" t="s">
        <v>631</v>
      </c>
      <c r="B34" s="16" t="s">
        <v>632</v>
      </c>
      <c r="C34" s="25">
        <v>45867</v>
      </c>
      <c r="D34" s="16" t="s">
        <v>305</v>
      </c>
      <c r="E34" s="16" t="s">
        <v>311</v>
      </c>
      <c r="F34" s="16"/>
      <c r="G34" s="28">
        <v>0</v>
      </c>
      <c r="H34" s="28">
        <v>3919</v>
      </c>
      <c r="I34" s="28">
        <f t="shared" si="0"/>
        <v>-293855</v>
      </c>
    </row>
    <row r="35" spans="1:9" x14ac:dyDescent="0.3">
      <c r="A35" s="16" t="s">
        <v>631</v>
      </c>
      <c r="B35" s="16" t="s">
        <v>632</v>
      </c>
      <c r="C35" s="25">
        <v>45882</v>
      </c>
      <c r="D35" s="16" t="s">
        <v>308</v>
      </c>
      <c r="E35" s="16" t="s">
        <v>641</v>
      </c>
      <c r="F35" s="16" t="s">
        <v>662</v>
      </c>
      <c r="G35" s="28">
        <v>293855</v>
      </c>
      <c r="H35" s="28">
        <v>0</v>
      </c>
      <c r="I35" s="28">
        <f t="shared" si="0"/>
        <v>0</v>
      </c>
    </row>
    <row r="36" spans="1:9" x14ac:dyDescent="0.3">
      <c r="A36" s="16" t="s">
        <v>631</v>
      </c>
      <c r="B36" s="16" t="s">
        <v>632</v>
      </c>
      <c r="C36" s="25">
        <v>45894</v>
      </c>
      <c r="D36" s="16" t="s">
        <v>305</v>
      </c>
      <c r="E36" s="16" t="s">
        <v>339</v>
      </c>
      <c r="F36" s="16"/>
      <c r="G36" s="28">
        <v>0</v>
      </c>
      <c r="H36" s="28">
        <v>33000</v>
      </c>
      <c r="I36" s="28">
        <f t="shared" si="0"/>
        <v>-33000</v>
      </c>
    </row>
    <row r="37" spans="1:9" x14ac:dyDescent="0.3">
      <c r="A37" s="16" t="s">
        <v>631</v>
      </c>
      <c r="B37" s="16" t="s">
        <v>632</v>
      </c>
      <c r="C37" s="25">
        <v>45894</v>
      </c>
      <c r="D37" s="16" t="s">
        <v>305</v>
      </c>
      <c r="E37" s="16" t="s">
        <v>339</v>
      </c>
      <c r="F37" s="16"/>
      <c r="G37" s="28">
        <v>0</v>
      </c>
      <c r="H37" s="28">
        <v>16979</v>
      </c>
      <c r="I37" s="28">
        <f t="shared" si="0"/>
        <v>-49979</v>
      </c>
    </row>
    <row r="38" spans="1:9" x14ac:dyDescent="0.3">
      <c r="A38" s="16" t="s">
        <v>631</v>
      </c>
      <c r="B38" s="16" t="s">
        <v>632</v>
      </c>
      <c r="C38" s="25">
        <v>45895</v>
      </c>
      <c r="D38" s="16" t="s">
        <v>305</v>
      </c>
      <c r="E38" s="16" t="s">
        <v>311</v>
      </c>
      <c r="F38" s="16"/>
      <c r="G38" s="28">
        <v>0</v>
      </c>
      <c r="H38" s="28">
        <v>433</v>
      </c>
      <c r="I38" s="28">
        <f t="shared" si="0"/>
        <v>-50412</v>
      </c>
    </row>
    <row r="39" spans="1:9" x14ac:dyDescent="0.3">
      <c r="A39" s="16" t="s">
        <v>631</v>
      </c>
      <c r="B39" s="16" t="s">
        <v>632</v>
      </c>
      <c r="C39" s="25">
        <v>45895</v>
      </c>
      <c r="D39" s="16" t="s">
        <v>305</v>
      </c>
      <c r="E39" s="16" t="s">
        <v>339</v>
      </c>
      <c r="F39" s="16"/>
      <c r="G39" s="28">
        <v>0</v>
      </c>
      <c r="H39" s="28">
        <v>21662</v>
      </c>
      <c r="I39" s="28">
        <f t="shared" si="0"/>
        <v>-72074</v>
      </c>
    </row>
    <row r="40" spans="1:9" x14ac:dyDescent="0.3">
      <c r="A40" s="16" t="s">
        <v>631</v>
      </c>
      <c r="B40" s="16" t="s">
        <v>632</v>
      </c>
      <c r="C40" s="25">
        <v>45896</v>
      </c>
      <c r="D40" s="16" t="s">
        <v>305</v>
      </c>
      <c r="E40" s="16" t="s">
        <v>311</v>
      </c>
      <c r="F40" s="16"/>
      <c r="G40" s="28">
        <v>0</v>
      </c>
      <c r="H40" s="28">
        <v>3934</v>
      </c>
      <c r="I40" s="28">
        <f t="shared" si="0"/>
        <v>-76008</v>
      </c>
    </row>
    <row r="41" spans="1:9" x14ac:dyDescent="0.3">
      <c r="A41" s="16" t="s">
        <v>631</v>
      </c>
      <c r="B41" s="16" t="s">
        <v>632</v>
      </c>
      <c r="C41" s="25">
        <v>45896</v>
      </c>
      <c r="D41" s="16" t="s">
        <v>305</v>
      </c>
      <c r="E41" s="16" t="s">
        <v>311</v>
      </c>
      <c r="F41" s="16"/>
      <c r="G41" s="28">
        <v>0</v>
      </c>
      <c r="H41" s="28">
        <v>552</v>
      </c>
      <c r="I41" s="28">
        <f t="shared" si="0"/>
        <v>-76560</v>
      </c>
    </row>
    <row r="42" spans="1:9" x14ac:dyDescent="0.3">
      <c r="A42" s="16" t="s">
        <v>631</v>
      </c>
      <c r="B42" s="16" t="s">
        <v>632</v>
      </c>
      <c r="C42" s="25">
        <v>45901</v>
      </c>
      <c r="D42" s="16" t="s">
        <v>305</v>
      </c>
      <c r="E42" s="16" t="s">
        <v>311</v>
      </c>
      <c r="F42" s="16"/>
      <c r="G42" s="28">
        <v>0</v>
      </c>
      <c r="H42" s="28">
        <v>205</v>
      </c>
      <c r="I42" s="28">
        <f t="shared" si="0"/>
        <v>-76765</v>
      </c>
    </row>
    <row r="43" spans="1:9" x14ac:dyDescent="0.3">
      <c r="A43" s="16" t="s">
        <v>631</v>
      </c>
      <c r="B43" s="16" t="s">
        <v>632</v>
      </c>
      <c r="C43" s="25">
        <v>45901</v>
      </c>
      <c r="D43" s="16" t="s">
        <v>305</v>
      </c>
      <c r="E43" s="16" t="s">
        <v>311</v>
      </c>
      <c r="F43" s="16"/>
      <c r="G43" s="28">
        <v>0</v>
      </c>
      <c r="H43" s="28">
        <v>4037</v>
      </c>
      <c r="I43" s="28">
        <f t="shared" si="0"/>
        <v>-80802</v>
      </c>
    </row>
    <row r="44" spans="1:9" x14ac:dyDescent="0.3">
      <c r="A44" s="16" t="s">
        <v>631</v>
      </c>
      <c r="B44" s="16" t="s">
        <v>632</v>
      </c>
      <c r="C44" s="25">
        <v>45901</v>
      </c>
      <c r="D44" s="16" t="s">
        <v>305</v>
      </c>
      <c r="E44" s="16" t="s">
        <v>306</v>
      </c>
      <c r="F44" s="16" t="s">
        <v>663</v>
      </c>
      <c r="G44" s="28">
        <v>0</v>
      </c>
      <c r="H44" s="28">
        <v>7997</v>
      </c>
      <c r="I44" s="28">
        <f t="shared" si="0"/>
        <v>-88799</v>
      </c>
    </row>
    <row r="45" spans="1:9" x14ac:dyDescent="0.3">
      <c r="A45" s="16" t="s">
        <v>631</v>
      </c>
      <c r="B45" s="16" t="s">
        <v>632</v>
      </c>
      <c r="C45" s="25">
        <v>45901</v>
      </c>
      <c r="D45" s="16" t="s">
        <v>305</v>
      </c>
      <c r="E45" s="16" t="s">
        <v>306</v>
      </c>
      <c r="F45" s="16" t="s">
        <v>664</v>
      </c>
      <c r="G45" s="28">
        <v>0</v>
      </c>
      <c r="H45" s="28">
        <v>21662</v>
      </c>
      <c r="I45" s="28">
        <f t="shared" si="0"/>
        <v>-110461</v>
      </c>
    </row>
    <row r="46" spans="1:9" x14ac:dyDescent="0.3">
      <c r="A46" s="16" t="s">
        <v>631</v>
      </c>
      <c r="B46" s="16" t="s">
        <v>632</v>
      </c>
      <c r="C46" s="25">
        <v>45901</v>
      </c>
      <c r="D46" s="16" t="s">
        <v>305</v>
      </c>
      <c r="E46" s="16" t="s">
        <v>306</v>
      </c>
      <c r="F46" s="16" t="s">
        <v>665</v>
      </c>
      <c r="G46" s="28">
        <v>0</v>
      </c>
      <c r="H46" s="28">
        <v>16979</v>
      </c>
      <c r="I46" s="28">
        <f t="shared" si="0"/>
        <v>-127440</v>
      </c>
    </row>
    <row r="47" spans="1:9" x14ac:dyDescent="0.3">
      <c r="A47" s="16" t="s">
        <v>631</v>
      </c>
      <c r="B47" s="16" t="s">
        <v>632</v>
      </c>
      <c r="C47" s="25">
        <v>45901</v>
      </c>
      <c r="D47" s="16" t="s">
        <v>305</v>
      </c>
      <c r="E47" s="16" t="s">
        <v>339</v>
      </c>
      <c r="F47" s="16"/>
      <c r="G47" s="28">
        <v>21662</v>
      </c>
      <c r="H47" s="28">
        <v>0</v>
      </c>
      <c r="I47" s="28">
        <f t="shared" si="0"/>
        <v>-105778</v>
      </c>
    </row>
    <row r="48" spans="1:9" x14ac:dyDescent="0.3">
      <c r="A48" s="16" t="s">
        <v>631</v>
      </c>
      <c r="B48" s="16" t="s">
        <v>632</v>
      </c>
      <c r="C48" s="25">
        <v>45901</v>
      </c>
      <c r="D48" s="16" t="s">
        <v>305</v>
      </c>
      <c r="E48" s="16" t="s">
        <v>339</v>
      </c>
      <c r="F48" s="16"/>
      <c r="G48" s="28">
        <v>16979</v>
      </c>
      <c r="H48" s="28">
        <v>0</v>
      </c>
      <c r="I48" s="28">
        <f t="shared" si="0"/>
        <v>-88799</v>
      </c>
    </row>
    <row r="49" spans="1:9" x14ac:dyDescent="0.3">
      <c r="A49" s="16" t="s">
        <v>631</v>
      </c>
      <c r="B49" s="16" t="s">
        <v>632</v>
      </c>
      <c r="C49" s="25">
        <v>45901</v>
      </c>
      <c r="D49" s="16" t="s">
        <v>305</v>
      </c>
      <c r="E49" s="16" t="s">
        <v>339</v>
      </c>
      <c r="F49" s="16"/>
      <c r="G49" s="28">
        <v>33000</v>
      </c>
      <c r="H49" s="28">
        <v>0</v>
      </c>
      <c r="I49" s="28">
        <f t="shared" si="0"/>
        <v>-55799</v>
      </c>
    </row>
    <row r="50" spans="1:9" x14ac:dyDescent="0.3">
      <c r="A50" s="16" t="s">
        <v>631</v>
      </c>
      <c r="B50" s="16" t="s">
        <v>632</v>
      </c>
      <c r="C50" s="25">
        <v>45901</v>
      </c>
      <c r="D50" s="16" t="s">
        <v>305</v>
      </c>
      <c r="E50" s="16" t="s">
        <v>306</v>
      </c>
      <c r="F50" s="16" t="s">
        <v>666</v>
      </c>
      <c r="G50" s="28">
        <v>0</v>
      </c>
      <c r="H50" s="28">
        <v>159181</v>
      </c>
      <c r="I50" s="28">
        <f t="shared" si="0"/>
        <v>-214980</v>
      </c>
    </row>
    <row r="51" spans="1:9" x14ac:dyDescent="0.3">
      <c r="A51" s="16" t="s">
        <v>631</v>
      </c>
      <c r="B51" s="16" t="s">
        <v>632</v>
      </c>
      <c r="C51" s="25">
        <v>45901</v>
      </c>
      <c r="D51" s="16" t="s">
        <v>318</v>
      </c>
      <c r="E51" s="16" t="s">
        <v>319</v>
      </c>
      <c r="F51" s="16"/>
      <c r="G51" s="28">
        <v>0</v>
      </c>
      <c r="H51" s="28">
        <v>1</v>
      </c>
      <c r="I51" s="28">
        <f t="shared" si="0"/>
        <v>-214981</v>
      </c>
    </row>
    <row r="52" spans="1:9" x14ac:dyDescent="0.3">
      <c r="A52" s="16" t="s">
        <v>631</v>
      </c>
      <c r="B52" s="16" t="s">
        <v>632</v>
      </c>
      <c r="C52" s="25">
        <v>45901</v>
      </c>
      <c r="D52" s="16" t="s">
        <v>305</v>
      </c>
      <c r="E52" s="16" t="s">
        <v>306</v>
      </c>
      <c r="F52" s="16" t="s">
        <v>667</v>
      </c>
      <c r="G52" s="28">
        <v>0</v>
      </c>
      <c r="H52" s="28">
        <v>33000</v>
      </c>
      <c r="I52" s="28">
        <f t="shared" si="0"/>
        <v>-247981</v>
      </c>
    </row>
    <row r="53" spans="1:9" x14ac:dyDescent="0.3">
      <c r="A53" s="16" t="s">
        <v>631</v>
      </c>
      <c r="B53" s="16" t="s">
        <v>632</v>
      </c>
      <c r="C53" s="25">
        <v>45909</v>
      </c>
      <c r="D53" s="16" t="s">
        <v>305</v>
      </c>
      <c r="E53" s="16" t="s">
        <v>306</v>
      </c>
      <c r="F53" s="16" t="s">
        <v>668</v>
      </c>
      <c r="G53" s="28">
        <v>0</v>
      </c>
      <c r="H53" s="28">
        <v>8882</v>
      </c>
      <c r="I53" s="28">
        <f t="shared" si="0"/>
        <v>-256863</v>
      </c>
    </row>
    <row r="54" spans="1:9" x14ac:dyDescent="0.3">
      <c r="A54" s="16" t="s">
        <v>631</v>
      </c>
      <c r="B54" s="16" t="s">
        <v>632</v>
      </c>
      <c r="C54" s="25">
        <v>45909</v>
      </c>
      <c r="D54" s="16" t="s">
        <v>305</v>
      </c>
      <c r="E54" s="16" t="s">
        <v>306</v>
      </c>
      <c r="F54" s="16" t="s">
        <v>669</v>
      </c>
      <c r="G54" s="28">
        <v>0</v>
      </c>
      <c r="H54" s="28">
        <v>53753</v>
      </c>
      <c r="I54" s="28">
        <f t="shared" si="0"/>
        <v>-310616</v>
      </c>
    </row>
    <row r="55" spans="1:9" x14ac:dyDescent="0.3">
      <c r="A55" s="16" t="s">
        <v>631</v>
      </c>
      <c r="B55" s="16" t="s">
        <v>632</v>
      </c>
      <c r="C55" s="25">
        <v>45910</v>
      </c>
      <c r="D55" s="16" t="s">
        <v>305</v>
      </c>
      <c r="E55" s="16" t="s">
        <v>311</v>
      </c>
      <c r="F55" s="16"/>
      <c r="G55" s="28">
        <v>0</v>
      </c>
      <c r="H55" s="28">
        <v>1365</v>
      </c>
      <c r="I55" s="28">
        <f t="shared" si="0"/>
        <v>-311981</v>
      </c>
    </row>
    <row r="56" spans="1:9" x14ac:dyDescent="0.3">
      <c r="A56" s="16" t="s">
        <v>631</v>
      </c>
      <c r="B56" s="16" t="s">
        <v>632</v>
      </c>
      <c r="C56" s="25">
        <v>45910</v>
      </c>
      <c r="D56" s="16" t="s">
        <v>305</v>
      </c>
      <c r="E56" s="16" t="s">
        <v>311</v>
      </c>
      <c r="F56" s="16"/>
      <c r="G56" s="28">
        <v>0</v>
      </c>
      <c r="H56" s="28">
        <v>224</v>
      </c>
      <c r="I56" s="28">
        <f t="shared" si="0"/>
        <v>-312205</v>
      </c>
    </row>
    <row r="57" spans="1:9" x14ac:dyDescent="0.3">
      <c r="A57" s="16" t="s">
        <v>631</v>
      </c>
      <c r="B57" s="16" t="s">
        <v>632</v>
      </c>
      <c r="C57" s="25">
        <v>45911</v>
      </c>
      <c r="D57" s="16" t="s">
        <v>308</v>
      </c>
      <c r="E57" s="16" t="s">
        <v>641</v>
      </c>
      <c r="F57" s="16" t="s">
        <v>670</v>
      </c>
      <c r="G57" s="28">
        <v>37919</v>
      </c>
      <c r="H57" s="28">
        <v>0</v>
      </c>
      <c r="I57" s="28">
        <f t="shared" si="0"/>
        <v>-274286</v>
      </c>
    </row>
    <row r="58" spans="1:9" x14ac:dyDescent="0.3">
      <c r="A58" s="16" t="s">
        <v>631</v>
      </c>
      <c r="B58" s="16" t="s">
        <v>632</v>
      </c>
      <c r="C58" s="25">
        <v>45911</v>
      </c>
      <c r="D58" s="16" t="s">
        <v>305</v>
      </c>
      <c r="E58" s="16" t="s">
        <v>311</v>
      </c>
      <c r="F58" s="16"/>
      <c r="G58" s="28">
        <v>0</v>
      </c>
      <c r="H58" s="28">
        <v>620</v>
      </c>
      <c r="I58" s="28">
        <f t="shared" si="0"/>
        <v>-274906</v>
      </c>
    </row>
    <row r="59" spans="1:9" x14ac:dyDescent="0.3">
      <c r="A59" s="16" t="s">
        <v>631</v>
      </c>
      <c r="B59" s="16" t="s">
        <v>632</v>
      </c>
      <c r="C59" s="25">
        <v>45926</v>
      </c>
      <c r="D59" s="16" t="s">
        <v>305</v>
      </c>
      <c r="E59" s="16" t="s">
        <v>311</v>
      </c>
      <c r="F59" s="16"/>
      <c r="G59" s="28">
        <v>0</v>
      </c>
      <c r="H59" s="28">
        <v>26</v>
      </c>
      <c r="I59" s="28">
        <f t="shared" si="0"/>
        <v>-274932</v>
      </c>
    </row>
    <row r="60" spans="1:9" x14ac:dyDescent="0.3">
      <c r="A60" s="16" t="s">
        <v>631</v>
      </c>
      <c r="B60" s="16" t="s">
        <v>632</v>
      </c>
      <c r="C60" s="25">
        <v>45926</v>
      </c>
      <c r="D60" s="16" t="s">
        <v>305</v>
      </c>
      <c r="E60" s="16" t="s">
        <v>311</v>
      </c>
      <c r="F60" s="16"/>
      <c r="G60" s="28">
        <v>0</v>
      </c>
      <c r="H60" s="28">
        <v>3949</v>
      </c>
      <c r="I60" s="28">
        <f t="shared" si="0"/>
        <v>-278881</v>
      </c>
    </row>
    <row r="61" spans="1:9" x14ac:dyDescent="0.3">
      <c r="A61" s="16" t="s">
        <v>631</v>
      </c>
      <c r="B61" s="16" t="s">
        <v>632</v>
      </c>
      <c r="C61" s="25">
        <v>45926</v>
      </c>
      <c r="D61" s="16" t="s">
        <v>305</v>
      </c>
      <c r="E61" s="16" t="s">
        <v>311</v>
      </c>
      <c r="F61" s="16"/>
      <c r="G61" s="28">
        <v>0</v>
      </c>
      <c r="H61" s="28">
        <v>1125</v>
      </c>
      <c r="I61" s="28">
        <f t="shared" si="0"/>
        <v>-280006</v>
      </c>
    </row>
    <row r="62" spans="1:9" x14ac:dyDescent="0.3">
      <c r="A62" s="16" t="s">
        <v>631</v>
      </c>
      <c r="B62" s="16" t="s">
        <v>632</v>
      </c>
      <c r="C62" s="25">
        <v>45944</v>
      </c>
      <c r="D62" s="16" t="s">
        <v>308</v>
      </c>
      <c r="E62" s="16" t="s">
        <v>641</v>
      </c>
      <c r="F62" s="16" t="s">
        <v>671</v>
      </c>
      <c r="G62" s="28">
        <v>50192</v>
      </c>
      <c r="H62" s="28">
        <v>0</v>
      </c>
      <c r="I62" s="28">
        <f t="shared" si="0"/>
        <v>-229814</v>
      </c>
    </row>
    <row r="63" spans="1:9" x14ac:dyDescent="0.3">
      <c r="A63" s="16" t="s">
        <v>631</v>
      </c>
      <c r="B63" s="16" t="s">
        <v>632</v>
      </c>
      <c r="C63" s="25">
        <v>45944</v>
      </c>
      <c r="D63" s="16" t="s">
        <v>305</v>
      </c>
      <c r="E63" s="16" t="s">
        <v>311</v>
      </c>
      <c r="F63" s="16"/>
      <c r="G63" s="28">
        <v>0</v>
      </c>
      <c r="H63" s="28">
        <v>6397</v>
      </c>
      <c r="I63" s="28">
        <f t="shared" si="0"/>
        <v>-236211</v>
      </c>
    </row>
    <row r="64" spans="1:9" x14ac:dyDescent="0.3">
      <c r="A64" s="16" t="s">
        <v>631</v>
      </c>
      <c r="B64" s="16" t="s">
        <v>632</v>
      </c>
      <c r="C64" s="25">
        <v>45958</v>
      </c>
      <c r="D64" s="16" t="s">
        <v>305</v>
      </c>
      <c r="E64" s="16" t="s">
        <v>311</v>
      </c>
      <c r="F64" s="16"/>
      <c r="G64" s="28">
        <v>0</v>
      </c>
      <c r="H64" s="28">
        <v>156</v>
      </c>
      <c r="I64" s="28">
        <f t="shared" si="0"/>
        <v>-236367</v>
      </c>
    </row>
    <row r="65" spans="1:11" x14ac:dyDescent="0.3">
      <c r="A65" s="16" t="s">
        <v>631</v>
      </c>
      <c r="B65" s="16" t="s">
        <v>632</v>
      </c>
      <c r="C65" s="25">
        <v>45958</v>
      </c>
      <c r="D65" s="16" t="s">
        <v>305</v>
      </c>
      <c r="E65" s="16" t="s">
        <v>311</v>
      </c>
      <c r="F65" s="16"/>
      <c r="G65" s="28">
        <v>0</v>
      </c>
      <c r="H65" s="28">
        <v>3958</v>
      </c>
      <c r="I65" s="28">
        <f t="shared" si="0"/>
        <v>-240325</v>
      </c>
    </row>
    <row r="66" spans="1:11" x14ac:dyDescent="0.3">
      <c r="A66" s="16" t="s">
        <v>631</v>
      </c>
      <c r="B66" s="16" t="s">
        <v>632</v>
      </c>
      <c r="C66" s="25">
        <v>45958</v>
      </c>
      <c r="D66" s="16" t="s">
        <v>305</v>
      </c>
      <c r="E66" s="16" t="s">
        <v>311</v>
      </c>
      <c r="F66" s="16"/>
      <c r="G66" s="28">
        <v>0</v>
      </c>
      <c r="H66" s="28">
        <v>6047</v>
      </c>
      <c r="I66" s="28">
        <f t="shared" si="0"/>
        <v>-246372</v>
      </c>
    </row>
    <row r="67" spans="1:11" x14ac:dyDescent="0.3">
      <c r="A67" s="16" t="s">
        <v>631</v>
      </c>
      <c r="B67" s="16" t="s">
        <v>632</v>
      </c>
      <c r="C67" s="25">
        <v>45974</v>
      </c>
      <c r="D67" s="16" t="s">
        <v>308</v>
      </c>
      <c r="E67" s="16" t="s">
        <v>641</v>
      </c>
      <c r="F67" s="16" t="s">
        <v>672</v>
      </c>
      <c r="G67" s="28">
        <v>246372</v>
      </c>
      <c r="H67" s="28">
        <v>0</v>
      </c>
      <c r="I67" s="28">
        <f t="shared" si="0"/>
        <v>0</v>
      </c>
    </row>
    <row r="68" spans="1:11" x14ac:dyDescent="0.3">
      <c r="A68" s="16" t="s">
        <v>631</v>
      </c>
      <c r="B68" s="16" t="s">
        <v>632</v>
      </c>
      <c r="C68" s="25">
        <v>45992</v>
      </c>
      <c r="D68" s="16" t="s">
        <v>305</v>
      </c>
      <c r="E68" s="16" t="s">
        <v>306</v>
      </c>
      <c r="F68" s="16" t="s">
        <v>331</v>
      </c>
      <c r="G68" s="28">
        <v>0</v>
      </c>
      <c r="H68" s="28">
        <v>9448.6200000000008</v>
      </c>
      <c r="I68" s="28">
        <f t="shared" ref="I68:I72" si="1">I67+G68-H68</f>
        <v>-9448.6200000000008</v>
      </c>
    </row>
    <row r="69" spans="1:11" x14ac:dyDescent="0.3">
      <c r="A69" s="16" t="s">
        <v>631</v>
      </c>
      <c r="B69" s="16" t="s">
        <v>632</v>
      </c>
      <c r="C69" s="25">
        <v>45993</v>
      </c>
      <c r="D69" s="16" t="s">
        <v>305</v>
      </c>
      <c r="E69" s="16" t="s">
        <v>306</v>
      </c>
      <c r="F69" s="16"/>
      <c r="G69" s="28">
        <v>0</v>
      </c>
      <c r="H69" s="28">
        <v>241</v>
      </c>
      <c r="I69" s="28">
        <f t="shared" si="1"/>
        <v>-9689.6200000000008</v>
      </c>
    </row>
    <row r="70" spans="1:11" x14ac:dyDescent="0.3">
      <c r="A70" s="16" t="s">
        <v>631</v>
      </c>
      <c r="B70" s="16" t="s">
        <v>632</v>
      </c>
      <c r="C70" s="25">
        <v>45993</v>
      </c>
      <c r="D70" s="16" t="s">
        <v>305</v>
      </c>
      <c r="E70" s="16" t="s">
        <v>306</v>
      </c>
      <c r="F70" s="16" t="s">
        <v>673</v>
      </c>
      <c r="G70" s="28">
        <v>0</v>
      </c>
      <c r="H70" s="28">
        <v>82340.539999999994</v>
      </c>
      <c r="I70" s="28">
        <f t="shared" si="1"/>
        <v>-92030.159999999989</v>
      </c>
    </row>
    <row r="71" spans="1:11" x14ac:dyDescent="0.3">
      <c r="A71" s="16" t="s">
        <v>631</v>
      </c>
      <c r="B71" s="16" t="s">
        <v>632</v>
      </c>
      <c r="C71" s="25">
        <v>45994</v>
      </c>
      <c r="D71" s="16" t="s">
        <v>305</v>
      </c>
      <c r="E71" s="16" t="s">
        <v>306</v>
      </c>
      <c r="F71" s="16"/>
      <c r="G71" s="28">
        <v>0</v>
      </c>
      <c r="H71" s="28">
        <v>2102</v>
      </c>
      <c r="I71" s="28">
        <f t="shared" si="1"/>
        <v>-94132.159999999989</v>
      </c>
    </row>
    <row r="72" spans="1:11" x14ac:dyDescent="0.3">
      <c r="A72" s="16" t="s">
        <v>631</v>
      </c>
      <c r="B72" s="16" t="s">
        <v>632</v>
      </c>
      <c r="C72" s="25">
        <v>46017</v>
      </c>
      <c r="D72" s="16" t="s">
        <v>305</v>
      </c>
      <c r="E72" s="16" t="s">
        <v>311</v>
      </c>
      <c r="F72" s="16"/>
      <c r="G72" s="28">
        <v>0</v>
      </c>
      <c r="H72" s="28">
        <v>3971</v>
      </c>
      <c r="I72" s="28">
        <f t="shared" si="1"/>
        <v>-98103.159999999989</v>
      </c>
      <c r="J72" s="32">
        <v>0</v>
      </c>
      <c r="K72" s="32" t="s">
        <v>894</v>
      </c>
    </row>
    <row r="73" spans="1:11" x14ac:dyDescent="0.3">
      <c r="G73" s="38">
        <f>SUM(G2:G72)</f>
        <v>1654264</v>
      </c>
      <c r="H73" s="38">
        <f>SUM(H2:H72)</f>
        <v>1752367.1600000001</v>
      </c>
      <c r="I73" s="38">
        <f>G73-H73</f>
        <v>-98103.160000000149</v>
      </c>
    </row>
    <row r="79" spans="1:11" x14ac:dyDescent="0.3">
      <c r="J79" s="33">
        <f>98103+'11'!K59</f>
        <v>-33934.124599999981</v>
      </c>
      <c r="K79" t="s">
        <v>891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AE8F-A6F0-49E1-B5B9-4C49B31E0B73}">
  <sheetPr>
    <tabColor rgb="FF002060"/>
  </sheetPr>
  <dimension ref="A1:K49"/>
  <sheetViews>
    <sheetView topLeftCell="A30" workbookViewId="0">
      <pane ySplit="1" topLeftCell="A31" activePane="bottomLeft" state="frozen"/>
      <selection activeCell="A30" sqref="A30"/>
      <selection pane="bottomLeft" activeCell="A47" sqref="A47:K49"/>
    </sheetView>
  </sheetViews>
  <sheetFormatPr baseColWidth="10" defaultRowHeight="14" x14ac:dyDescent="0.3"/>
  <cols>
    <col min="1" max="1" width="3.69921875" customWidth="1"/>
  </cols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24</v>
      </c>
      <c r="B2" s="1">
        <v>45772</v>
      </c>
      <c r="C2" s="2">
        <v>2939</v>
      </c>
      <c r="D2" t="s">
        <v>26</v>
      </c>
      <c r="E2" t="s">
        <v>25</v>
      </c>
      <c r="H2" s="2">
        <v>5014</v>
      </c>
      <c r="I2" s="2">
        <v>-4599126</v>
      </c>
    </row>
    <row r="3" spans="1:9" hidden="1" x14ac:dyDescent="0.3">
      <c r="A3" t="s">
        <v>33</v>
      </c>
      <c r="B3" s="1">
        <v>45792</v>
      </c>
      <c r="C3" s="2">
        <v>2745</v>
      </c>
      <c r="D3" t="s">
        <v>34</v>
      </c>
      <c r="E3" t="s">
        <v>25</v>
      </c>
      <c r="G3" s="2">
        <v>5014</v>
      </c>
      <c r="I3" s="2">
        <v>-616777</v>
      </c>
    </row>
    <row r="4" spans="1:9" hidden="1" x14ac:dyDescent="0.3">
      <c r="A4" t="s">
        <v>41</v>
      </c>
      <c r="B4" s="1">
        <v>45805</v>
      </c>
      <c r="C4" s="2">
        <v>2908</v>
      </c>
      <c r="D4" t="s">
        <v>42</v>
      </c>
      <c r="E4" t="s">
        <v>25</v>
      </c>
      <c r="H4" s="2">
        <v>71087</v>
      </c>
      <c r="I4" s="2">
        <v>-157860</v>
      </c>
    </row>
    <row r="5" spans="1:9" hidden="1" x14ac:dyDescent="0.3">
      <c r="A5" t="s">
        <v>58</v>
      </c>
      <c r="B5" s="1">
        <v>45820</v>
      </c>
      <c r="C5" s="2">
        <v>2860</v>
      </c>
      <c r="D5" t="s">
        <v>34</v>
      </c>
      <c r="E5" t="s">
        <v>25</v>
      </c>
      <c r="G5" s="2">
        <v>71087</v>
      </c>
      <c r="I5" s="2">
        <v>-182324</v>
      </c>
    </row>
    <row r="6" spans="1:9" hidden="1" x14ac:dyDescent="0.3">
      <c r="A6" t="s">
        <v>65</v>
      </c>
      <c r="B6" s="1">
        <v>45834</v>
      </c>
      <c r="C6" s="2">
        <v>2914</v>
      </c>
      <c r="D6" t="s">
        <v>26</v>
      </c>
      <c r="E6" t="s">
        <v>25</v>
      </c>
      <c r="H6" s="2">
        <v>4322</v>
      </c>
      <c r="I6" s="2">
        <v>-1609478</v>
      </c>
    </row>
    <row r="7" spans="1:9" hidden="1" x14ac:dyDescent="0.3">
      <c r="A7" t="s">
        <v>77</v>
      </c>
      <c r="B7" s="1">
        <v>45848</v>
      </c>
      <c r="C7" s="2">
        <v>3051</v>
      </c>
      <c r="D7" t="s">
        <v>34</v>
      </c>
      <c r="E7" t="s">
        <v>25</v>
      </c>
      <c r="G7" s="2">
        <v>20216</v>
      </c>
      <c r="I7" s="2">
        <v>-702028</v>
      </c>
    </row>
    <row r="8" spans="1:9" hidden="1" x14ac:dyDescent="0.3">
      <c r="A8" t="s">
        <v>93</v>
      </c>
      <c r="B8" s="1">
        <v>45869</v>
      </c>
      <c r="C8" s="2">
        <v>3284</v>
      </c>
      <c r="D8" t="s">
        <v>94</v>
      </c>
      <c r="E8" t="s">
        <v>25</v>
      </c>
      <c r="H8" s="2">
        <v>181839</v>
      </c>
      <c r="I8" s="2">
        <v>-13170591</v>
      </c>
    </row>
    <row r="9" spans="1:9" hidden="1" x14ac:dyDescent="0.3">
      <c r="A9" t="s">
        <v>101</v>
      </c>
      <c r="B9" s="1">
        <v>45869</v>
      </c>
      <c r="C9" s="2">
        <v>3300</v>
      </c>
      <c r="D9" t="s">
        <v>102</v>
      </c>
      <c r="E9" t="s">
        <v>25</v>
      </c>
      <c r="H9" s="2">
        <v>819483</v>
      </c>
      <c r="I9" s="2">
        <v>-18296477</v>
      </c>
    </row>
    <row r="10" spans="1:9" hidden="1" x14ac:dyDescent="0.3">
      <c r="A10" t="s">
        <v>111</v>
      </c>
      <c r="B10" s="1">
        <v>45869</v>
      </c>
      <c r="C10" s="2">
        <v>3305</v>
      </c>
      <c r="D10" t="s">
        <v>112</v>
      </c>
      <c r="E10" t="s">
        <v>25</v>
      </c>
      <c r="H10" s="2">
        <v>221541</v>
      </c>
      <c r="I10" s="2">
        <v>-20886375</v>
      </c>
    </row>
    <row r="11" spans="1:9" hidden="1" x14ac:dyDescent="0.3">
      <c r="A11" t="s">
        <v>24</v>
      </c>
      <c r="B11" s="1">
        <v>45772</v>
      </c>
      <c r="C11" s="2">
        <v>2939</v>
      </c>
      <c r="D11" t="s">
        <v>26</v>
      </c>
      <c r="E11" t="s">
        <v>25</v>
      </c>
      <c r="G11">
        <v>45.39</v>
      </c>
      <c r="H11">
        <v>45.39</v>
      </c>
      <c r="I11">
        <v>-294.57</v>
      </c>
    </row>
    <row r="12" spans="1:9" hidden="1" x14ac:dyDescent="0.3">
      <c r="A12" t="s">
        <v>65</v>
      </c>
      <c r="B12" s="1">
        <v>45834</v>
      </c>
      <c r="C12" s="2">
        <v>2914</v>
      </c>
      <c r="D12" t="s">
        <v>26</v>
      </c>
      <c r="E12" t="s">
        <v>25</v>
      </c>
      <c r="G12">
        <v>16.73</v>
      </c>
      <c r="H12">
        <v>16.73</v>
      </c>
      <c r="I12" s="3">
        <v>-5059</v>
      </c>
    </row>
    <row r="13" spans="1:9" hidden="1" x14ac:dyDescent="0.3"/>
    <row r="14" spans="1:9" hidden="1" x14ac:dyDescent="0.3"/>
    <row r="15" spans="1:9" hidden="1" x14ac:dyDescent="0.3">
      <c r="D15" s="9" t="s">
        <v>132</v>
      </c>
      <c r="F15" s="10">
        <v>0</v>
      </c>
    </row>
    <row r="16" spans="1:9" hidden="1" x14ac:dyDescent="0.3"/>
    <row r="17" spans="2:9" hidden="1" x14ac:dyDescent="0.3"/>
    <row r="18" spans="2:9" hidden="1" x14ac:dyDescent="0.3">
      <c r="B18" s="11" t="s">
        <v>2</v>
      </c>
      <c r="C18" s="11" t="s">
        <v>3</v>
      </c>
      <c r="D18" s="11"/>
      <c r="E18" s="11" t="s">
        <v>4</v>
      </c>
      <c r="G18" s="11" t="s">
        <v>6</v>
      </c>
      <c r="H18" s="11" t="s">
        <v>7</v>
      </c>
      <c r="I18" s="11" t="s">
        <v>8</v>
      </c>
    </row>
    <row r="19" spans="2:9" hidden="1" x14ac:dyDescent="0.3">
      <c r="B19" s="1">
        <v>45772</v>
      </c>
      <c r="C19" s="2">
        <v>2939</v>
      </c>
      <c r="D19" t="s">
        <v>26</v>
      </c>
      <c r="E19" t="s">
        <v>25</v>
      </c>
      <c r="H19" s="6">
        <v>5014</v>
      </c>
      <c r="I19" s="2">
        <v>-4477448</v>
      </c>
    </row>
    <row r="20" spans="2:9" hidden="1" x14ac:dyDescent="0.3">
      <c r="B20" s="1">
        <v>45792</v>
      </c>
      <c r="C20" s="2">
        <v>2745</v>
      </c>
      <c r="D20" t="s">
        <v>34</v>
      </c>
      <c r="E20" t="s">
        <v>25</v>
      </c>
      <c r="G20" s="6">
        <v>5014</v>
      </c>
      <c r="I20" s="2">
        <v>-456983</v>
      </c>
    </row>
    <row r="21" spans="2:9" hidden="1" x14ac:dyDescent="0.3">
      <c r="B21" s="1">
        <v>45805</v>
      </c>
      <c r="C21" s="2">
        <v>2908</v>
      </c>
      <c r="D21" t="s">
        <v>42</v>
      </c>
      <c r="E21" t="s">
        <v>25</v>
      </c>
      <c r="H21" s="6">
        <v>71087</v>
      </c>
      <c r="I21" s="2">
        <v>-236772</v>
      </c>
    </row>
    <row r="22" spans="2:9" hidden="1" x14ac:dyDescent="0.3">
      <c r="B22" s="1">
        <v>45820</v>
      </c>
      <c r="C22" s="2">
        <v>2860</v>
      </c>
      <c r="D22" t="s">
        <v>34</v>
      </c>
      <c r="E22" t="s">
        <v>25</v>
      </c>
      <c r="G22" s="6">
        <v>71087</v>
      </c>
      <c r="I22" s="2">
        <v>-114598</v>
      </c>
    </row>
    <row r="23" spans="2:9" hidden="1" x14ac:dyDescent="0.3">
      <c r="B23" s="1">
        <v>45834</v>
      </c>
      <c r="C23" s="2">
        <v>2914</v>
      </c>
      <c r="D23" t="s">
        <v>26</v>
      </c>
      <c r="E23" t="s">
        <v>25</v>
      </c>
      <c r="H23" s="2">
        <v>4322</v>
      </c>
      <c r="I23" s="2">
        <v>-1532752</v>
      </c>
    </row>
    <row r="24" spans="2:9" hidden="1" x14ac:dyDescent="0.3">
      <c r="B24" s="1">
        <v>45848</v>
      </c>
      <c r="C24" s="2">
        <v>3051</v>
      </c>
      <c r="D24" t="s">
        <v>34</v>
      </c>
      <c r="E24" t="s">
        <v>25</v>
      </c>
      <c r="G24" s="2">
        <v>20216</v>
      </c>
      <c r="I24" s="2">
        <v>-504572</v>
      </c>
    </row>
    <row r="25" spans="2:9" hidden="1" x14ac:dyDescent="0.3">
      <c r="B25" s="1">
        <v>45869</v>
      </c>
      <c r="C25" s="2">
        <v>3284</v>
      </c>
      <c r="D25" t="s">
        <v>94</v>
      </c>
      <c r="E25" t="s">
        <v>25</v>
      </c>
      <c r="H25" s="13">
        <v>181839</v>
      </c>
      <c r="I25" s="2">
        <v>-14437128</v>
      </c>
    </row>
    <row r="26" spans="2:9" hidden="1" x14ac:dyDescent="0.3">
      <c r="B26" s="1">
        <v>45869</v>
      </c>
      <c r="C26" s="2">
        <v>3300</v>
      </c>
      <c r="D26" t="s">
        <v>102</v>
      </c>
      <c r="E26" t="s">
        <v>25</v>
      </c>
      <c r="H26" s="13">
        <v>819483</v>
      </c>
      <c r="I26" s="2">
        <v>-19563014</v>
      </c>
    </row>
    <row r="27" spans="2:9" hidden="1" x14ac:dyDescent="0.3">
      <c r="B27" s="1">
        <v>45869</v>
      </c>
      <c r="C27" s="2">
        <v>3305</v>
      </c>
      <c r="D27" t="s">
        <v>112</v>
      </c>
      <c r="E27" t="s">
        <v>25</v>
      </c>
      <c r="H27" s="13">
        <v>221541</v>
      </c>
      <c r="I27" s="2">
        <v>-22152912</v>
      </c>
    </row>
    <row r="28" spans="2:9" hidden="1" x14ac:dyDescent="0.3">
      <c r="B28" s="1">
        <v>45869</v>
      </c>
      <c r="C28" s="2">
        <v>3465</v>
      </c>
      <c r="D28" t="s">
        <v>169</v>
      </c>
      <c r="E28" t="s">
        <v>25</v>
      </c>
      <c r="H28" s="2">
        <v>100602</v>
      </c>
      <c r="I28" s="2">
        <v>-27352524</v>
      </c>
    </row>
    <row r="29" spans="2:9" hidden="1" x14ac:dyDescent="0.3"/>
    <row r="30" spans="2:9" x14ac:dyDescent="0.3">
      <c r="B30" s="14" t="s">
        <v>2</v>
      </c>
      <c r="C30" s="14" t="s">
        <v>3</v>
      </c>
      <c r="D30" s="14"/>
      <c r="E30" s="14" t="s">
        <v>4</v>
      </c>
      <c r="F30" s="14" t="s">
        <v>5</v>
      </c>
      <c r="G30" s="14" t="s">
        <v>6</v>
      </c>
      <c r="H30" s="14" t="s">
        <v>7</v>
      </c>
      <c r="I30" s="14" t="s">
        <v>8</v>
      </c>
    </row>
    <row r="31" spans="2:9" x14ac:dyDescent="0.3">
      <c r="B31" s="1">
        <v>45772</v>
      </c>
      <c r="C31" s="2">
        <v>2939</v>
      </c>
      <c r="D31" t="s">
        <v>26</v>
      </c>
      <c r="E31" t="s">
        <v>25</v>
      </c>
      <c r="H31" s="2">
        <v>5014</v>
      </c>
      <c r="I31" s="2">
        <f>-H31</f>
        <v>-5014</v>
      </c>
    </row>
    <row r="32" spans="2:9" x14ac:dyDescent="0.3">
      <c r="B32" s="1">
        <v>45792</v>
      </c>
      <c r="C32" s="2">
        <v>2745</v>
      </c>
      <c r="D32" t="s">
        <v>34</v>
      </c>
      <c r="E32" t="s">
        <v>25</v>
      </c>
      <c r="G32" s="2">
        <v>5014</v>
      </c>
      <c r="I32" s="2">
        <f>I31+G32-H32</f>
        <v>0</v>
      </c>
    </row>
    <row r="33" spans="1:9" x14ac:dyDescent="0.3">
      <c r="B33" s="1">
        <v>45805</v>
      </c>
      <c r="C33" s="2">
        <v>2908</v>
      </c>
      <c r="D33" t="s">
        <v>42</v>
      </c>
      <c r="E33" t="s">
        <v>25</v>
      </c>
      <c r="H33" s="2">
        <v>71087</v>
      </c>
      <c r="I33" s="2">
        <f t="shared" ref="I33:I47" si="0">I32+G33-H33</f>
        <v>-71087</v>
      </c>
    </row>
    <row r="34" spans="1:9" x14ac:dyDescent="0.3">
      <c r="B34" s="1">
        <v>45820</v>
      </c>
      <c r="C34" s="2">
        <v>2860</v>
      </c>
      <c r="D34" t="s">
        <v>34</v>
      </c>
      <c r="E34" t="s">
        <v>25</v>
      </c>
      <c r="G34" s="2">
        <v>71087</v>
      </c>
      <c r="I34" s="2">
        <f t="shared" si="0"/>
        <v>0</v>
      </c>
    </row>
    <row r="35" spans="1:9" x14ac:dyDescent="0.3">
      <c r="B35" s="1">
        <v>45834</v>
      </c>
      <c r="C35" s="2">
        <v>2914</v>
      </c>
      <c r="D35" t="s">
        <v>26</v>
      </c>
      <c r="E35" t="s">
        <v>25</v>
      </c>
      <c r="H35" s="2">
        <v>4322</v>
      </c>
      <c r="I35" s="2">
        <f t="shared" si="0"/>
        <v>-4322</v>
      </c>
    </row>
    <row r="36" spans="1:9" x14ac:dyDescent="0.3">
      <c r="B36" s="1">
        <v>45848</v>
      </c>
      <c r="C36" s="2">
        <v>3051</v>
      </c>
      <c r="D36" t="s">
        <v>34</v>
      </c>
      <c r="E36" t="s">
        <v>25</v>
      </c>
      <c r="G36" s="2">
        <v>20216</v>
      </c>
      <c r="I36" s="2">
        <f t="shared" si="0"/>
        <v>15894</v>
      </c>
    </row>
    <row r="37" spans="1:9" x14ac:dyDescent="0.3">
      <c r="B37" s="1">
        <v>45869</v>
      </c>
      <c r="C37" s="2">
        <v>3284</v>
      </c>
      <c r="D37" t="s">
        <v>94</v>
      </c>
      <c r="E37" t="s">
        <v>25</v>
      </c>
      <c r="H37" s="2">
        <v>181839</v>
      </c>
      <c r="I37" s="2">
        <f t="shared" si="0"/>
        <v>-165945</v>
      </c>
    </row>
    <row r="38" spans="1:9" x14ac:dyDescent="0.3">
      <c r="B38" s="1">
        <v>45869</v>
      </c>
      <c r="C38" s="2">
        <v>3300</v>
      </c>
      <c r="D38" t="s">
        <v>102</v>
      </c>
      <c r="E38" t="s">
        <v>25</v>
      </c>
      <c r="H38" s="2">
        <v>819483</v>
      </c>
      <c r="I38" s="2">
        <f t="shared" si="0"/>
        <v>-985428</v>
      </c>
    </row>
    <row r="39" spans="1:9" x14ac:dyDescent="0.3">
      <c r="B39" s="1">
        <v>45869</v>
      </c>
      <c r="C39" s="2">
        <v>3305</v>
      </c>
      <c r="D39" t="s">
        <v>112</v>
      </c>
      <c r="E39" t="s">
        <v>25</v>
      </c>
      <c r="H39" s="2">
        <v>221541</v>
      </c>
      <c r="I39" s="2">
        <f t="shared" si="0"/>
        <v>-1206969</v>
      </c>
    </row>
    <row r="40" spans="1:9" x14ac:dyDescent="0.3">
      <c r="B40" s="1">
        <v>45869</v>
      </c>
      <c r="C40" s="2">
        <v>3465</v>
      </c>
      <c r="D40" t="s">
        <v>169</v>
      </c>
      <c r="E40" t="s">
        <v>25</v>
      </c>
      <c r="H40" s="2">
        <v>100602</v>
      </c>
      <c r="I40" s="2">
        <f t="shared" si="0"/>
        <v>-1307571</v>
      </c>
    </row>
    <row r="41" spans="1:9" x14ac:dyDescent="0.3">
      <c r="B41" s="1">
        <v>45869</v>
      </c>
      <c r="C41" s="2">
        <v>3574</v>
      </c>
      <c r="D41" t="s">
        <v>194</v>
      </c>
      <c r="E41" t="s">
        <v>25</v>
      </c>
      <c r="G41" s="2">
        <v>84708</v>
      </c>
      <c r="I41" s="2">
        <f t="shared" si="0"/>
        <v>-1222863</v>
      </c>
    </row>
    <row r="42" spans="1:9" x14ac:dyDescent="0.3">
      <c r="B42" s="1">
        <v>45701</v>
      </c>
      <c r="C42" s="2">
        <v>2283</v>
      </c>
      <c r="D42" t="s">
        <v>173</v>
      </c>
      <c r="E42" t="s">
        <v>25</v>
      </c>
      <c r="G42" s="2">
        <v>181839</v>
      </c>
      <c r="I42" s="2">
        <f t="shared" si="0"/>
        <v>-1041024</v>
      </c>
    </row>
    <row r="43" spans="1:9" x14ac:dyDescent="0.3">
      <c r="B43" s="1">
        <v>45729</v>
      </c>
      <c r="C43" s="2">
        <v>2344</v>
      </c>
      <c r="D43" t="s">
        <v>180</v>
      </c>
      <c r="E43" t="s">
        <v>25</v>
      </c>
      <c r="G43" s="2">
        <v>819483</v>
      </c>
      <c r="I43" s="2">
        <f t="shared" si="0"/>
        <v>-221541</v>
      </c>
    </row>
    <row r="44" spans="1:9" x14ac:dyDescent="0.3">
      <c r="B44" s="1">
        <v>45762</v>
      </c>
      <c r="C44" s="2">
        <v>2508</v>
      </c>
      <c r="D44" t="s">
        <v>184</v>
      </c>
      <c r="E44" t="s">
        <v>25</v>
      </c>
      <c r="G44" s="2">
        <v>221541</v>
      </c>
      <c r="I44" s="2">
        <f t="shared" si="0"/>
        <v>0</v>
      </c>
    </row>
    <row r="45" spans="1:9" x14ac:dyDescent="0.3">
      <c r="A45" t="s">
        <v>257</v>
      </c>
      <c r="B45" s="1">
        <v>45987</v>
      </c>
      <c r="C45" s="2">
        <v>3956</v>
      </c>
      <c r="D45" t="str">
        <f t="shared" ref="D45" si="1">+A45</f>
        <v>adig/1768</v>
      </c>
      <c r="E45" t="s">
        <v>25</v>
      </c>
      <c r="H45" s="2">
        <v>447848</v>
      </c>
      <c r="I45" s="2">
        <f t="shared" si="0"/>
        <v>-447848</v>
      </c>
    </row>
    <row r="46" spans="1:9" x14ac:dyDescent="0.3">
      <c r="A46" t="s">
        <v>272</v>
      </c>
      <c r="B46" s="1">
        <v>46006</v>
      </c>
      <c r="C46" s="2">
        <v>4057</v>
      </c>
      <c r="D46" t="s">
        <v>34</v>
      </c>
      <c r="E46" t="s">
        <v>25</v>
      </c>
      <c r="G46" s="2">
        <v>447848</v>
      </c>
      <c r="I46" s="2">
        <f t="shared" si="0"/>
        <v>0</v>
      </c>
    </row>
    <row r="47" spans="1:9" x14ac:dyDescent="0.3">
      <c r="A47" t="s">
        <v>273</v>
      </c>
      <c r="B47" s="1">
        <v>46017</v>
      </c>
      <c r="C47" s="2">
        <v>4129</v>
      </c>
      <c r="D47" t="s">
        <v>26</v>
      </c>
      <c r="E47" t="s">
        <v>25</v>
      </c>
      <c r="H47" s="2">
        <v>7314</v>
      </c>
      <c r="I47" s="15">
        <f t="shared" si="0"/>
        <v>-7314</v>
      </c>
    </row>
    <row r="49" spans="1:11" x14ac:dyDescent="0.3">
      <c r="A49" t="s">
        <v>273</v>
      </c>
      <c r="B49" s="1">
        <v>46017</v>
      </c>
      <c r="C49" s="2">
        <v>4129</v>
      </c>
      <c r="D49" t="s">
        <v>26</v>
      </c>
      <c r="E49" t="s">
        <v>25</v>
      </c>
      <c r="H49">
        <v>144.43</v>
      </c>
      <c r="I49">
        <f>-H49</f>
        <v>-144.43</v>
      </c>
      <c r="J49" s="2">
        <f>-H49*907.13</f>
        <v>-131016.7859</v>
      </c>
      <c r="K49" s="19">
        <f>+J49+I47</f>
        <v>-138330.78590000002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A60E-AC75-480A-B6DE-37BFC7FDAC0D}">
  <dimension ref="A1:K53"/>
  <sheetViews>
    <sheetView topLeftCell="A23" workbookViewId="0">
      <selection activeCell="H43" sqref="H43"/>
    </sheetView>
  </sheetViews>
  <sheetFormatPr baseColWidth="10" defaultRowHeight="14" x14ac:dyDescent="0.3"/>
  <cols>
    <col min="7" max="9" width="11.19921875" style="4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9" x14ac:dyDescent="0.3">
      <c r="A2" s="16" t="s">
        <v>674</v>
      </c>
      <c r="B2" s="16" t="s">
        <v>675</v>
      </c>
      <c r="C2" s="25">
        <v>45678</v>
      </c>
      <c r="D2" s="16" t="s">
        <v>312</v>
      </c>
      <c r="E2" s="16" t="s">
        <v>676</v>
      </c>
      <c r="F2" s="16" t="s">
        <v>677</v>
      </c>
      <c r="G2" s="28">
        <v>0</v>
      </c>
      <c r="H2" s="28">
        <v>108000</v>
      </c>
      <c r="I2" s="28">
        <f>+G2-H2</f>
        <v>-108000</v>
      </c>
    </row>
    <row r="3" spans="1:9" x14ac:dyDescent="0.3">
      <c r="A3" s="16" t="s">
        <v>674</v>
      </c>
      <c r="B3" s="16" t="s">
        <v>675</v>
      </c>
      <c r="C3" s="25">
        <v>45686</v>
      </c>
      <c r="D3" s="16" t="s">
        <v>305</v>
      </c>
      <c r="E3" s="16" t="s">
        <v>311</v>
      </c>
      <c r="F3" s="16"/>
      <c r="G3" s="28">
        <v>0</v>
      </c>
      <c r="H3" s="28">
        <v>3839</v>
      </c>
      <c r="I3" s="28">
        <f>I2+G3-H3</f>
        <v>-111839</v>
      </c>
    </row>
    <row r="4" spans="1:9" x14ac:dyDescent="0.3">
      <c r="A4" s="16" t="s">
        <v>674</v>
      </c>
      <c r="B4" s="16" t="s">
        <v>675</v>
      </c>
      <c r="C4" s="25">
        <v>45687</v>
      </c>
      <c r="D4" s="16" t="s">
        <v>312</v>
      </c>
      <c r="E4" s="16" t="s">
        <v>313</v>
      </c>
      <c r="F4" s="16" t="s">
        <v>678</v>
      </c>
      <c r="G4" s="28">
        <v>0</v>
      </c>
      <c r="H4" s="28">
        <v>651180</v>
      </c>
      <c r="I4" s="28">
        <f t="shared" ref="I4:I44" si="0">I3+G4-H4</f>
        <v>-763019</v>
      </c>
    </row>
    <row r="5" spans="1:9" x14ac:dyDescent="0.3">
      <c r="A5" s="16" t="s">
        <v>674</v>
      </c>
      <c r="B5" s="16" t="s">
        <v>675</v>
      </c>
      <c r="C5" s="25">
        <v>45691</v>
      </c>
      <c r="D5" s="16" t="s">
        <v>305</v>
      </c>
      <c r="E5" s="16" t="s">
        <v>679</v>
      </c>
      <c r="F5" s="16"/>
      <c r="G5" s="28">
        <v>0</v>
      </c>
      <c r="H5" s="28">
        <v>8600</v>
      </c>
      <c r="I5" s="28">
        <f t="shared" si="0"/>
        <v>-771619</v>
      </c>
    </row>
    <row r="6" spans="1:9" x14ac:dyDescent="0.3">
      <c r="A6" s="16" t="s">
        <v>674</v>
      </c>
      <c r="B6" s="16" t="s">
        <v>675</v>
      </c>
      <c r="C6" s="25">
        <v>45692</v>
      </c>
      <c r="D6" s="16" t="s">
        <v>305</v>
      </c>
      <c r="E6" s="16" t="s">
        <v>311</v>
      </c>
      <c r="F6" s="16"/>
      <c r="G6" s="28">
        <v>0</v>
      </c>
      <c r="H6" s="28">
        <v>384</v>
      </c>
      <c r="I6" s="28">
        <f t="shared" si="0"/>
        <v>-772003</v>
      </c>
    </row>
    <row r="7" spans="1:9" x14ac:dyDescent="0.3">
      <c r="A7" s="16" t="s">
        <v>674</v>
      </c>
      <c r="B7" s="16" t="s">
        <v>675</v>
      </c>
      <c r="C7" s="25">
        <v>45700</v>
      </c>
      <c r="D7" s="16" t="s">
        <v>305</v>
      </c>
      <c r="E7" s="16" t="s">
        <v>680</v>
      </c>
      <c r="F7" s="16"/>
      <c r="G7" s="28">
        <v>0</v>
      </c>
      <c r="H7" s="28">
        <v>129000</v>
      </c>
      <c r="I7" s="28">
        <f t="shared" si="0"/>
        <v>-901003</v>
      </c>
    </row>
    <row r="8" spans="1:9" x14ac:dyDescent="0.3">
      <c r="A8" s="16" t="s">
        <v>674</v>
      </c>
      <c r="B8" s="16" t="s">
        <v>675</v>
      </c>
      <c r="C8" s="25">
        <v>45700</v>
      </c>
      <c r="D8" s="16" t="s">
        <v>305</v>
      </c>
      <c r="E8" s="16" t="s">
        <v>681</v>
      </c>
      <c r="F8" s="16"/>
      <c r="G8" s="28">
        <v>0</v>
      </c>
      <c r="H8" s="28">
        <v>21417</v>
      </c>
      <c r="I8" s="28">
        <f t="shared" si="0"/>
        <v>-922420</v>
      </c>
    </row>
    <row r="9" spans="1:9" x14ac:dyDescent="0.3">
      <c r="A9" s="16" t="s">
        <v>674</v>
      </c>
      <c r="B9" s="16" t="s">
        <v>675</v>
      </c>
      <c r="C9" s="25">
        <v>45701</v>
      </c>
      <c r="D9" s="16" t="s">
        <v>308</v>
      </c>
      <c r="E9" s="16" t="s">
        <v>682</v>
      </c>
      <c r="F9" s="16" t="s">
        <v>683</v>
      </c>
      <c r="G9" s="28">
        <v>181839</v>
      </c>
      <c r="H9" s="28">
        <v>0</v>
      </c>
      <c r="I9" s="28">
        <f t="shared" si="0"/>
        <v>-740581</v>
      </c>
    </row>
    <row r="10" spans="1:9" x14ac:dyDescent="0.3">
      <c r="A10" s="16" t="s">
        <v>674</v>
      </c>
      <c r="B10" s="16" t="s">
        <v>675</v>
      </c>
      <c r="C10" s="25">
        <v>45701</v>
      </c>
      <c r="D10" s="16" t="s">
        <v>305</v>
      </c>
      <c r="E10" s="16" t="s">
        <v>684</v>
      </c>
      <c r="F10" s="16"/>
      <c r="G10" s="28">
        <v>0</v>
      </c>
      <c r="H10" s="28">
        <v>199754.1</v>
      </c>
      <c r="I10" s="28">
        <f t="shared" si="0"/>
        <v>-940335.1</v>
      </c>
    </row>
    <row r="11" spans="1:9" x14ac:dyDescent="0.3">
      <c r="A11" s="16" t="s">
        <v>674</v>
      </c>
      <c r="B11" s="16" t="s">
        <v>675</v>
      </c>
      <c r="C11" s="25">
        <v>45702</v>
      </c>
      <c r="D11" s="16" t="s">
        <v>305</v>
      </c>
      <c r="E11" s="16" t="s">
        <v>311</v>
      </c>
      <c r="F11" s="16"/>
      <c r="G11" s="28">
        <v>0</v>
      </c>
      <c r="H11" s="28">
        <v>5040</v>
      </c>
      <c r="I11" s="28">
        <f t="shared" si="0"/>
        <v>-945375.1</v>
      </c>
    </row>
    <row r="12" spans="1:9" x14ac:dyDescent="0.3">
      <c r="A12" s="16" t="s">
        <v>674</v>
      </c>
      <c r="B12" s="16" t="s">
        <v>675</v>
      </c>
      <c r="C12" s="25">
        <v>45714</v>
      </c>
      <c r="D12" s="16" t="s">
        <v>305</v>
      </c>
      <c r="E12" s="16" t="s">
        <v>311</v>
      </c>
      <c r="F12" s="16"/>
      <c r="G12" s="28">
        <v>0</v>
      </c>
      <c r="H12" s="28">
        <v>3862</v>
      </c>
      <c r="I12" s="28">
        <f t="shared" si="0"/>
        <v>-949237.1</v>
      </c>
    </row>
    <row r="13" spans="1:9" x14ac:dyDescent="0.3">
      <c r="A13" s="16" t="s">
        <v>674</v>
      </c>
      <c r="B13" s="16" t="s">
        <v>675</v>
      </c>
      <c r="C13" s="25">
        <v>45729</v>
      </c>
      <c r="D13" s="16" t="s">
        <v>308</v>
      </c>
      <c r="E13" s="16" t="s">
        <v>685</v>
      </c>
      <c r="F13" s="16" t="s">
        <v>686</v>
      </c>
      <c r="G13" s="28">
        <v>819483</v>
      </c>
      <c r="H13" s="28">
        <v>0</v>
      </c>
      <c r="I13" s="28">
        <f t="shared" si="0"/>
        <v>-129754.09999999998</v>
      </c>
    </row>
    <row r="14" spans="1:9" x14ac:dyDescent="0.3">
      <c r="A14" s="16" t="s">
        <v>674</v>
      </c>
      <c r="B14" s="16" t="s">
        <v>675</v>
      </c>
      <c r="C14" s="25">
        <v>45743</v>
      </c>
      <c r="D14" s="16" t="s">
        <v>305</v>
      </c>
      <c r="E14" s="16" t="s">
        <v>311</v>
      </c>
      <c r="F14" s="16"/>
      <c r="G14" s="28">
        <v>0</v>
      </c>
      <c r="H14" s="28">
        <v>133</v>
      </c>
      <c r="I14" s="28">
        <f t="shared" si="0"/>
        <v>-129887.09999999998</v>
      </c>
    </row>
    <row r="15" spans="1:9" x14ac:dyDescent="0.3">
      <c r="A15" s="16" t="s">
        <v>674</v>
      </c>
      <c r="B15" s="16" t="s">
        <v>675</v>
      </c>
      <c r="C15" s="25">
        <v>45743</v>
      </c>
      <c r="D15" s="16" t="s">
        <v>305</v>
      </c>
      <c r="E15" s="16" t="s">
        <v>311</v>
      </c>
      <c r="F15" s="16"/>
      <c r="G15" s="28">
        <v>0</v>
      </c>
      <c r="H15" s="28">
        <v>3887</v>
      </c>
      <c r="I15" s="28">
        <f t="shared" si="0"/>
        <v>-133774.09999999998</v>
      </c>
    </row>
    <row r="16" spans="1:9" x14ac:dyDescent="0.3">
      <c r="A16" s="16" t="s">
        <v>674</v>
      </c>
      <c r="B16" s="16" t="s">
        <v>675</v>
      </c>
      <c r="C16" s="25">
        <v>45743</v>
      </c>
      <c r="D16" s="16" t="s">
        <v>305</v>
      </c>
      <c r="E16" s="16" t="s">
        <v>311</v>
      </c>
      <c r="F16" s="16"/>
      <c r="G16" s="28">
        <v>0</v>
      </c>
      <c r="H16" s="28">
        <v>5921</v>
      </c>
      <c r="I16" s="28">
        <f t="shared" si="0"/>
        <v>-139695.09999999998</v>
      </c>
    </row>
    <row r="17" spans="1:9" x14ac:dyDescent="0.3">
      <c r="A17" s="16" t="s">
        <v>674</v>
      </c>
      <c r="B17" s="16" t="s">
        <v>675</v>
      </c>
      <c r="C17" s="25">
        <v>45744</v>
      </c>
      <c r="D17" s="16" t="s">
        <v>305</v>
      </c>
      <c r="E17" s="16" t="s">
        <v>306</v>
      </c>
      <c r="F17" s="16" t="s">
        <v>687</v>
      </c>
      <c r="G17" s="28">
        <v>0</v>
      </c>
      <c r="H17" s="28">
        <v>10000</v>
      </c>
      <c r="I17" s="28">
        <f t="shared" si="0"/>
        <v>-149695.09999999998</v>
      </c>
    </row>
    <row r="18" spans="1:9" x14ac:dyDescent="0.3">
      <c r="A18" s="16" t="s">
        <v>674</v>
      </c>
      <c r="B18" s="16" t="s">
        <v>675</v>
      </c>
      <c r="C18" s="25">
        <v>45747</v>
      </c>
      <c r="D18" s="16" t="s">
        <v>305</v>
      </c>
      <c r="E18" s="16" t="s">
        <v>311</v>
      </c>
      <c r="F18" s="16"/>
      <c r="G18" s="28">
        <v>0</v>
      </c>
      <c r="H18" s="28">
        <v>1845.9</v>
      </c>
      <c r="I18" s="28">
        <f t="shared" si="0"/>
        <v>-151540.99999999997</v>
      </c>
    </row>
    <row r="19" spans="1:9" x14ac:dyDescent="0.3">
      <c r="A19" s="16" t="s">
        <v>674</v>
      </c>
      <c r="B19" s="16" t="s">
        <v>675</v>
      </c>
      <c r="C19" s="25">
        <v>45748</v>
      </c>
      <c r="D19" s="16" t="s">
        <v>305</v>
      </c>
      <c r="E19" s="16" t="s">
        <v>306</v>
      </c>
      <c r="F19" s="16" t="s">
        <v>688</v>
      </c>
      <c r="G19" s="28">
        <v>0</v>
      </c>
      <c r="H19" s="28">
        <v>36049.42</v>
      </c>
      <c r="I19" s="28">
        <f t="shared" si="0"/>
        <v>-187590.41999999998</v>
      </c>
    </row>
    <row r="20" spans="1:9" x14ac:dyDescent="0.3">
      <c r="A20" s="16" t="s">
        <v>674</v>
      </c>
      <c r="B20" s="16" t="s">
        <v>675</v>
      </c>
      <c r="C20" s="25">
        <v>45748</v>
      </c>
      <c r="D20" s="16" t="s">
        <v>305</v>
      </c>
      <c r="E20" s="16" t="s">
        <v>306</v>
      </c>
      <c r="F20" s="16" t="s">
        <v>689</v>
      </c>
      <c r="G20" s="28">
        <v>0</v>
      </c>
      <c r="H20" s="28">
        <v>6517.78</v>
      </c>
      <c r="I20" s="28">
        <f t="shared" si="0"/>
        <v>-194108.19999999998</v>
      </c>
    </row>
    <row r="21" spans="1:9" x14ac:dyDescent="0.3">
      <c r="A21" s="16" t="s">
        <v>674</v>
      </c>
      <c r="B21" s="16" t="s">
        <v>675</v>
      </c>
      <c r="C21" s="25">
        <v>45762</v>
      </c>
      <c r="D21" s="16" t="s">
        <v>308</v>
      </c>
      <c r="E21" s="16" t="s">
        <v>685</v>
      </c>
      <c r="F21" s="16" t="s">
        <v>690</v>
      </c>
      <c r="G21" s="28">
        <v>221541</v>
      </c>
      <c r="H21" s="28">
        <v>0</v>
      </c>
      <c r="I21" s="28">
        <f t="shared" si="0"/>
        <v>27432.800000000017</v>
      </c>
    </row>
    <row r="22" spans="1:9" x14ac:dyDescent="0.3">
      <c r="A22" s="16" t="s">
        <v>674</v>
      </c>
      <c r="B22" s="16" t="s">
        <v>675</v>
      </c>
      <c r="C22" s="25">
        <v>45781</v>
      </c>
      <c r="D22" s="16" t="s">
        <v>305</v>
      </c>
      <c r="E22" s="16" t="s">
        <v>306</v>
      </c>
      <c r="F22" s="16" t="s">
        <v>691</v>
      </c>
      <c r="G22" s="28">
        <v>0</v>
      </c>
      <c r="H22" s="28">
        <v>15682.2</v>
      </c>
      <c r="I22" s="28">
        <f t="shared" si="0"/>
        <v>11750.600000000017</v>
      </c>
    </row>
    <row r="23" spans="1:9" x14ac:dyDescent="0.3">
      <c r="A23" s="16" t="s">
        <v>674</v>
      </c>
      <c r="B23" s="16" t="s">
        <v>675</v>
      </c>
      <c r="C23" s="25">
        <v>45782</v>
      </c>
      <c r="D23" s="16" t="s">
        <v>305</v>
      </c>
      <c r="E23" s="16" t="s">
        <v>692</v>
      </c>
      <c r="F23" s="16"/>
      <c r="G23" s="28">
        <v>0</v>
      </c>
      <c r="H23" s="28">
        <v>402</v>
      </c>
      <c r="I23" s="28">
        <f t="shared" si="0"/>
        <v>11348.600000000017</v>
      </c>
    </row>
    <row r="24" spans="1:9" x14ac:dyDescent="0.3">
      <c r="A24" s="16" t="s">
        <v>674</v>
      </c>
      <c r="B24" s="16" t="s">
        <v>675</v>
      </c>
      <c r="C24" s="25">
        <v>45790</v>
      </c>
      <c r="D24" s="16" t="s">
        <v>305</v>
      </c>
      <c r="E24" s="16" t="s">
        <v>306</v>
      </c>
      <c r="F24" s="16" t="s">
        <v>693</v>
      </c>
      <c r="G24" s="28">
        <v>0</v>
      </c>
      <c r="H24" s="28">
        <v>22070</v>
      </c>
      <c r="I24" s="28">
        <f t="shared" si="0"/>
        <v>-10721.399999999983</v>
      </c>
    </row>
    <row r="25" spans="1:9" x14ac:dyDescent="0.3">
      <c r="A25" s="16" t="s">
        <v>674</v>
      </c>
      <c r="B25" s="16" t="s">
        <v>675</v>
      </c>
      <c r="C25" s="25">
        <v>45792</v>
      </c>
      <c r="D25" s="16" t="s">
        <v>308</v>
      </c>
      <c r="E25" s="16" t="s">
        <v>685</v>
      </c>
      <c r="F25" s="16" t="s">
        <v>686</v>
      </c>
      <c r="G25" s="28">
        <v>5014</v>
      </c>
      <c r="H25" s="28">
        <v>0</v>
      </c>
      <c r="I25" s="28">
        <f t="shared" si="0"/>
        <v>-5707.3999999999833</v>
      </c>
    </row>
    <row r="26" spans="1:9" x14ac:dyDescent="0.3">
      <c r="A26" s="16" t="s">
        <v>674</v>
      </c>
      <c r="B26" s="16" t="s">
        <v>675</v>
      </c>
      <c r="C26" s="25">
        <v>45792</v>
      </c>
      <c r="D26" s="16" t="s">
        <v>305</v>
      </c>
      <c r="E26" s="16" t="s">
        <v>311</v>
      </c>
      <c r="F26" s="16"/>
      <c r="G26" s="28">
        <v>0</v>
      </c>
      <c r="H26" s="28">
        <v>6020.8</v>
      </c>
      <c r="I26" s="28">
        <f t="shared" si="0"/>
        <v>-11728.199999999983</v>
      </c>
    </row>
    <row r="27" spans="1:9" x14ac:dyDescent="0.3">
      <c r="A27" s="16" t="s">
        <v>674</v>
      </c>
      <c r="B27" s="16" t="s">
        <v>675</v>
      </c>
      <c r="C27" s="25">
        <v>45805</v>
      </c>
      <c r="D27" s="16" t="s">
        <v>305</v>
      </c>
      <c r="E27" s="16" t="s">
        <v>692</v>
      </c>
      <c r="F27" s="16"/>
      <c r="G27" s="28">
        <v>0</v>
      </c>
      <c r="H27" s="28">
        <v>29</v>
      </c>
      <c r="I27" s="28">
        <f t="shared" si="0"/>
        <v>-11757.199999999983</v>
      </c>
    </row>
    <row r="28" spans="1:9" x14ac:dyDescent="0.3">
      <c r="A28" s="16" t="s">
        <v>674</v>
      </c>
      <c r="B28" s="16" t="s">
        <v>675</v>
      </c>
      <c r="C28" s="25">
        <v>45805</v>
      </c>
      <c r="D28" s="16" t="s">
        <v>305</v>
      </c>
      <c r="E28" s="16" t="s">
        <v>692</v>
      </c>
      <c r="F28" s="16"/>
      <c r="G28" s="28">
        <v>0</v>
      </c>
      <c r="H28" s="28">
        <v>3918</v>
      </c>
      <c r="I28" s="28">
        <f t="shared" si="0"/>
        <v>-15675.199999999983</v>
      </c>
    </row>
    <row r="29" spans="1:9" x14ac:dyDescent="0.3">
      <c r="A29" s="16" t="s">
        <v>674</v>
      </c>
      <c r="B29" s="16" t="s">
        <v>675</v>
      </c>
      <c r="C29" s="25">
        <v>45805</v>
      </c>
      <c r="D29" s="16" t="s">
        <v>305</v>
      </c>
      <c r="E29" s="16" t="s">
        <v>311</v>
      </c>
      <c r="F29" s="16"/>
      <c r="G29" s="28">
        <v>0</v>
      </c>
      <c r="H29" s="28">
        <v>1094</v>
      </c>
      <c r="I29" s="28">
        <f t="shared" si="0"/>
        <v>-16769.199999999983</v>
      </c>
    </row>
    <row r="30" spans="1:9" x14ac:dyDescent="0.3">
      <c r="A30" s="16" t="s">
        <v>674</v>
      </c>
      <c r="B30" s="16" t="s">
        <v>675</v>
      </c>
      <c r="C30" s="25">
        <v>45820</v>
      </c>
      <c r="D30" s="16" t="s">
        <v>308</v>
      </c>
      <c r="E30" s="16" t="s">
        <v>685</v>
      </c>
      <c r="F30" s="16" t="s">
        <v>694</v>
      </c>
      <c r="G30" s="28">
        <v>71087</v>
      </c>
      <c r="H30" s="28">
        <v>0</v>
      </c>
      <c r="I30" s="28">
        <f t="shared" si="0"/>
        <v>54317.800000000017</v>
      </c>
    </row>
    <row r="31" spans="1:9" x14ac:dyDescent="0.3">
      <c r="A31" s="16" t="s">
        <v>674</v>
      </c>
      <c r="B31" s="16" t="s">
        <v>675</v>
      </c>
      <c r="C31" s="25">
        <v>45834</v>
      </c>
      <c r="D31" s="16" t="s">
        <v>305</v>
      </c>
      <c r="E31" s="16" t="s">
        <v>311</v>
      </c>
      <c r="F31" s="16"/>
      <c r="G31" s="28">
        <v>0</v>
      </c>
      <c r="H31" s="28">
        <v>10</v>
      </c>
      <c r="I31" s="28">
        <f t="shared" si="0"/>
        <v>54307.800000000017</v>
      </c>
    </row>
    <row r="32" spans="1:9" x14ac:dyDescent="0.3">
      <c r="A32" s="16" t="s">
        <v>674</v>
      </c>
      <c r="B32" s="16" t="s">
        <v>675</v>
      </c>
      <c r="C32" s="25">
        <v>45834</v>
      </c>
      <c r="D32" s="16" t="s">
        <v>305</v>
      </c>
      <c r="E32" s="16" t="s">
        <v>311</v>
      </c>
      <c r="F32" s="16"/>
      <c r="G32" s="28">
        <v>0</v>
      </c>
      <c r="H32" s="28">
        <v>3926</v>
      </c>
      <c r="I32" s="28">
        <f t="shared" si="0"/>
        <v>50381.800000000017</v>
      </c>
    </row>
    <row r="33" spans="1:11" x14ac:dyDescent="0.3">
      <c r="A33" s="16" t="s">
        <v>674</v>
      </c>
      <c r="B33" s="16" t="s">
        <v>675</v>
      </c>
      <c r="C33" s="25">
        <v>45834</v>
      </c>
      <c r="D33" s="16" t="s">
        <v>305</v>
      </c>
      <c r="E33" s="16" t="s">
        <v>311</v>
      </c>
      <c r="F33" s="16"/>
      <c r="G33" s="28">
        <v>0</v>
      </c>
      <c r="H33" s="28">
        <v>386</v>
      </c>
      <c r="I33" s="28">
        <f t="shared" si="0"/>
        <v>49995.800000000017</v>
      </c>
    </row>
    <row r="34" spans="1:11" x14ac:dyDescent="0.3">
      <c r="A34" s="16" t="s">
        <v>674</v>
      </c>
      <c r="B34" s="16" t="s">
        <v>675</v>
      </c>
      <c r="C34" s="25">
        <v>45838</v>
      </c>
      <c r="D34" s="16" t="s">
        <v>305</v>
      </c>
      <c r="E34" s="16" t="s">
        <v>311</v>
      </c>
      <c r="F34" s="16"/>
      <c r="G34" s="28">
        <v>0</v>
      </c>
      <c r="H34" s="28">
        <v>211.8</v>
      </c>
      <c r="I34" s="28">
        <f t="shared" si="0"/>
        <v>49784.000000000015</v>
      </c>
    </row>
    <row r="35" spans="1:11" x14ac:dyDescent="0.3">
      <c r="A35" s="16" t="s">
        <v>674</v>
      </c>
      <c r="B35" s="16" t="s">
        <v>675</v>
      </c>
      <c r="C35" s="25">
        <v>45848</v>
      </c>
      <c r="D35" s="16" t="s">
        <v>308</v>
      </c>
      <c r="E35" s="16" t="s">
        <v>685</v>
      </c>
      <c r="F35" s="16" t="s">
        <v>695</v>
      </c>
      <c r="G35" s="28">
        <v>20216</v>
      </c>
      <c r="H35" s="28">
        <v>0</v>
      </c>
      <c r="I35" s="28">
        <f t="shared" si="0"/>
        <v>70000.000000000015</v>
      </c>
    </row>
    <row r="36" spans="1:11" x14ac:dyDescent="0.3">
      <c r="A36" s="16" t="s">
        <v>674</v>
      </c>
      <c r="B36" s="16" t="s">
        <v>675</v>
      </c>
      <c r="C36" s="25">
        <v>45973</v>
      </c>
      <c r="D36" s="16" t="s">
        <v>312</v>
      </c>
      <c r="E36" s="16" t="s">
        <v>646</v>
      </c>
      <c r="F36" s="16" t="s">
        <v>696</v>
      </c>
      <c r="G36" s="28">
        <v>0</v>
      </c>
      <c r="H36" s="28">
        <v>373950</v>
      </c>
      <c r="I36" s="28">
        <f t="shared" si="0"/>
        <v>-303950</v>
      </c>
    </row>
    <row r="37" spans="1:11" x14ac:dyDescent="0.3">
      <c r="A37" s="16" t="s">
        <v>674</v>
      </c>
      <c r="B37" s="16" t="s">
        <v>675</v>
      </c>
      <c r="C37" s="25">
        <v>45973</v>
      </c>
      <c r="D37" s="16" t="s">
        <v>305</v>
      </c>
      <c r="E37" s="16" t="s">
        <v>697</v>
      </c>
      <c r="F37" s="16" t="s">
        <v>698</v>
      </c>
      <c r="G37" s="28">
        <v>0</v>
      </c>
      <c r="H37" s="28">
        <v>69934</v>
      </c>
      <c r="I37" s="28">
        <f t="shared" si="0"/>
        <v>-373884</v>
      </c>
    </row>
    <row r="38" spans="1:11" x14ac:dyDescent="0.3">
      <c r="A38" s="16" t="s">
        <v>674</v>
      </c>
      <c r="B38" s="16" t="s">
        <v>675</v>
      </c>
      <c r="C38" s="25">
        <v>45986</v>
      </c>
      <c r="D38" s="16" t="s">
        <v>305</v>
      </c>
      <c r="E38" s="16" t="s">
        <v>311</v>
      </c>
      <c r="F38" s="16"/>
      <c r="G38" s="28">
        <v>0</v>
      </c>
      <c r="H38" s="28">
        <v>3964</v>
      </c>
      <c r="I38" s="28">
        <f t="shared" si="0"/>
        <v>-377848</v>
      </c>
    </row>
    <row r="39" spans="1:11" x14ac:dyDescent="0.3">
      <c r="A39" s="16" t="s">
        <v>674</v>
      </c>
      <c r="B39" s="16" t="s">
        <v>675</v>
      </c>
      <c r="C39" s="25">
        <v>45992</v>
      </c>
      <c r="D39" s="16" t="s">
        <v>305</v>
      </c>
      <c r="E39" s="16" t="s">
        <v>306</v>
      </c>
      <c r="F39" s="16" t="s">
        <v>699</v>
      </c>
      <c r="G39" s="28">
        <v>0</v>
      </c>
      <c r="H39" s="28">
        <v>60872.99</v>
      </c>
      <c r="I39" s="28">
        <f t="shared" si="0"/>
        <v>-438720.99</v>
      </c>
    </row>
    <row r="40" spans="1:11" x14ac:dyDescent="0.3">
      <c r="A40" s="16" t="s">
        <v>674</v>
      </c>
      <c r="B40" s="16" t="s">
        <v>675</v>
      </c>
      <c r="C40" s="25">
        <v>45993</v>
      </c>
      <c r="D40" s="16" t="s">
        <v>305</v>
      </c>
      <c r="E40" s="16" t="s">
        <v>311</v>
      </c>
      <c r="F40" s="16"/>
      <c r="G40" s="28">
        <v>0</v>
      </c>
      <c r="H40" s="28">
        <v>1556</v>
      </c>
      <c r="I40" s="28">
        <f t="shared" si="0"/>
        <v>-440276.99</v>
      </c>
    </row>
    <row r="41" spans="1:11" x14ac:dyDescent="0.3">
      <c r="A41" s="16" t="s">
        <v>674</v>
      </c>
      <c r="B41" s="16" t="s">
        <v>675</v>
      </c>
      <c r="C41" s="25">
        <v>45994</v>
      </c>
      <c r="D41" s="16" t="s">
        <v>305</v>
      </c>
      <c r="E41" s="16" t="s">
        <v>306</v>
      </c>
      <c r="F41" s="16" t="s">
        <v>699</v>
      </c>
      <c r="G41" s="28">
        <v>0</v>
      </c>
      <c r="H41" s="28">
        <v>69841.94</v>
      </c>
      <c r="I41" s="28">
        <f t="shared" si="0"/>
        <v>-510118.93</v>
      </c>
    </row>
    <row r="42" spans="1:11" x14ac:dyDescent="0.3">
      <c r="A42" s="16" t="s">
        <v>674</v>
      </c>
      <c r="B42" s="16" t="s">
        <v>675</v>
      </c>
      <c r="C42" s="25">
        <v>45995</v>
      </c>
      <c r="D42" s="16" t="s">
        <v>305</v>
      </c>
      <c r="E42" s="16" t="s">
        <v>311</v>
      </c>
      <c r="F42" s="16"/>
      <c r="G42" s="28">
        <v>0</v>
      </c>
      <c r="H42" s="28">
        <v>1787</v>
      </c>
      <c r="I42" s="28">
        <f t="shared" si="0"/>
        <v>-511905.93</v>
      </c>
    </row>
    <row r="43" spans="1:11" x14ac:dyDescent="0.3">
      <c r="A43" s="16" t="s">
        <v>674</v>
      </c>
      <c r="B43" s="16" t="s">
        <v>675</v>
      </c>
      <c r="C43" s="25">
        <v>46006</v>
      </c>
      <c r="D43" s="16" t="s">
        <v>308</v>
      </c>
      <c r="E43" s="16" t="s">
        <v>685</v>
      </c>
      <c r="F43" s="16" t="s">
        <v>700</v>
      </c>
      <c r="G43" s="28">
        <v>447848</v>
      </c>
      <c r="H43" s="28"/>
      <c r="I43" s="28">
        <f t="shared" si="0"/>
        <v>-64057.929999999993</v>
      </c>
    </row>
    <row r="44" spans="1:11" x14ac:dyDescent="0.3">
      <c r="A44" s="16" t="s">
        <v>674</v>
      </c>
      <c r="B44" s="16" t="s">
        <v>675</v>
      </c>
      <c r="C44" s="25">
        <v>46017</v>
      </c>
      <c r="D44" s="16" t="s">
        <v>305</v>
      </c>
      <c r="E44" s="16" t="s">
        <v>311</v>
      </c>
      <c r="F44" s="16"/>
      <c r="G44" s="28">
        <v>0</v>
      </c>
      <c r="H44" s="28">
        <v>3971</v>
      </c>
      <c r="I44" s="28">
        <f t="shared" si="0"/>
        <v>-68028.929999999993</v>
      </c>
      <c r="J44" s="31">
        <f>68029-138029</f>
        <v>-70000</v>
      </c>
      <c r="K44" s="32" t="s">
        <v>894</v>
      </c>
    </row>
    <row r="45" spans="1:11" x14ac:dyDescent="0.3">
      <c r="G45" s="38">
        <f>SUM(G2:G44)</f>
        <v>1767028</v>
      </c>
      <c r="H45" s="38">
        <f>SUM(H2:H44)</f>
        <v>1835056.93</v>
      </c>
      <c r="I45" s="38">
        <f>G45-H45</f>
        <v>-68028.929999999935</v>
      </c>
    </row>
    <row r="53" spans="10:11" x14ac:dyDescent="0.3">
      <c r="J53" s="33">
        <f>138029+'12'!K49</f>
        <v>-301.78590000001714</v>
      </c>
      <c r="K53" t="s">
        <v>891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1AA5-F7FC-4B45-A313-287A23330DC8}">
  <sheetPr>
    <tabColor rgb="FFFFC000"/>
  </sheetPr>
  <dimension ref="A1:K73"/>
  <sheetViews>
    <sheetView topLeftCell="A36" zoomScale="90" zoomScaleNormal="90" workbookViewId="0">
      <pane ySplit="1" topLeftCell="A52" activePane="bottomLeft" state="frozen"/>
      <selection activeCell="A36" sqref="A36"/>
      <selection pane="bottomLeft" activeCell="A73" sqref="A73:K73"/>
    </sheetView>
  </sheetViews>
  <sheetFormatPr baseColWidth="10" defaultRowHeight="14" x14ac:dyDescent="0.3"/>
  <cols>
    <col min="4" max="4" width="24.09765625" customWidth="1"/>
  </cols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18</v>
      </c>
      <c r="B2" s="1">
        <v>45772</v>
      </c>
      <c r="C2" s="2">
        <v>2556</v>
      </c>
      <c r="D2" t="s">
        <v>20</v>
      </c>
      <c r="E2" t="s">
        <v>19</v>
      </c>
      <c r="H2" s="2">
        <v>100022</v>
      </c>
      <c r="I2" s="2">
        <v>-3787242</v>
      </c>
    </row>
    <row r="3" spans="1:9" hidden="1" x14ac:dyDescent="0.3">
      <c r="A3" t="s">
        <v>27</v>
      </c>
      <c r="B3" s="1">
        <v>45792</v>
      </c>
      <c r="C3" s="2">
        <v>2742</v>
      </c>
      <c r="D3" t="s">
        <v>28</v>
      </c>
      <c r="E3" t="s">
        <v>19</v>
      </c>
      <c r="G3" s="2">
        <v>100022</v>
      </c>
      <c r="I3" s="2">
        <v>-4499104</v>
      </c>
    </row>
    <row r="4" spans="1:9" hidden="1" x14ac:dyDescent="0.3">
      <c r="A4" t="s">
        <v>39</v>
      </c>
      <c r="B4" s="1">
        <v>45805</v>
      </c>
      <c r="C4" s="2">
        <v>2906</v>
      </c>
      <c r="D4" t="s">
        <v>20</v>
      </c>
      <c r="E4" t="s">
        <v>19</v>
      </c>
      <c r="H4" s="2">
        <v>450611</v>
      </c>
      <c r="I4" s="2">
        <v>1144650</v>
      </c>
    </row>
    <row r="5" spans="1:9" hidden="1" x14ac:dyDescent="0.3">
      <c r="A5" t="s">
        <v>56</v>
      </c>
      <c r="B5" s="1">
        <v>45820</v>
      </c>
      <c r="C5" s="2">
        <v>2858</v>
      </c>
      <c r="D5" t="s">
        <v>28</v>
      </c>
      <c r="E5" t="s">
        <v>19</v>
      </c>
      <c r="G5" s="2">
        <v>450611</v>
      </c>
      <c r="I5" s="2">
        <v>-353860</v>
      </c>
    </row>
    <row r="6" spans="1:9" hidden="1" x14ac:dyDescent="0.3">
      <c r="A6" t="s">
        <v>89</v>
      </c>
      <c r="B6" s="1">
        <v>45869</v>
      </c>
      <c r="C6" s="2">
        <v>3275</v>
      </c>
      <c r="D6" t="s">
        <v>90</v>
      </c>
      <c r="E6" t="s">
        <v>19</v>
      </c>
      <c r="H6" s="2">
        <v>260913</v>
      </c>
      <c r="I6" s="2">
        <v>-9600107</v>
      </c>
    </row>
    <row r="7" spans="1:9" hidden="1" x14ac:dyDescent="0.3">
      <c r="A7" t="s">
        <v>99</v>
      </c>
      <c r="B7" s="1">
        <v>45869</v>
      </c>
      <c r="C7" s="2">
        <v>3299</v>
      </c>
      <c r="D7" t="s">
        <v>100</v>
      </c>
      <c r="E7" t="s">
        <v>19</v>
      </c>
      <c r="H7" s="2">
        <v>3872</v>
      </c>
      <c r="I7" s="2">
        <v>-17476994</v>
      </c>
    </row>
    <row r="8" spans="1:9" hidden="1" x14ac:dyDescent="0.3">
      <c r="A8" t="s">
        <v>109</v>
      </c>
      <c r="B8" s="1">
        <v>45869</v>
      </c>
      <c r="C8" s="2">
        <v>3304</v>
      </c>
      <c r="D8" t="s">
        <v>110</v>
      </c>
      <c r="E8" t="s">
        <v>19</v>
      </c>
      <c r="H8" s="2">
        <v>305442</v>
      </c>
      <c r="I8" s="2">
        <v>-20664834</v>
      </c>
    </row>
    <row r="9" spans="1:9" hidden="1" x14ac:dyDescent="0.3">
      <c r="A9" t="s">
        <v>18</v>
      </c>
      <c r="B9" s="1">
        <v>45772</v>
      </c>
      <c r="C9" s="2">
        <v>2556</v>
      </c>
      <c r="D9" t="s">
        <v>20</v>
      </c>
      <c r="E9" t="s">
        <v>19</v>
      </c>
      <c r="H9">
        <v>249.18</v>
      </c>
      <c r="I9">
        <v>-249.18</v>
      </c>
    </row>
    <row r="10" spans="1:9" hidden="1" x14ac:dyDescent="0.3">
      <c r="A10" t="s">
        <v>39</v>
      </c>
      <c r="B10" s="1">
        <v>45805</v>
      </c>
      <c r="C10" s="2">
        <v>2906</v>
      </c>
      <c r="D10" t="s">
        <v>20</v>
      </c>
      <c r="E10" t="s">
        <v>19</v>
      </c>
      <c r="G10">
        <v>249.18</v>
      </c>
      <c r="I10">
        <v>-543.75</v>
      </c>
    </row>
    <row r="11" spans="1:9" hidden="1" x14ac:dyDescent="0.3"/>
    <row r="12" spans="1:9" hidden="1" x14ac:dyDescent="0.3"/>
    <row r="13" spans="1:9" hidden="1" x14ac:dyDescent="0.3">
      <c r="D13" s="9" t="s">
        <v>133</v>
      </c>
      <c r="E13" s="10">
        <v>0</v>
      </c>
    </row>
    <row r="14" spans="1:9" hidden="1" x14ac:dyDescent="0.3"/>
    <row r="15" spans="1:9" hidden="1" x14ac:dyDescent="0.3"/>
    <row r="16" spans="1:9" hidden="1" x14ac:dyDescent="0.3"/>
    <row r="17" spans="2:10" hidden="1" x14ac:dyDescent="0.3"/>
    <row r="18" spans="2:10" hidden="1" x14ac:dyDescent="0.3"/>
    <row r="19" spans="2:10" hidden="1" x14ac:dyDescent="0.3"/>
    <row r="20" spans="2:10" hidden="1" x14ac:dyDescent="0.3"/>
    <row r="21" spans="2:10" hidden="1" x14ac:dyDescent="0.3"/>
    <row r="22" spans="2:10" hidden="1" x14ac:dyDescent="0.3"/>
    <row r="23" spans="2:10" hidden="1" x14ac:dyDescent="0.3"/>
    <row r="24" spans="2:10" hidden="1" x14ac:dyDescent="0.3"/>
    <row r="25" spans="2:10" hidden="1" x14ac:dyDescent="0.3">
      <c r="B25" s="11" t="s">
        <v>2</v>
      </c>
      <c r="C25" s="11" t="s">
        <v>3</v>
      </c>
      <c r="D25" s="11"/>
      <c r="E25" s="11" t="s">
        <v>4</v>
      </c>
      <c r="G25" s="11" t="s">
        <v>6</v>
      </c>
      <c r="H25" s="11" t="s">
        <v>7</v>
      </c>
      <c r="I25" s="11" t="s">
        <v>8</v>
      </c>
    </row>
    <row r="26" spans="2:10" hidden="1" x14ac:dyDescent="0.3">
      <c r="B26" s="1">
        <v>45772</v>
      </c>
      <c r="C26" s="2">
        <v>2556</v>
      </c>
      <c r="D26" t="s">
        <v>20</v>
      </c>
      <c r="E26" t="s">
        <v>19</v>
      </c>
      <c r="H26" s="6">
        <v>100022</v>
      </c>
      <c r="I26" s="2">
        <v>-3665564</v>
      </c>
    </row>
    <row r="27" spans="2:10" hidden="1" x14ac:dyDescent="0.3">
      <c r="B27" s="1">
        <v>45792</v>
      </c>
      <c r="C27" s="2">
        <v>2742</v>
      </c>
      <c r="D27" t="s">
        <v>28</v>
      </c>
      <c r="E27" t="s">
        <v>19</v>
      </c>
      <c r="G27" s="6">
        <v>100022</v>
      </c>
      <c r="I27" s="2">
        <v>-4339310</v>
      </c>
    </row>
    <row r="28" spans="2:10" hidden="1" x14ac:dyDescent="0.3">
      <c r="B28" s="1">
        <v>45805</v>
      </c>
      <c r="C28" s="2">
        <v>2906</v>
      </c>
      <c r="D28" t="s">
        <v>20</v>
      </c>
      <c r="E28" t="s">
        <v>19</v>
      </c>
      <c r="H28" s="6">
        <v>450611</v>
      </c>
      <c r="I28" s="2">
        <v>1065738</v>
      </c>
    </row>
    <row r="29" spans="2:10" hidden="1" x14ac:dyDescent="0.3">
      <c r="B29" s="1">
        <v>45813</v>
      </c>
      <c r="C29" s="2">
        <v>2813</v>
      </c>
      <c r="D29" t="s">
        <v>145</v>
      </c>
      <c r="E29" t="s">
        <v>19</v>
      </c>
      <c r="G29" s="2">
        <v>2300</v>
      </c>
      <c r="I29" s="2">
        <v>-799745</v>
      </c>
    </row>
    <row r="30" spans="2:10" hidden="1" x14ac:dyDescent="0.3">
      <c r="B30" s="1">
        <v>45820</v>
      </c>
      <c r="C30" s="2">
        <v>2858</v>
      </c>
      <c r="D30" t="s">
        <v>28</v>
      </c>
      <c r="E30" t="s">
        <v>19</v>
      </c>
      <c r="G30" s="6">
        <v>450611</v>
      </c>
      <c r="I30" s="2">
        <v>-286134</v>
      </c>
    </row>
    <row r="31" spans="2:10" hidden="1" x14ac:dyDescent="0.3">
      <c r="B31" s="1">
        <v>45869</v>
      </c>
      <c r="C31" s="2">
        <v>3275</v>
      </c>
      <c r="D31" t="s">
        <v>90</v>
      </c>
      <c r="E31" t="s">
        <v>19</v>
      </c>
      <c r="H31" s="13">
        <v>260913</v>
      </c>
      <c r="I31" s="2">
        <v>-10866644</v>
      </c>
      <c r="J31" s="2"/>
    </row>
    <row r="32" spans="2:10" hidden="1" x14ac:dyDescent="0.3">
      <c r="B32" s="1">
        <v>45869</v>
      </c>
      <c r="C32" s="2">
        <v>3299</v>
      </c>
      <c r="D32" t="s">
        <v>100</v>
      </c>
      <c r="E32" t="s">
        <v>19</v>
      </c>
      <c r="H32" s="13">
        <v>3872</v>
      </c>
      <c r="I32" s="2">
        <v>-18743531</v>
      </c>
      <c r="J32" s="2"/>
    </row>
    <row r="33" spans="2:9" hidden="1" x14ac:dyDescent="0.3">
      <c r="B33" s="1">
        <v>45869</v>
      </c>
      <c r="C33" s="2">
        <v>3304</v>
      </c>
      <c r="D33" t="s">
        <v>110</v>
      </c>
      <c r="E33" t="s">
        <v>19</v>
      </c>
      <c r="H33" s="13">
        <v>305442</v>
      </c>
      <c r="I33" s="2">
        <v>-21931371</v>
      </c>
    </row>
    <row r="34" spans="2:9" hidden="1" x14ac:dyDescent="0.3">
      <c r="B34" s="1">
        <v>45869</v>
      </c>
      <c r="C34" s="2">
        <v>3454</v>
      </c>
      <c r="D34" t="s">
        <v>159</v>
      </c>
      <c r="E34" t="s">
        <v>19</v>
      </c>
      <c r="H34" s="2">
        <v>235579</v>
      </c>
      <c r="I34" s="2">
        <v>-25193304</v>
      </c>
    </row>
    <row r="35" spans="2:9" hidden="1" x14ac:dyDescent="0.3"/>
    <row r="36" spans="2:9" x14ac:dyDescent="0.3">
      <c r="B36" s="14" t="s">
        <v>2</v>
      </c>
      <c r="C36" s="14" t="s">
        <v>3</v>
      </c>
      <c r="D36" s="14"/>
      <c r="E36" s="14" t="s">
        <v>4</v>
      </c>
      <c r="F36" s="14" t="s">
        <v>5</v>
      </c>
      <c r="G36" s="14" t="s">
        <v>6</v>
      </c>
      <c r="H36" s="14" t="s">
        <v>7</v>
      </c>
      <c r="I36" s="14" t="s">
        <v>8</v>
      </c>
    </row>
    <row r="37" spans="2:9" x14ac:dyDescent="0.3">
      <c r="B37" s="1">
        <v>45772</v>
      </c>
      <c r="C37" s="2">
        <v>2556</v>
      </c>
      <c r="D37" t="s">
        <v>20</v>
      </c>
      <c r="E37" t="s">
        <v>19</v>
      </c>
      <c r="H37" s="2">
        <v>100022</v>
      </c>
      <c r="I37" s="2">
        <f>-H37</f>
        <v>-100022</v>
      </c>
    </row>
    <row r="38" spans="2:9" x14ac:dyDescent="0.3">
      <c r="B38" s="1">
        <v>45792</v>
      </c>
      <c r="C38" s="2">
        <v>2742</v>
      </c>
      <c r="D38" t="s">
        <v>28</v>
      </c>
      <c r="E38" t="s">
        <v>19</v>
      </c>
      <c r="G38" s="2">
        <v>100022</v>
      </c>
      <c r="I38" s="2">
        <f>I37+G38-H38</f>
        <v>0</v>
      </c>
    </row>
    <row r="39" spans="2:9" x14ac:dyDescent="0.3">
      <c r="B39" s="1">
        <v>45805</v>
      </c>
      <c r="C39" s="2">
        <v>2906</v>
      </c>
      <c r="D39" t="s">
        <v>20</v>
      </c>
      <c r="E39" t="s">
        <v>19</v>
      </c>
      <c r="H39" s="2">
        <v>450611</v>
      </c>
      <c r="I39" s="2">
        <f t="shared" ref="I39:I49" si="0">I38+G39-H39</f>
        <v>-450611</v>
      </c>
    </row>
    <row r="40" spans="2:9" x14ac:dyDescent="0.3">
      <c r="B40" s="1">
        <v>45813</v>
      </c>
      <c r="C40" s="2">
        <v>2813</v>
      </c>
      <c r="D40" t="s">
        <v>145</v>
      </c>
      <c r="E40" t="s">
        <v>19</v>
      </c>
      <c r="G40" s="2">
        <v>2300</v>
      </c>
      <c r="I40" s="2">
        <f t="shared" si="0"/>
        <v>-448311</v>
      </c>
    </row>
    <row r="41" spans="2:9" x14ac:dyDescent="0.3">
      <c r="B41" s="1">
        <v>45820</v>
      </c>
      <c r="C41" s="2">
        <v>2858</v>
      </c>
      <c r="D41" t="s">
        <v>28</v>
      </c>
      <c r="E41" t="s">
        <v>19</v>
      </c>
      <c r="G41" s="2">
        <v>450611</v>
      </c>
      <c r="I41" s="2">
        <f t="shared" si="0"/>
        <v>2300</v>
      </c>
    </row>
    <row r="42" spans="2:9" x14ac:dyDescent="0.3">
      <c r="B42" s="1">
        <v>45869</v>
      </c>
      <c r="C42" s="2">
        <v>3275</v>
      </c>
      <c r="D42" t="s">
        <v>90</v>
      </c>
      <c r="E42" t="s">
        <v>19</v>
      </c>
      <c r="H42" s="2">
        <v>260913</v>
      </c>
      <c r="I42" s="2">
        <f t="shared" si="0"/>
        <v>-258613</v>
      </c>
    </row>
    <row r="43" spans="2:9" x14ac:dyDescent="0.3">
      <c r="B43" s="1">
        <v>45869</v>
      </c>
      <c r="C43" s="2">
        <v>3299</v>
      </c>
      <c r="D43" t="s">
        <v>100</v>
      </c>
      <c r="E43" t="s">
        <v>19</v>
      </c>
      <c r="H43" s="2">
        <v>3872</v>
      </c>
      <c r="I43" s="2">
        <f t="shared" si="0"/>
        <v>-262485</v>
      </c>
    </row>
    <row r="44" spans="2:9" x14ac:dyDescent="0.3">
      <c r="B44" s="1">
        <v>45869</v>
      </c>
      <c r="C44" s="2">
        <v>3304</v>
      </c>
      <c r="D44" t="s">
        <v>110</v>
      </c>
      <c r="E44" t="s">
        <v>19</v>
      </c>
      <c r="H44" s="2">
        <v>305442</v>
      </c>
      <c r="I44" s="2">
        <f t="shared" si="0"/>
        <v>-567927</v>
      </c>
    </row>
    <row r="45" spans="2:9" x14ac:dyDescent="0.3">
      <c r="B45" s="1">
        <v>45869</v>
      </c>
      <c r="C45" s="2">
        <v>3454</v>
      </c>
      <c r="D45" t="s">
        <v>159</v>
      </c>
      <c r="E45" t="s">
        <v>19</v>
      </c>
      <c r="H45" s="2">
        <v>235579</v>
      </c>
      <c r="I45" s="2">
        <f t="shared" si="0"/>
        <v>-803506</v>
      </c>
    </row>
    <row r="46" spans="2:9" x14ac:dyDescent="0.3">
      <c r="B46" s="1">
        <v>45869</v>
      </c>
      <c r="C46" s="2">
        <v>3574</v>
      </c>
      <c r="D46" t="s">
        <v>194</v>
      </c>
      <c r="E46" t="s">
        <v>19</v>
      </c>
      <c r="G46" s="2">
        <v>233279</v>
      </c>
      <c r="I46" s="2">
        <f t="shared" si="0"/>
        <v>-570227</v>
      </c>
    </row>
    <row r="47" spans="2:9" x14ac:dyDescent="0.3">
      <c r="B47" s="1">
        <v>45762</v>
      </c>
      <c r="C47" s="2">
        <v>2511</v>
      </c>
      <c r="D47" t="s">
        <v>190</v>
      </c>
      <c r="E47" t="s">
        <v>19</v>
      </c>
      <c r="G47" s="2">
        <v>305442</v>
      </c>
      <c r="I47" s="2">
        <f t="shared" si="0"/>
        <v>-264785</v>
      </c>
    </row>
    <row r="48" spans="2:9" x14ac:dyDescent="0.3">
      <c r="B48" s="1">
        <v>45701</v>
      </c>
      <c r="C48" s="2">
        <v>2281</v>
      </c>
      <c r="D48" t="s">
        <v>173</v>
      </c>
      <c r="E48" t="s">
        <v>19</v>
      </c>
      <c r="G48" s="2">
        <v>260913</v>
      </c>
      <c r="I48" s="2">
        <f t="shared" si="0"/>
        <v>-3872</v>
      </c>
    </row>
    <row r="49" spans="1:11" x14ac:dyDescent="0.3">
      <c r="B49" s="1">
        <v>45729</v>
      </c>
      <c r="C49" s="2">
        <v>2342</v>
      </c>
      <c r="D49" t="s">
        <v>180</v>
      </c>
      <c r="E49" t="s">
        <v>19</v>
      </c>
      <c r="G49" s="2">
        <v>3872</v>
      </c>
      <c r="I49" s="15">
        <f t="shared" si="0"/>
        <v>0</v>
      </c>
    </row>
    <row r="50" spans="1:11" x14ac:dyDescent="0.3">
      <c r="B50" s="1">
        <v>45900</v>
      </c>
      <c r="C50" s="2">
        <v>3483</v>
      </c>
      <c r="D50" t="s">
        <v>20</v>
      </c>
      <c r="E50" t="s">
        <v>19</v>
      </c>
      <c r="H50" s="6">
        <v>965161</v>
      </c>
      <c r="I50" s="2">
        <f>I49+G50-H50</f>
        <v>-965161</v>
      </c>
    </row>
    <row r="51" spans="1:11" x14ac:dyDescent="0.3">
      <c r="B51" s="1"/>
      <c r="C51" s="2"/>
      <c r="H51" s="2">
        <v>99370</v>
      </c>
      <c r="I51" s="2">
        <f>I50+G51-H51</f>
        <v>-1064531</v>
      </c>
    </row>
    <row r="57" spans="1:11" x14ac:dyDescent="0.3">
      <c r="B57" s="1">
        <v>45904</v>
      </c>
      <c r="C57" s="2">
        <v>3529</v>
      </c>
      <c r="D57" t="s">
        <v>217</v>
      </c>
      <c r="E57" t="s">
        <v>19</v>
      </c>
      <c r="G57" s="12">
        <v>78080</v>
      </c>
      <c r="I57" s="2">
        <f>I51+G57-H57</f>
        <v>-986451</v>
      </c>
    </row>
    <row r="58" spans="1:11" x14ac:dyDescent="0.3">
      <c r="B58" s="1">
        <v>45911</v>
      </c>
      <c r="C58" s="2">
        <v>3530</v>
      </c>
      <c r="D58" t="s">
        <v>221</v>
      </c>
      <c r="E58" t="s">
        <v>19</v>
      </c>
      <c r="G58" s="12">
        <v>67000</v>
      </c>
      <c r="H58">
        <v>67000</v>
      </c>
      <c r="I58" s="2">
        <f t="shared" ref="I58:I60" si="1">I57+G58-H58</f>
        <v>-986451</v>
      </c>
    </row>
    <row r="59" spans="1:11" x14ac:dyDescent="0.3">
      <c r="B59" s="1">
        <v>45911</v>
      </c>
      <c r="C59" s="2">
        <v>3533</v>
      </c>
      <c r="D59" t="s">
        <v>221</v>
      </c>
      <c r="E59" t="s">
        <v>19</v>
      </c>
      <c r="G59" s="6">
        <v>965161</v>
      </c>
      <c r="I59" s="18">
        <f t="shared" si="1"/>
        <v>-21290</v>
      </c>
    </row>
    <row r="60" spans="1:11" x14ac:dyDescent="0.3">
      <c r="B60" s="1">
        <v>45926</v>
      </c>
      <c r="C60" s="2">
        <v>3581</v>
      </c>
      <c r="D60" t="s">
        <v>20</v>
      </c>
      <c r="E60" t="s">
        <v>19</v>
      </c>
      <c r="H60" s="6">
        <v>943249</v>
      </c>
      <c r="I60" s="2">
        <f t="shared" si="1"/>
        <v>-964539</v>
      </c>
    </row>
    <row r="61" spans="1:11" x14ac:dyDescent="0.3">
      <c r="A61" t="s">
        <v>249</v>
      </c>
      <c r="B61" s="1">
        <v>45944</v>
      </c>
      <c r="C61" s="2">
        <v>3749</v>
      </c>
      <c r="D61" t="s">
        <v>19</v>
      </c>
      <c r="G61" s="6">
        <v>943249</v>
      </c>
      <c r="H61">
        <v>158948</v>
      </c>
      <c r="I61" s="2">
        <f>I60+G61-H61</f>
        <v>-180238</v>
      </c>
      <c r="J61">
        <v>-1709221</v>
      </c>
      <c r="K61" t="s">
        <v>253</v>
      </c>
    </row>
    <row r="62" spans="1:11" x14ac:dyDescent="0.3">
      <c r="A62" t="s">
        <v>248</v>
      </c>
      <c r="B62" s="1">
        <v>45958</v>
      </c>
      <c r="C62" s="2">
        <v>3799</v>
      </c>
      <c r="D62" t="s">
        <v>19</v>
      </c>
      <c r="H62" s="2">
        <v>1550273</v>
      </c>
      <c r="I62" s="2">
        <f>I61+G62-H62</f>
        <v>-1730511</v>
      </c>
      <c r="J62" s="2">
        <f>J61-I62</f>
        <v>21290</v>
      </c>
    </row>
    <row r="63" spans="1:11" x14ac:dyDescent="0.3">
      <c r="A63" t="s">
        <v>258</v>
      </c>
      <c r="B63" s="1">
        <v>45974</v>
      </c>
      <c r="C63" s="2">
        <v>3908</v>
      </c>
      <c r="D63" t="str">
        <f t="shared" ref="D63:D65" si="2">+A63</f>
        <v>adig/1741</v>
      </c>
      <c r="E63" t="s">
        <v>19</v>
      </c>
      <c r="G63" s="2">
        <v>1550273</v>
      </c>
      <c r="I63" s="2">
        <f>I62+G63-H63</f>
        <v>-180238</v>
      </c>
    </row>
    <row r="64" spans="1:11" x14ac:dyDescent="0.3">
      <c r="A64" t="s">
        <v>259</v>
      </c>
      <c r="B64" s="1">
        <v>45987</v>
      </c>
      <c r="C64" s="2">
        <v>3953</v>
      </c>
      <c r="D64" t="str">
        <f t="shared" si="2"/>
        <v>adig/1765</v>
      </c>
      <c r="E64" t="s">
        <v>19</v>
      </c>
      <c r="H64" s="2">
        <v>1296486</v>
      </c>
      <c r="I64" s="2">
        <f>I63+G64-H64</f>
        <v>-1476724</v>
      </c>
    </row>
    <row r="65" spans="1:11" x14ac:dyDescent="0.3">
      <c r="A65" t="s">
        <v>260</v>
      </c>
      <c r="B65" s="1">
        <v>45991</v>
      </c>
      <c r="C65" s="2">
        <v>3969</v>
      </c>
      <c r="D65" t="str">
        <f t="shared" si="2"/>
        <v>adig/1771</v>
      </c>
      <c r="E65" t="s">
        <v>19</v>
      </c>
      <c r="H65" s="2">
        <v>164850</v>
      </c>
      <c r="I65" s="2">
        <f t="shared" ref="I65:I70" si="3">I64+G65-H65</f>
        <v>-1641574</v>
      </c>
    </row>
    <row r="66" spans="1:11" x14ac:dyDescent="0.3">
      <c r="A66" t="s">
        <v>274</v>
      </c>
      <c r="B66" s="1">
        <v>45992</v>
      </c>
      <c r="C66">
        <v>4136</v>
      </c>
      <c r="D66" t="s">
        <v>275</v>
      </c>
      <c r="E66" t="s">
        <v>19</v>
      </c>
      <c r="G66" s="23"/>
      <c r="I66" s="2">
        <f t="shared" si="3"/>
        <v>-1641574</v>
      </c>
    </row>
    <row r="67" spans="1:11" x14ac:dyDescent="0.3">
      <c r="A67" t="s">
        <v>276</v>
      </c>
      <c r="B67" s="1">
        <v>45995</v>
      </c>
      <c r="C67">
        <v>4055</v>
      </c>
      <c r="D67" t="s">
        <v>277</v>
      </c>
      <c r="E67" t="s">
        <v>19</v>
      </c>
      <c r="G67" s="23"/>
      <c r="I67" s="2">
        <f t="shared" si="3"/>
        <v>-1641574</v>
      </c>
    </row>
    <row r="68" spans="1:11" x14ac:dyDescent="0.3">
      <c r="A68" t="s">
        <v>278</v>
      </c>
      <c r="B68" s="1">
        <v>46006</v>
      </c>
      <c r="C68">
        <v>4059</v>
      </c>
      <c r="D68" t="s">
        <v>277</v>
      </c>
      <c r="E68" t="s">
        <v>19</v>
      </c>
      <c r="G68">
        <v>1296486</v>
      </c>
      <c r="I68" s="2">
        <f t="shared" si="3"/>
        <v>-345088</v>
      </c>
    </row>
    <row r="69" spans="1:11" x14ac:dyDescent="0.3">
      <c r="A69" t="s">
        <v>279</v>
      </c>
      <c r="B69" s="1">
        <v>46017</v>
      </c>
      <c r="C69">
        <v>4061</v>
      </c>
      <c r="D69" t="s">
        <v>277</v>
      </c>
      <c r="E69" t="s">
        <v>19</v>
      </c>
      <c r="G69" s="23">
        <v>4059</v>
      </c>
      <c r="I69" s="2">
        <f t="shared" si="3"/>
        <v>-341029</v>
      </c>
    </row>
    <row r="70" spans="1:11" x14ac:dyDescent="0.3">
      <c r="A70" t="s">
        <v>280</v>
      </c>
      <c r="B70" s="1">
        <v>46017</v>
      </c>
      <c r="C70">
        <v>4127</v>
      </c>
      <c r="D70" t="s">
        <v>281</v>
      </c>
      <c r="E70" t="s">
        <v>19</v>
      </c>
      <c r="H70">
        <v>1202263</v>
      </c>
      <c r="I70" s="15">
        <f t="shared" si="3"/>
        <v>-1543292</v>
      </c>
    </row>
    <row r="73" spans="1:11" x14ac:dyDescent="0.3">
      <c r="A73" t="s">
        <v>280</v>
      </c>
      <c r="B73" s="1">
        <v>46017</v>
      </c>
      <c r="C73" s="2">
        <v>4127</v>
      </c>
      <c r="D73" t="s">
        <v>281</v>
      </c>
      <c r="E73" t="s">
        <v>19</v>
      </c>
      <c r="H73">
        <v>48.56</v>
      </c>
      <c r="I73" s="21">
        <f>-H73</f>
        <v>-48.56</v>
      </c>
      <c r="J73" s="2">
        <f>-H73*907.13</f>
        <v>-44050.232800000005</v>
      </c>
      <c r="K73" s="19">
        <f>+J73+I70</f>
        <v>-1587342.2328000001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9EEA-E224-4320-931D-A2ED4389D888}">
  <dimension ref="A1:K113"/>
  <sheetViews>
    <sheetView topLeftCell="A90" workbookViewId="0">
      <selection activeCell="H101" sqref="H101"/>
    </sheetView>
  </sheetViews>
  <sheetFormatPr baseColWidth="10" defaultRowHeight="14" x14ac:dyDescent="0.3"/>
  <cols>
    <col min="7" max="8" width="11.19921875" style="4"/>
    <col min="9" max="9" width="12.59765625" style="4" bestFit="1" customWidth="1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9" x14ac:dyDescent="0.3">
      <c r="A2" s="16" t="s">
        <v>701</v>
      </c>
      <c r="B2" s="16" t="s">
        <v>702</v>
      </c>
      <c r="C2" s="25">
        <v>45670</v>
      </c>
      <c r="D2" s="16" t="s">
        <v>308</v>
      </c>
      <c r="E2" s="16" t="s">
        <v>703</v>
      </c>
      <c r="F2" s="16" t="s">
        <v>310</v>
      </c>
      <c r="G2" s="28">
        <v>31740</v>
      </c>
      <c r="H2" s="28">
        <v>0</v>
      </c>
      <c r="I2" s="28">
        <f>+G2-H2</f>
        <v>31740</v>
      </c>
    </row>
    <row r="3" spans="1:9" x14ac:dyDescent="0.3">
      <c r="A3" s="16" t="s">
        <v>701</v>
      </c>
      <c r="B3" s="16" t="s">
        <v>702</v>
      </c>
      <c r="C3" s="25">
        <v>45670</v>
      </c>
      <c r="D3" s="16" t="s">
        <v>312</v>
      </c>
      <c r="E3" s="16" t="s">
        <v>411</v>
      </c>
      <c r="F3" s="16" t="s">
        <v>412</v>
      </c>
      <c r="G3" s="28">
        <v>0</v>
      </c>
      <c r="H3" s="28">
        <v>257074</v>
      </c>
      <c r="I3" s="28">
        <f>I2+G3-H3</f>
        <v>-225334</v>
      </c>
    </row>
    <row r="4" spans="1:9" x14ac:dyDescent="0.3">
      <c r="A4" s="16" t="s">
        <v>701</v>
      </c>
      <c r="B4" s="16" t="s">
        <v>702</v>
      </c>
      <c r="C4" s="25">
        <v>45686</v>
      </c>
      <c r="D4" s="16" t="s">
        <v>305</v>
      </c>
      <c r="E4" s="16" t="s">
        <v>311</v>
      </c>
      <c r="F4" s="16"/>
      <c r="G4" s="28">
        <v>0</v>
      </c>
      <c r="H4" s="28">
        <v>3839</v>
      </c>
      <c r="I4" s="28">
        <f t="shared" ref="I4:I67" si="0">I3+G4-H4</f>
        <v>-229173</v>
      </c>
    </row>
    <row r="5" spans="1:9" x14ac:dyDescent="0.3">
      <c r="A5" s="16" t="s">
        <v>701</v>
      </c>
      <c r="B5" s="16" t="s">
        <v>702</v>
      </c>
      <c r="C5" s="25">
        <v>45701</v>
      </c>
      <c r="D5" s="16" t="s">
        <v>308</v>
      </c>
      <c r="E5" s="16" t="s">
        <v>703</v>
      </c>
      <c r="F5" s="16" t="s">
        <v>704</v>
      </c>
      <c r="G5" s="28">
        <v>260913</v>
      </c>
      <c r="H5" s="28">
        <v>0</v>
      </c>
      <c r="I5" s="28">
        <f t="shared" si="0"/>
        <v>31740</v>
      </c>
    </row>
    <row r="6" spans="1:9" x14ac:dyDescent="0.3">
      <c r="A6" s="16" t="s">
        <v>701</v>
      </c>
      <c r="B6" s="16" t="s">
        <v>702</v>
      </c>
      <c r="C6" s="25">
        <v>45709</v>
      </c>
      <c r="D6" s="16" t="s">
        <v>305</v>
      </c>
      <c r="E6" s="16" t="s">
        <v>311</v>
      </c>
      <c r="F6" s="16"/>
      <c r="G6" s="28">
        <v>0</v>
      </c>
      <c r="H6" s="28">
        <v>10</v>
      </c>
      <c r="I6" s="28">
        <f t="shared" si="0"/>
        <v>31730</v>
      </c>
    </row>
    <row r="7" spans="1:9" x14ac:dyDescent="0.3">
      <c r="A7" s="16" t="s">
        <v>701</v>
      </c>
      <c r="B7" s="16" t="s">
        <v>702</v>
      </c>
      <c r="C7" s="25">
        <v>45709</v>
      </c>
      <c r="D7" s="16" t="s">
        <v>305</v>
      </c>
      <c r="E7" s="16" t="s">
        <v>705</v>
      </c>
      <c r="F7" s="16"/>
      <c r="G7" s="28">
        <v>0</v>
      </c>
      <c r="H7" s="28">
        <v>504.14</v>
      </c>
      <c r="I7" s="28">
        <f t="shared" si="0"/>
        <v>31225.86</v>
      </c>
    </row>
    <row r="8" spans="1:9" x14ac:dyDescent="0.3">
      <c r="A8" s="16" t="s">
        <v>701</v>
      </c>
      <c r="B8" s="16" t="s">
        <v>702</v>
      </c>
      <c r="C8" s="25">
        <v>45714</v>
      </c>
      <c r="D8" s="16" t="s">
        <v>305</v>
      </c>
      <c r="E8" s="16" t="s">
        <v>311</v>
      </c>
      <c r="F8" s="16"/>
      <c r="G8" s="28">
        <v>0</v>
      </c>
      <c r="H8" s="28">
        <v>3862</v>
      </c>
      <c r="I8" s="28">
        <f t="shared" si="0"/>
        <v>27363.86</v>
      </c>
    </row>
    <row r="9" spans="1:9" x14ac:dyDescent="0.3">
      <c r="A9" s="16" t="s">
        <v>701</v>
      </c>
      <c r="B9" s="16" t="s">
        <v>702</v>
      </c>
      <c r="C9" s="25">
        <v>45716</v>
      </c>
      <c r="D9" s="16" t="s">
        <v>305</v>
      </c>
      <c r="E9" s="16" t="s">
        <v>306</v>
      </c>
      <c r="F9" s="16" t="s">
        <v>706</v>
      </c>
      <c r="G9" s="28">
        <v>0</v>
      </c>
      <c r="H9" s="28">
        <v>231942</v>
      </c>
      <c r="I9" s="28">
        <f t="shared" si="0"/>
        <v>-204578.14</v>
      </c>
    </row>
    <row r="10" spans="1:9" x14ac:dyDescent="0.3">
      <c r="A10" s="16" t="s">
        <v>701</v>
      </c>
      <c r="B10" s="16" t="s">
        <v>702</v>
      </c>
      <c r="C10" s="25">
        <v>45716</v>
      </c>
      <c r="D10" s="16" t="s">
        <v>305</v>
      </c>
      <c r="E10" s="16" t="s">
        <v>306</v>
      </c>
      <c r="F10" s="16" t="s">
        <v>707</v>
      </c>
      <c r="G10" s="28">
        <v>0</v>
      </c>
      <c r="H10" s="28">
        <v>73500</v>
      </c>
      <c r="I10" s="28">
        <f t="shared" si="0"/>
        <v>-278078.14</v>
      </c>
    </row>
    <row r="11" spans="1:9" x14ac:dyDescent="0.3">
      <c r="A11" s="16" t="s">
        <v>701</v>
      </c>
      <c r="B11" s="16" t="s">
        <v>702</v>
      </c>
      <c r="C11" s="25">
        <v>45729</v>
      </c>
      <c r="D11" s="16" t="s">
        <v>308</v>
      </c>
      <c r="E11" s="16" t="s">
        <v>703</v>
      </c>
      <c r="F11" s="16" t="s">
        <v>708</v>
      </c>
      <c r="G11" s="28">
        <v>3872</v>
      </c>
      <c r="H11" s="28">
        <v>0</v>
      </c>
      <c r="I11" s="28">
        <f t="shared" si="0"/>
        <v>-274206.14</v>
      </c>
    </row>
    <row r="12" spans="1:9" x14ac:dyDescent="0.3">
      <c r="A12" s="16" t="s">
        <v>701</v>
      </c>
      <c r="B12" s="16" t="s">
        <v>702</v>
      </c>
      <c r="C12" s="25">
        <v>45743</v>
      </c>
      <c r="D12" s="16" t="s">
        <v>305</v>
      </c>
      <c r="E12" s="16" t="s">
        <v>311</v>
      </c>
      <c r="F12" s="16"/>
      <c r="G12" s="28">
        <v>0</v>
      </c>
      <c r="H12" s="28">
        <v>3887</v>
      </c>
      <c r="I12" s="28">
        <f t="shared" si="0"/>
        <v>-278093.14</v>
      </c>
    </row>
    <row r="13" spans="1:9" x14ac:dyDescent="0.3">
      <c r="A13" s="16" t="s">
        <v>701</v>
      </c>
      <c r="B13" s="16" t="s">
        <v>702</v>
      </c>
      <c r="C13" s="25">
        <v>45743</v>
      </c>
      <c r="D13" s="16" t="s">
        <v>305</v>
      </c>
      <c r="E13" s="16" t="s">
        <v>311</v>
      </c>
      <c r="F13" s="16"/>
      <c r="G13" s="28">
        <v>0</v>
      </c>
      <c r="H13" s="28">
        <v>185</v>
      </c>
      <c r="I13" s="28">
        <f t="shared" si="0"/>
        <v>-278278.14</v>
      </c>
    </row>
    <row r="14" spans="1:9" x14ac:dyDescent="0.3">
      <c r="A14" s="16" t="s">
        <v>701</v>
      </c>
      <c r="B14" s="16" t="s">
        <v>702</v>
      </c>
      <c r="C14" s="25">
        <v>45747</v>
      </c>
      <c r="D14" s="16" t="s">
        <v>337</v>
      </c>
      <c r="E14" s="16" t="s">
        <v>311</v>
      </c>
      <c r="F14" s="16"/>
      <c r="G14" s="28">
        <v>165.14</v>
      </c>
      <c r="H14" s="28">
        <v>0</v>
      </c>
      <c r="I14" s="28">
        <f t="shared" si="0"/>
        <v>-278113</v>
      </c>
    </row>
    <row r="15" spans="1:9" x14ac:dyDescent="0.3">
      <c r="A15" s="16" t="s">
        <v>701</v>
      </c>
      <c r="B15" s="16" t="s">
        <v>702</v>
      </c>
      <c r="C15" s="25">
        <v>45755</v>
      </c>
      <c r="D15" s="16" t="s">
        <v>305</v>
      </c>
      <c r="E15" s="16" t="s">
        <v>306</v>
      </c>
      <c r="F15" s="16" t="s">
        <v>709</v>
      </c>
      <c r="G15" s="28">
        <v>0</v>
      </c>
      <c r="H15" s="28">
        <v>120550.5</v>
      </c>
      <c r="I15" s="28">
        <f t="shared" si="0"/>
        <v>-398663.5</v>
      </c>
    </row>
    <row r="16" spans="1:9" x14ac:dyDescent="0.3">
      <c r="A16" s="16" t="s">
        <v>701</v>
      </c>
      <c r="B16" s="16" t="s">
        <v>702</v>
      </c>
      <c r="C16" s="25">
        <v>45757</v>
      </c>
      <c r="D16" s="16" t="s">
        <v>305</v>
      </c>
      <c r="E16" s="16" t="s">
        <v>311</v>
      </c>
      <c r="F16" s="16"/>
      <c r="G16" s="28">
        <v>0</v>
      </c>
      <c r="H16" s="28">
        <v>2985</v>
      </c>
      <c r="I16" s="28">
        <f t="shared" si="0"/>
        <v>-401648.5</v>
      </c>
    </row>
    <row r="17" spans="1:9" x14ac:dyDescent="0.3">
      <c r="A17" s="16" t="s">
        <v>701</v>
      </c>
      <c r="B17" s="16" t="s">
        <v>702</v>
      </c>
      <c r="C17" s="25">
        <v>45762</v>
      </c>
      <c r="D17" s="16" t="s">
        <v>308</v>
      </c>
      <c r="E17" s="16" t="s">
        <v>703</v>
      </c>
      <c r="F17" s="16" t="s">
        <v>710</v>
      </c>
      <c r="G17" s="28">
        <v>309853</v>
      </c>
      <c r="H17" s="28">
        <v>0</v>
      </c>
      <c r="I17" s="28">
        <f t="shared" si="0"/>
        <v>-91795.5</v>
      </c>
    </row>
    <row r="18" spans="1:9" x14ac:dyDescent="0.3">
      <c r="A18" s="16" t="s">
        <v>701</v>
      </c>
      <c r="B18" s="16" t="s">
        <v>702</v>
      </c>
      <c r="C18" s="25">
        <v>45762</v>
      </c>
      <c r="D18" s="16" t="s">
        <v>305</v>
      </c>
      <c r="E18" s="16" t="s">
        <v>306</v>
      </c>
      <c r="F18" s="16" t="s">
        <v>711</v>
      </c>
      <c r="G18" s="28">
        <v>0</v>
      </c>
      <c r="H18" s="28">
        <v>90000</v>
      </c>
      <c r="I18" s="28">
        <f t="shared" si="0"/>
        <v>-181795.5</v>
      </c>
    </row>
    <row r="19" spans="1:9" x14ac:dyDescent="0.3">
      <c r="A19" s="16" t="s">
        <v>701</v>
      </c>
      <c r="B19" s="16" t="s">
        <v>702</v>
      </c>
      <c r="C19" s="25">
        <v>45764</v>
      </c>
      <c r="D19" s="16" t="s">
        <v>305</v>
      </c>
      <c r="E19" s="16" t="s">
        <v>306</v>
      </c>
      <c r="F19" s="16" t="s">
        <v>712</v>
      </c>
      <c r="G19" s="28">
        <v>0</v>
      </c>
      <c r="H19" s="28">
        <v>115029.25</v>
      </c>
      <c r="I19" s="28">
        <f t="shared" si="0"/>
        <v>-296824.75</v>
      </c>
    </row>
    <row r="20" spans="1:9" x14ac:dyDescent="0.3">
      <c r="A20" s="16" t="s">
        <v>701</v>
      </c>
      <c r="B20" s="16" t="s">
        <v>702</v>
      </c>
      <c r="C20" s="25">
        <v>45768</v>
      </c>
      <c r="D20" s="16" t="s">
        <v>305</v>
      </c>
      <c r="E20" s="16" t="s">
        <v>311</v>
      </c>
      <c r="F20" s="16"/>
      <c r="G20" s="28">
        <v>0</v>
      </c>
      <c r="H20" s="28">
        <v>3133</v>
      </c>
      <c r="I20" s="28">
        <f t="shared" si="0"/>
        <v>-299957.75</v>
      </c>
    </row>
    <row r="21" spans="1:9" x14ac:dyDescent="0.3">
      <c r="A21" s="16" t="s">
        <v>701</v>
      </c>
      <c r="B21" s="16" t="s">
        <v>702</v>
      </c>
      <c r="C21" s="25">
        <v>45772</v>
      </c>
      <c r="D21" s="16" t="s">
        <v>305</v>
      </c>
      <c r="E21" s="16" t="s">
        <v>311</v>
      </c>
      <c r="F21" s="16"/>
      <c r="G21" s="28">
        <v>0</v>
      </c>
      <c r="H21" s="28">
        <v>3904</v>
      </c>
      <c r="I21" s="28">
        <f t="shared" si="0"/>
        <v>-303861.75</v>
      </c>
    </row>
    <row r="22" spans="1:9" x14ac:dyDescent="0.3">
      <c r="A22" s="16" t="s">
        <v>701</v>
      </c>
      <c r="B22" s="16" t="s">
        <v>702</v>
      </c>
      <c r="C22" s="25">
        <v>45776</v>
      </c>
      <c r="D22" s="16" t="s">
        <v>305</v>
      </c>
      <c r="E22" s="16" t="s">
        <v>306</v>
      </c>
      <c r="F22" s="16" t="s">
        <v>713</v>
      </c>
      <c r="G22" s="28">
        <v>0</v>
      </c>
      <c r="H22" s="28">
        <v>201890</v>
      </c>
      <c r="I22" s="28">
        <f t="shared" si="0"/>
        <v>-505751.75</v>
      </c>
    </row>
    <row r="23" spans="1:9" x14ac:dyDescent="0.3">
      <c r="A23" s="16" t="s">
        <v>701</v>
      </c>
      <c r="B23" s="16" t="s">
        <v>702</v>
      </c>
      <c r="C23" s="25">
        <v>45778</v>
      </c>
      <c r="D23" s="16" t="s">
        <v>318</v>
      </c>
      <c r="E23" s="16" t="s">
        <v>319</v>
      </c>
      <c r="F23" s="16"/>
      <c r="G23" s="28">
        <v>0</v>
      </c>
      <c r="H23" s="28">
        <v>4</v>
      </c>
      <c r="I23" s="28">
        <f t="shared" si="0"/>
        <v>-505755.75</v>
      </c>
    </row>
    <row r="24" spans="1:9" x14ac:dyDescent="0.3">
      <c r="A24" s="16" t="s">
        <v>701</v>
      </c>
      <c r="B24" s="16" t="s">
        <v>702</v>
      </c>
      <c r="C24" s="25">
        <v>45792</v>
      </c>
      <c r="D24" s="16" t="s">
        <v>308</v>
      </c>
      <c r="E24" s="16" t="s">
        <v>703</v>
      </c>
      <c r="F24" s="16" t="s">
        <v>708</v>
      </c>
      <c r="G24" s="28">
        <v>100022</v>
      </c>
      <c r="H24" s="28">
        <v>0</v>
      </c>
      <c r="I24" s="28">
        <f t="shared" si="0"/>
        <v>-405733.75</v>
      </c>
    </row>
    <row r="25" spans="1:9" x14ac:dyDescent="0.3">
      <c r="A25" s="16" t="s">
        <v>701</v>
      </c>
      <c r="B25" s="16" t="s">
        <v>702</v>
      </c>
      <c r="C25" s="25">
        <v>45792</v>
      </c>
      <c r="D25" s="16" t="s">
        <v>305</v>
      </c>
      <c r="E25" s="16" t="s">
        <v>311</v>
      </c>
      <c r="F25" s="16"/>
      <c r="G25" s="28">
        <v>0</v>
      </c>
      <c r="H25" s="28">
        <v>3633.25</v>
      </c>
      <c r="I25" s="28">
        <f t="shared" si="0"/>
        <v>-409367</v>
      </c>
    </row>
    <row r="26" spans="1:9" x14ac:dyDescent="0.3">
      <c r="A26" s="16" t="s">
        <v>701</v>
      </c>
      <c r="B26" s="16" t="s">
        <v>702</v>
      </c>
      <c r="C26" s="25">
        <v>45805</v>
      </c>
      <c r="D26" s="16" t="s">
        <v>305</v>
      </c>
      <c r="E26" s="16" t="s">
        <v>311</v>
      </c>
      <c r="F26" s="16"/>
      <c r="G26" s="28">
        <v>0</v>
      </c>
      <c r="H26" s="28">
        <v>158</v>
      </c>
      <c r="I26" s="28">
        <f t="shared" si="0"/>
        <v>-409525</v>
      </c>
    </row>
    <row r="27" spans="1:9" x14ac:dyDescent="0.3">
      <c r="A27" s="16" t="s">
        <v>701</v>
      </c>
      <c r="B27" s="16" t="s">
        <v>702</v>
      </c>
      <c r="C27" s="25">
        <v>45805</v>
      </c>
      <c r="D27" s="16" t="s">
        <v>305</v>
      </c>
      <c r="E27" s="16" t="s">
        <v>311</v>
      </c>
      <c r="F27" s="16"/>
      <c r="G27" s="28">
        <v>0</v>
      </c>
      <c r="H27" s="28">
        <v>3918</v>
      </c>
      <c r="I27" s="28">
        <f t="shared" si="0"/>
        <v>-413443</v>
      </c>
    </row>
    <row r="28" spans="1:9" x14ac:dyDescent="0.3">
      <c r="A28" s="16" t="s">
        <v>701</v>
      </c>
      <c r="B28" s="16" t="s">
        <v>702</v>
      </c>
      <c r="C28" s="25">
        <v>45805</v>
      </c>
      <c r="D28" s="16" t="s">
        <v>305</v>
      </c>
      <c r="E28" s="16" t="s">
        <v>311</v>
      </c>
      <c r="F28" s="16"/>
      <c r="G28" s="28">
        <v>0</v>
      </c>
      <c r="H28" s="28">
        <v>5935</v>
      </c>
      <c r="I28" s="28">
        <f t="shared" si="0"/>
        <v>-419378</v>
      </c>
    </row>
    <row r="29" spans="1:9" x14ac:dyDescent="0.3">
      <c r="A29" s="16" t="s">
        <v>701</v>
      </c>
      <c r="B29" s="16" t="s">
        <v>702</v>
      </c>
      <c r="C29" s="25">
        <v>45818</v>
      </c>
      <c r="D29" s="16" t="s">
        <v>337</v>
      </c>
      <c r="E29" s="16" t="s">
        <v>311</v>
      </c>
      <c r="F29" s="16"/>
      <c r="G29" s="28">
        <v>507</v>
      </c>
      <c r="H29" s="28">
        <v>0</v>
      </c>
      <c r="I29" s="28">
        <f t="shared" si="0"/>
        <v>-418871</v>
      </c>
    </row>
    <row r="30" spans="1:9" x14ac:dyDescent="0.3">
      <c r="A30" s="16" t="s">
        <v>701</v>
      </c>
      <c r="B30" s="16" t="s">
        <v>702</v>
      </c>
      <c r="C30" s="25">
        <v>45820</v>
      </c>
      <c r="D30" s="16" t="s">
        <v>308</v>
      </c>
      <c r="E30" s="16" t="s">
        <v>703</v>
      </c>
      <c r="F30" s="16" t="s">
        <v>714</v>
      </c>
      <c r="G30" s="28">
        <v>450611</v>
      </c>
      <c r="H30" s="28">
        <v>0</v>
      </c>
      <c r="I30" s="28">
        <f t="shared" si="0"/>
        <v>31740</v>
      </c>
    </row>
    <row r="31" spans="1:9" x14ac:dyDescent="0.3">
      <c r="A31" s="16" t="s">
        <v>701</v>
      </c>
      <c r="B31" s="16" t="s">
        <v>702</v>
      </c>
      <c r="C31" s="25">
        <v>45877</v>
      </c>
      <c r="D31" s="16" t="s">
        <v>305</v>
      </c>
      <c r="E31" s="16" t="s">
        <v>306</v>
      </c>
      <c r="F31" s="16" t="s">
        <v>715</v>
      </c>
      <c r="G31" s="28">
        <v>0</v>
      </c>
      <c r="H31" s="28">
        <v>88153</v>
      </c>
      <c r="I31" s="28">
        <f t="shared" si="0"/>
        <v>-56413</v>
      </c>
    </row>
    <row r="32" spans="1:9" x14ac:dyDescent="0.3">
      <c r="A32" s="16" t="s">
        <v>701</v>
      </c>
      <c r="B32" s="16" t="s">
        <v>702</v>
      </c>
      <c r="C32" s="25">
        <v>45882</v>
      </c>
      <c r="D32" s="16" t="s">
        <v>305</v>
      </c>
      <c r="E32" s="16" t="s">
        <v>306</v>
      </c>
      <c r="F32" s="16" t="s">
        <v>716</v>
      </c>
      <c r="G32" s="28">
        <v>0</v>
      </c>
      <c r="H32" s="28">
        <v>209873</v>
      </c>
      <c r="I32" s="28">
        <f t="shared" si="0"/>
        <v>-266286</v>
      </c>
    </row>
    <row r="33" spans="1:9" x14ac:dyDescent="0.3">
      <c r="A33" s="16" t="s">
        <v>701</v>
      </c>
      <c r="B33" s="16" t="s">
        <v>702</v>
      </c>
      <c r="C33" s="25">
        <v>45889</v>
      </c>
      <c r="D33" s="16" t="s">
        <v>305</v>
      </c>
      <c r="E33" s="16" t="s">
        <v>717</v>
      </c>
      <c r="F33" s="16" t="s">
        <v>718</v>
      </c>
      <c r="G33" s="28">
        <v>0</v>
      </c>
      <c r="H33" s="28">
        <v>22990</v>
      </c>
      <c r="I33" s="28">
        <f t="shared" si="0"/>
        <v>-289276</v>
      </c>
    </row>
    <row r="34" spans="1:9" x14ac:dyDescent="0.3">
      <c r="A34" s="16" t="s">
        <v>701</v>
      </c>
      <c r="B34" s="16" t="s">
        <v>702</v>
      </c>
      <c r="C34" s="25">
        <v>45890</v>
      </c>
      <c r="D34" s="16" t="s">
        <v>312</v>
      </c>
      <c r="E34" s="16" t="s">
        <v>376</v>
      </c>
      <c r="F34" s="16" t="s">
        <v>719</v>
      </c>
      <c r="G34" s="28">
        <v>0</v>
      </c>
      <c r="H34" s="28">
        <v>449610</v>
      </c>
      <c r="I34" s="28">
        <f t="shared" si="0"/>
        <v>-738886</v>
      </c>
    </row>
    <row r="35" spans="1:9" x14ac:dyDescent="0.3">
      <c r="A35" s="16" t="s">
        <v>701</v>
      </c>
      <c r="B35" s="16" t="s">
        <v>702</v>
      </c>
      <c r="C35" s="25">
        <v>45896</v>
      </c>
      <c r="D35" s="16" t="s">
        <v>305</v>
      </c>
      <c r="E35" s="16" t="s">
        <v>311</v>
      </c>
      <c r="F35" s="16"/>
      <c r="G35" s="28">
        <v>0</v>
      </c>
      <c r="H35" s="28">
        <v>3934</v>
      </c>
      <c r="I35" s="28">
        <f t="shared" si="0"/>
        <v>-742820</v>
      </c>
    </row>
    <row r="36" spans="1:9" x14ac:dyDescent="0.3">
      <c r="A36" s="16" t="s">
        <v>701</v>
      </c>
      <c r="B36" s="16" t="s">
        <v>702</v>
      </c>
      <c r="C36" s="25">
        <v>45896</v>
      </c>
      <c r="D36" s="16" t="s">
        <v>305</v>
      </c>
      <c r="E36" s="16" t="s">
        <v>306</v>
      </c>
      <c r="F36" s="16" t="s">
        <v>720</v>
      </c>
      <c r="G36" s="28">
        <v>0</v>
      </c>
      <c r="H36" s="28">
        <v>21390</v>
      </c>
      <c r="I36" s="28">
        <f t="shared" si="0"/>
        <v>-764210</v>
      </c>
    </row>
    <row r="37" spans="1:9" x14ac:dyDescent="0.3">
      <c r="A37" s="16" t="s">
        <v>701</v>
      </c>
      <c r="B37" s="16" t="s">
        <v>702</v>
      </c>
      <c r="C37" s="25">
        <v>45897</v>
      </c>
      <c r="D37" s="16" t="s">
        <v>305</v>
      </c>
      <c r="E37" s="16" t="s">
        <v>721</v>
      </c>
      <c r="F37" s="16" t="s">
        <v>722</v>
      </c>
      <c r="G37" s="28">
        <v>0</v>
      </c>
      <c r="H37" s="28">
        <v>190601</v>
      </c>
      <c r="I37" s="28">
        <f t="shared" si="0"/>
        <v>-954811</v>
      </c>
    </row>
    <row r="38" spans="1:9" x14ac:dyDescent="0.3">
      <c r="A38" s="16" t="s">
        <v>701</v>
      </c>
      <c r="B38" s="16" t="s">
        <v>702</v>
      </c>
      <c r="C38" s="25">
        <v>45898</v>
      </c>
      <c r="D38" s="16" t="s">
        <v>305</v>
      </c>
      <c r="E38" s="16" t="s">
        <v>546</v>
      </c>
      <c r="F38" s="16" t="s">
        <v>723</v>
      </c>
      <c r="G38" s="28">
        <v>0</v>
      </c>
      <c r="H38" s="28">
        <v>77980</v>
      </c>
      <c r="I38" s="28">
        <f t="shared" si="0"/>
        <v>-1032791</v>
      </c>
    </row>
    <row r="39" spans="1:9" x14ac:dyDescent="0.3">
      <c r="A39" s="16" t="s">
        <v>701</v>
      </c>
      <c r="B39" s="16" t="s">
        <v>702</v>
      </c>
      <c r="C39" s="25">
        <v>45902</v>
      </c>
      <c r="D39" s="16" t="s">
        <v>305</v>
      </c>
      <c r="E39" s="16" t="s">
        <v>306</v>
      </c>
      <c r="F39" s="16" t="s">
        <v>724</v>
      </c>
      <c r="G39" s="28">
        <v>0</v>
      </c>
      <c r="H39" s="28">
        <v>138260</v>
      </c>
      <c r="I39" s="28">
        <f t="shared" si="0"/>
        <v>-1171051</v>
      </c>
    </row>
    <row r="40" spans="1:9" x14ac:dyDescent="0.3">
      <c r="A40" s="16" t="s">
        <v>701</v>
      </c>
      <c r="B40" s="16" t="s">
        <v>702</v>
      </c>
      <c r="C40" s="25">
        <v>45903</v>
      </c>
      <c r="D40" s="16" t="s">
        <v>305</v>
      </c>
      <c r="E40" s="16" t="s">
        <v>550</v>
      </c>
      <c r="F40" s="16" t="s">
        <v>725</v>
      </c>
      <c r="G40" s="28">
        <v>0</v>
      </c>
      <c r="H40" s="28">
        <v>76920</v>
      </c>
      <c r="I40" s="28">
        <f t="shared" si="0"/>
        <v>-1247971</v>
      </c>
    </row>
    <row r="41" spans="1:9" x14ac:dyDescent="0.3">
      <c r="A41" s="16" t="s">
        <v>701</v>
      </c>
      <c r="B41" s="16" t="s">
        <v>702</v>
      </c>
      <c r="C41" s="25">
        <v>45903</v>
      </c>
      <c r="D41" s="16" t="s">
        <v>305</v>
      </c>
      <c r="E41" s="16" t="s">
        <v>726</v>
      </c>
      <c r="F41" s="16" t="s">
        <v>727</v>
      </c>
      <c r="G41" s="28">
        <v>0</v>
      </c>
      <c r="H41" s="28">
        <v>135600</v>
      </c>
      <c r="I41" s="28">
        <f t="shared" si="0"/>
        <v>-1383571</v>
      </c>
    </row>
    <row r="42" spans="1:9" x14ac:dyDescent="0.3">
      <c r="A42" s="16" t="s">
        <v>701</v>
      </c>
      <c r="B42" s="16" t="s">
        <v>702</v>
      </c>
      <c r="C42" s="25">
        <v>45903</v>
      </c>
      <c r="D42" s="16" t="s">
        <v>305</v>
      </c>
      <c r="E42" s="16" t="s">
        <v>306</v>
      </c>
      <c r="F42" s="16" t="s">
        <v>728</v>
      </c>
      <c r="G42" s="28">
        <v>0</v>
      </c>
      <c r="H42" s="28">
        <v>47640</v>
      </c>
      <c r="I42" s="28">
        <f t="shared" si="0"/>
        <v>-1431211</v>
      </c>
    </row>
    <row r="43" spans="1:9" x14ac:dyDescent="0.3">
      <c r="A43" s="16" t="s">
        <v>701</v>
      </c>
      <c r="B43" s="16" t="s">
        <v>702</v>
      </c>
      <c r="C43" s="25">
        <v>45904</v>
      </c>
      <c r="D43" s="16" t="s">
        <v>312</v>
      </c>
      <c r="E43" s="16" t="s">
        <v>396</v>
      </c>
      <c r="F43" s="16" t="s">
        <v>729</v>
      </c>
      <c r="G43" s="28">
        <v>0</v>
      </c>
      <c r="H43" s="28">
        <v>302372</v>
      </c>
      <c r="I43" s="28">
        <f t="shared" si="0"/>
        <v>-1733583</v>
      </c>
    </row>
    <row r="44" spans="1:9" x14ac:dyDescent="0.3">
      <c r="A44" s="16" t="s">
        <v>701</v>
      </c>
      <c r="B44" s="16" t="s">
        <v>702</v>
      </c>
      <c r="C44" s="25">
        <v>45904</v>
      </c>
      <c r="D44" s="16" t="s">
        <v>312</v>
      </c>
      <c r="E44" s="16" t="s">
        <v>396</v>
      </c>
      <c r="F44" s="16" t="s">
        <v>398</v>
      </c>
      <c r="G44" s="28">
        <v>0</v>
      </c>
      <c r="H44" s="28">
        <v>24003</v>
      </c>
      <c r="I44" s="28">
        <f t="shared" si="0"/>
        <v>-1757586</v>
      </c>
    </row>
    <row r="45" spans="1:9" x14ac:dyDescent="0.3">
      <c r="A45" s="16" t="s">
        <v>701</v>
      </c>
      <c r="B45" s="16" t="s">
        <v>702</v>
      </c>
      <c r="C45" s="25">
        <v>45910</v>
      </c>
      <c r="D45" s="16" t="s">
        <v>305</v>
      </c>
      <c r="E45" s="16" t="s">
        <v>306</v>
      </c>
      <c r="F45" s="16" t="s">
        <v>730</v>
      </c>
      <c r="G45" s="28">
        <v>0</v>
      </c>
      <c r="H45" s="28">
        <v>12971</v>
      </c>
      <c r="I45" s="28">
        <f t="shared" si="0"/>
        <v>-1770557</v>
      </c>
    </row>
    <row r="46" spans="1:9" x14ac:dyDescent="0.3">
      <c r="A46" s="16" t="s">
        <v>701</v>
      </c>
      <c r="B46" s="16" t="s">
        <v>702</v>
      </c>
      <c r="C46" s="25">
        <v>45910</v>
      </c>
      <c r="D46" s="16" t="s">
        <v>305</v>
      </c>
      <c r="E46" s="16" t="s">
        <v>306</v>
      </c>
      <c r="F46" s="16" t="s">
        <v>731</v>
      </c>
      <c r="G46" s="28">
        <v>0</v>
      </c>
      <c r="H46" s="28">
        <v>102164</v>
      </c>
      <c r="I46" s="28">
        <f t="shared" si="0"/>
        <v>-1872721</v>
      </c>
    </row>
    <row r="47" spans="1:9" x14ac:dyDescent="0.3">
      <c r="A47" s="16" t="s">
        <v>701</v>
      </c>
      <c r="B47" s="16" t="s">
        <v>702</v>
      </c>
      <c r="C47" s="25">
        <v>45911</v>
      </c>
      <c r="D47" s="16" t="s">
        <v>308</v>
      </c>
      <c r="E47" s="16" t="s">
        <v>703</v>
      </c>
      <c r="F47" s="16" t="s">
        <v>732</v>
      </c>
      <c r="G47" s="28">
        <v>965161</v>
      </c>
      <c r="H47" s="28">
        <v>0</v>
      </c>
      <c r="I47" s="28">
        <f t="shared" si="0"/>
        <v>-907560</v>
      </c>
    </row>
    <row r="48" spans="1:9" x14ac:dyDescent="0.3">
      <c r="A48" s="16" t="s">
        <v>701</v>
      </c>
      <c r="B48" s="16" t="s">
        <v>702</v>
      </c>
      <c r="C48" s="25">
        <v>45926</v>
      </c>
      <c r="D48" s="16" t="s">
        <v>305</v>
      </c>
      <c r="E48" s="16" t="s">
        <v>311</v>
      </c>
      <c r="F48" s="16"/>
      <c r="G48" s="28">
        <v>0</v>
      </c>
      <c r="H48" s="28">
        <v>3949</v>
      </c>
      <c r="I48" s="28">
        <f t="shared" si="0"/>
        <v>-911509</v>
      </c>
    </row>
    <row r="49" spans="1:9" x14ac:dyDescent="0.3">
      <c r="A49" s="16" t="s">
        <v>701</v>
      </c>
      <c r="B49" s="16" t="s">
        <v>702</v>
      </c>
      <c r="C49" s="25">
        <v>45937</v>
      </c>
      <c r="D49" s="16" t="s">
        <v>305</v>
      </c>
      <c r="E49" s="16" t="s">
        <v>306</v>
      </c>
      <c r="F49" s="16" t="s">
        <v>733</v>
      </c>
      <c r="G49" s="28">
        <v>0</v>
      </c>
      <c r="H49" s="28">
        <v>113390</v>
      </c>
      <c r="I49" s="28">
        <f t="shared" si="0"/>
        <v>-1024899</v>
      </c>
    </row>
    <row r="50" spans="1:9" x14ac:dyDescent="0.3">
      <c r="A50" s="16" t="s">
        <v>701</v>
      </c>
      <c r="B50" s="16" t="s">
        <v>702</v>
      </c>
      <c r="C50" s="25">
        <v>45937</v>
      </c>
      <c r="D50" s="16" t="s">
        <v>312</v>
      </c>
      <c r="E50" s="16" t="s">
        <v>396</v>
      </c>
      <c r="F50" s="16" t="s">
        <v>734</v>
      </c>
      <c r="G50" s="28">
        <v>0</v>
      </c>
      <c r="H50" s="28">
        <v>303072</v>
      </c>
      <c r="I50" s="28">
        <f t="shared" si="0"/>
        <v>-1327971</v>
      </c>
    </row>
    <row r="51" spans="1:9" x14ac:dyDescent="0.3">
      <c r="A51" s="16" t="s">
        <v>701</v>
      </c>
      <c r="B51" s="16" t="s">
        <v>702</v>
      </c>
      <c r="C51" s="25">
        <v>45937</v>
      </c>
      <c r="D51" s="16" t="s">
        <v>312</v>
      </c>
      <c r="E51" s="16" t="s">
        <v>400</v>
      </c>
      <c r="F51" s="16" t="s">
        <v>735</v>
      </c>
      <c r="G51" s="28">
        <v>0</v>
      </c>
      <c r="H51" s="28">
        <v>101465</v>
      </c>
      <c r="I51" s="28">
        <f t="shared" si="0"/>
        <v>-1429436</v>
      </c>
    </row>
    <row r="52" spans="1:9" x14ac:dyDescent="0.3">
      <c r="A52" s="16" t="s">
        <v>701</v>
      </c>
      <c r="B52" s="16" t="s">
        <v>702</v>
      </c>
      <c r="C52" s="25">
        <v>45937</v>
      </c>
      <c r="D52" s="16" t="s">
        <v>312</v>
      </c>
      <c r="E52" s="16" t="s">
        <v>396</v>
      </c>
      <c r="F52" s="16" t="s">
        <v>398</v>
      </c>
      <c r="G52" s="28">
        <v>0</v>
      </c>
      <c r="H52" s="28">
        <v>24003</v>
      </c>
      <c r="I52" s="28">
        <f t="shared" si="0"/>
        <v>-1453439</v>
      </c>
    </row>
    <row r="53" spans="1:9" x14ac:dyDescent="0.3">
      <c r="A53" s="16" t="s">
        <v>701</v>
      </c>
      <c r="B53" s="16" t="s">
        <v>702</v>
      </c>
      <c r="C53" s="25">
        <v>45938</v>
      </c>
      <c r="D53" s="16" t="s">
        <v>305</v>
      </c>
      <c r="E53" s="16" t="s">
        <v>306</v>
      </c>
      <c r="F53" s="16" t="s">
        <v>736</v>
      </c>
      <c r="G53" s="28">
        <v>0</v>
      </c>
      <c r="H53" s="28">
        <v>36810</v>
      </c>
      <c r="I53" s="28">
        <f t="shared" si="0"/>
        <v>-1490249</v>
      </c>
    </row>
    <row r="54" spans="1:9" x14ac:dyDescent="0.3">
      <c r="A54" s="16" t="s">
        <v>701</v>
      </c>
      <c r="B54" s="16" t="s">
        <v>702</v>
      </c>
      <c r="C54" s="25">
        <v>45938</v>
      </c>
      <c r="D54" s="16" t="s">
        <v>312</v>
      </c>
      <c r="E54" s="16" t="s">
        <v>737</v>
      </c>
      <c r="F54" s="16" t="s">
        <v>738</v>
      </c>
      <c r="G54" s="28">
        <v>0</v>
      </c>
      <c r="H54" s="28">
        <v>548226</v>
      </c>
      <c r="I54" s="28">
        <f t="shared" si="0"/>
        <v>-2038475</v>
      </c>
    </row>
    <row r="55" spans="1:9" x14ac:dyDescent="0.3">
      <c r="A55" s="16" t="s">
        <v>701</v>
      </c>
      <c r="B55" s="16" t="s">
        <v>702</v>
      </c>
      <c r="C55" s="25">
        <v>45943</v>
      </c>
      <c r="D55" s="16" t="s">
        <v>312</v>
      </c>
      <c r="E55" s="16" t="s">
        <v>370</v>
      </c>
      <c r="F55" s="16" t="s">
        <v>739</v>
      </c>
      <c r="G55" s="28">
        <v>0</v>
      </c>
      <c r="H55" s="28">
        <v>33000</v>
      </c>
      <c r="I55" s="28">
        <f t="shared" si="0"/>
        <v>-2071475</v>
      </c>
    </row>
    <row r="56" spans="1:9" x14ac:dyDescent="0.3">
      <c r="A56" s="16" t="s">
        <v>701</v>
      </c>
      <c r="B56" s="16" t="s">
        <v>702</v>
      </c>
      <c r="C56" s="25">
        <v>45943</v>
      </c>
      <c r="D56" s="16" t="s">
        <v>312</v>
      </c>
      <c r="E56" s="16" t="s">
        <v>740</v>
      </c>
      <c r="F56" s="16" t="s">
        <v>741</v>
      </c>
      <c r="G56" s="28">
        <v>0</v>
      </c>
      <c r="H56" s="28">
        <v>491</v>
      </c>
      <c r="I56" s="28">
        <f t="shared" si="0"/>
        <v>-2071966</v>
      </c>
    </row>
    <row r="57" spans="1:9" x14ac:dyDescent="0.3">
      <c r="A57" s="16" t="s">
        <v>701</v>
      </c>
      <c r="B57" s="16" t="s">
        <v>702</v>
      </c>
      <c r="C57" s="25">
        <v>45943</v>
      </c>
      <c r="D57" s="16" t="s">
        <v>312</v>
      </c>
      <c r="E57" s="16" t="s">
        <v>742</v>
      </c>
      <c r="F57" s="16" t="s">
        <v>743</v>
      </c>
      <c r="G57" s="28">
        <v>0</v>
      </c>
      <c r="H57" s="28">
        <v>27990</v>
      </c>
      <c r="I57" s="28">
        <f t="shared" si="0"/>
        <v>-2099956</v>
      </c>
    </row>
    <row r="58" spans="1:9" x14ac:dyDescent="0.3">
      <c r="A58" s="16" t="s">
        <v>701</v>
      </c>
      <c r="B58" s="16" t="s">
        <v>702</v>
      </c>
      <c r="C58" s="25">
        <v>45943</v>
      </c>
      <c r="D58" s="16" t="s">
        <v>305</v>
      </c>
      <c r="E58" s="16" t="s">
        <v>373</v>
      </c>
      <c r="F58" s="16"/>
      <c r="G58" s="28">
        <v>0</v>
      </c>
      <c r="H58" s="28">
        <v>3300</v>
      </c>
      <c r="I58" s="28">
        <f t="shared" si="0"/>
        <v>-2103256</v>
      </c>
    </row>
    <row r="59" spans="1:9" x14ac:dyDescent="0.3">
      <c r="A59" s="16" t="s">
        <v>701</v>
      </c>
      <c r="B59" s="16" t="s">
        <v>702</v>
      </c>
      <c r="C59" s="25">
        <v>45944</v>
      </c>
      <c r="D59" s="16" t="s">
        <v>308</v>
      </c>
      <c r="E59" s="16" t="s">
        <v>703</v>
      </c>
      <c r="F59" s="16" t="s">
        <v>708</v>
      </c>
      <c r="G59" s="28">
        <v>943249</v>
      </c>
      <c r="H59" s="28">
        <v>0</v>
      </c>
      <c r="I59" s="28">
        <f t="shared" si="0"/>
        <v>-1160007</v>
      </c>
    </row>
    <row r="60" spans="1:9" x14ac:dyDescent="0.3">
      <c r="A60" s="16" t="s">
        <v>701</v>
      </c>
      <c r="B60" s="16" t="s">
        <v>702</v>
      </c>
      <c r="C60" s="25">
        <v>45946</v>
      </c>
      <c r="D60" s="16" t="s">
        <v>312</v>
      </c>
      <c r="E60" s="16" t="s">
        <v>744</v>
      </c>
      <c r="F60" s="16" t="s">
        <v>745</v>
      </c>
      <c r="G60" s="28">
        <v>0</v>
      </c>
      <c r="H60" s="28">
        <v>228969</v>
      </c>
      <c r="I60" s="28">
        <f t="shared" si="0"/>
        <v>-1388976</v>
      </c>
    </row>
    <row r="61" spans="1:9" x14ac:dyDescent="0.3">
      <c r="A61" s="16" t="s">
        <v>701</v>
      </c>
      <c r="B61" s="16" t="s">
        <v>702</v>
      </c>
      <c r="C61" s="25">
        <v>45950</v>
      </c>
      <c r="D61" s="16" t="s">
        <v>312</v>
      </c>
      <c r="E61" s="16" t="s">
        <v>370</v>
      </c>
      <c r="F61" s="16" t="s">
        <v>746</v>
      </c>
      <c r="G61" s="28">
        <v>0</v>
      </c>
      <c r="H61" s="28">
        <v>48500</v>
      </c>
      <c r="I61" s="28">
        <f t="shared" si="0"/>
        <v>-1437476</v>
      </c>
    </row>
    <row r="62" spans="1:9" x14ac:dyDescent="0.3">
      <c r="A62" s="16" t="s">
        <v>701</v>
      </c>
      <c r="B62" s="16" t="s">
        <v>702</v>
      </c>
      <c r="C62" s="25">
        <v>45950</v>
      </c>
      <c r="D62" s="16" t="s">
        <v>312</v>
      </c>
      <c r="E62" s="16" t="s">
        <v>740</v>
      </c>
      <c r="F62" s="16" t="s">
        <v>747</v>
      </c>
      <c r="G62" s="28">
        <v>0</v>
      </c>
      <c r="H62" s="28">
        <v>491</v>
      </c>
      <c r="I62" s="28">
        <f t="shared" si="0"/>
        <v>-1437967</v>
      </c>
    </row>
    <row r="63" spans="1:9" x14ac:dyDescent="0.3">
      <c r="A63" s="16" t="s">
        <v>701</v>
      </c>
      <c r="B63" s="16" t="s">
        <v>702</v>
      </c>
      <c r="C63" s="25">
        <v>45950</v>
      </c>
      <c r="D63" s="16" t="s">
        <v>305</v>
      </c>
      <c r="E63" s="16" t="s">
        <v>373</v>
      </c>
      <c r="F63" s="16"/>
      <c r="G63" s="28">
        <v>0</v>
      </c>
      <c r="H63" s="28">
        <v>5234</v>
      </c>
      <c r="I63" s="28">
        <f t="shared" si="0"/>
        <v>-1443201</v>
      </c>
    </row>
    <row r="64" spans="1:9" x14ac:dyDescent="0.3">
      <c r="A64" s="16" t="s">
        <v>701</v>
      </c>
      <c r="B64" s="16" t="s">
        <v>702</v>
      </c>
      <c r="C64" s="25">
        <v>45952</v>
      </c>
      <c r="D64" s="16" t="s">
        <v>312</v>
      </c>
      <c r="E64" s="16" t="s">
        <v>370</v>
      </c>
      <c r="F64" s="16" t="s">
        <v>748</v>
      </c>
      <c r="G64" s="28">
        <v>0</v>
      </c>
      <c r="H64" s="28">
        <v>65300</v>
      </c>
      <c r="I64" s="28">
        <f t="shared" si="0"/>
        <v>-1508501</v>
      </c>
    </row>
    <row r="65" spans="1:9" x14ac:dyDescent="0.3">
      <c r="A65" s="16" t="s">
        <v>701</v>
      </c>
      <c r="B65" s="16" t="s">
        <v>702</v>
      </c>
      <c r="C65" s="25">
        <v>45952</v>
      </c>
      <c r="D65" s="16" t="s">
        <v>305</v>
      </c>
      <c r="E65" s="16" t="s">
        <v>373</v>
      </c>
      <c r="F65" s="16"/>
      <c r="G65" s="28">
        <v>0</v>
      </c>
      <c r="H65" s="28">
        <v>6074</v>
      </c>
      <c r="I65" s="28">
        <f t="shared" si="0"/>
        <v>-1514575</v>
      </c>
    </row>
    <row r="66" spans="1:9" x14ac:dyDescent="0.3">
      <c r="A66" s="16" t="s">
        <v>701</v>
      </c>
      <c r="B66" s="16" t="s">
        <v>702</v>
      </c>
      <c r="C66" s="25">
        <v>45958</v>
      </c>
      <c r="D66" s="16" t="s">
        <v>305</v>
      </c>
      <c r="E66" s="16" t="s">
        <v>306</v>
      </c>
      <c r="F66" s="16" t="s">
        <v>749</v>
      </c>
      <c r="G66" s="28">
        <v>0</v>
      </c>
      <c r="H66" s="28">
        <v>25060</v>
      </c>
      <c r="I66" s="28">
        <f t="shared" si="0"/>
        <v>-1539635</v>
      </c>
    </row>
    <row r="67" spans="1:9" x14ac:dyDescent="0.3">
      <c r="A67" s="16" t="s">
        <v>701</v>
      </c>
      <c r="B67" s="16" t="s">
        <v>702</v>
      </c>
      <c r="C67" s="25">
        <v>45958</v>
      </c>
      <c r="D67" s="16" t="s">
        <v>305</v>
      </c>
      <c r="E67" s="16" t="s">
        <v>306</v>
      </c>
      <c r="F67" s="16" t="s">
        <v>750</v>
      </c>
      <c r="G67" s="28">
        <v>0</v>
      </c>
      <c r="H67" s="28">
        <v>18540</v>
      </c>
      <c r="I67" s="28">
        <f t="shared" si="0"/>
        <v>-1558175</v>
      </c>
    </row>
    <row r="68" spans="1:9" x14ac:dyDescent="0.3">
      <c r="A68" s="16" t="s">
        <v>701</v>
      </c>
      <c r="B68" s="16" t="s">
        <v>702</v>
      </c>
      <c r="C68" s="25">
        <v>45958</v>
      </c>
      <c r="D68" s="16" t="s">
        <v>305</v>
      </c>
      <c r="E68" s="16" t="s">
        <v>311</v>
      </c>
      <c r="F68" s="16"/>
      <c r="G68" s="28">
        <v>0</v>
      </c>
      <c r="H68" s="28">
        <v>3958</v>
      </c>
      <c r="I68" s="28">
        <f t="shared" ref="I68:I107" si="1">I67+G68-H68</f>
        <v>-1562133</v>
      </c>
    </row>
    <row r="69" spans="1:9" x14ac:dyDescent="0.3">
      <c r="A69" s="16" t="s">
        <v>701</v>
      </c>
      <c r="B69" s="16" t="s">
        <v>702</v>
      </c>
      <c r="C69" s="25">
        <v>45959</v>
      </c>
      <c r="D69" s="16" t="s">
        <v>305</v>
      </c>
      <c r="E69" s="16" t="s">
        <v>306</v>
      </c>
      <c r="F69" s="16" t="s">
        <v>751</v>
      </c>
      <c r="G69" s="28">
        <v>0</v>
      </c>
      <c r="H69" s="28">
        <v>115348</v>
      </c>
      <c r="I69" s="28">
        <f t="shared" si="1"/>
        <v>-1677481</v>
      </c>
    </row>
    <row r="70" spans="1:9" x14ac:dyDescent="0.3">
      <c r="A70" s="16" t="s">
        <v>701</v>
      </c>
      <c r="B70" s="16" t="s">
        <v>702</v>
      </c>
      <c r="C70" s="25">
        <v>45962</v>
      </c>
      <c r="D70" s="16" t="s">
        <v>305</v>
      </c>
      <c r="E70" s="16" t="s">
        <v>373</v>
      </c>
      <c r="F70" s="16"/>
      <c r="G70" s="28">
        <v>0</v>
      </c>
      <c r="H70" s="28">
        <v>4809</v>
      </c>
      <c r="I70" s="28">
        <f t="shared" si="1"/>
        <v>-1682290</v>
      </c>
    </row>
    <row r="71" spans="1:9" x14ac:dyDescent="0.3">
      <c r="A71" s="16" t="s">
        <v>701</v>
      </c>
      <c r="B71" s="16" t="s">
        <v>702</v>
      </c>
      <c r="C71" s="25">
        <v>45962</v>
      </c>
      <c r="D71" s="16" t="s">
        <v>305</v>
      </c>
      <c r="E71" s="16" t="s">
        <v>373</v>
      </c>
      <c r="F71" s="16"/>
      <c r="G71" s="28">
        <v>0</v>
      </c>
      <c r="H71" s="28">
        <v>4809</v>
      </c>
      <c r="I71" s="28">
        <f t="shared" si="1"/>
        <v>-1687099</v>
      </c>
    </row>
    <row r="72" spans="1:9" x14ac:dyDescent="0.3">
      <c r="A72" s="16" t="s">
        <v>701</v>
      </c>
      <c r="B72" s="16" t="s">
        <v>702</v>
      </c>
      <c r="C72" s="25">
        <v>45964</v>
      </c>
      <c r="D72" s="16" t="s">
        <v>305</v>
      </c>
      <c r="E72" s="16" t="s">
        <v>306</v>
      </c>
      <c r="F72" s="16" t="s">
        <v>733</v>
      </c>
      <c r="G72" s="28">
        <v>0</v>
      </c>
      <c r="H72" s="28">
        <v>115790</v>
      </c>
      <c r="I72" s="28">
        <f t="shared" si="1"/>
        <v>-1802889</v>
      </c>
    </row>
    <row r="73" spans="1:9" x14ac:dyDescent="0.3">
      <c r="A73" s="16" t="s">
        <v>701</v>
      </c>
      <c r="B73" s="16" t="s">
        <v>702</v>
      </c>
      <c r="C73" s="25">
        <v>45964</v>
      </c>
      <c r="D73" s="16" t="s">
        <v>305</v>
      </c>
      <c r="E73" s="16" t="s">
        <v>306</v>
      </c>
      <c r="F73" s="16" t="s">
        <v>752</v>
      </c>
      <c r="G73" s="28">
        <v>0</v>
      </c>
      <c r="H73" s="28">
        <v>30350</v>
      </c>
      <c r="I73" s="28">
        <f t="shared" si="1"/>
        <v>-1833239</v>
      </c>
    </row>
    <row r="74" spans="1:9" x14ac:dyDescent="0.3">
      <c r="A74" s="16" t="s">
        <v>701</v>
      </c>
      <c r="B74" s="16" t="s">
        <v>702</v>
      </c>
      <c r="C74" s="25">
        <v>45964</v>
      </c>
      <c r="D74" s="16" t="s">
        <v>305</v>
      </c>
      <c r="E74" s="16" t="s">
        <v>550</v>
      </c>
      <c r="F74" s="16" t="s">
        <v>753</v>
      </c>
      <c r="G74" s="28">
        <v>0</v>
      </c>
      <c r="H74" s="28">
        <v>132650</v>
      </c>
      <c r="I74" s="28">
        <f t="shared" si="1"/>
        <v>-1965889</v>
      </c>
    </row>
    <row r="75" spans="1:9" x14ac:dyDescent="0.3">
      <c r="A75" s="16" t="s">
        <v>701</v>
      </c>
      <c r="B75" s="16" t="s">
        <v>702</v>
      </c>
      <c r="C75" s="25">
        <v>45965</v>
      </c>
      <c r="D75" s="16" t="s">
        <v>312</v>
      </c>
      <c r="E75" s="16" t="s">
        <v>370</v>
      </c>
      <c r="F75" s="16" t="s">
        <v>754</v>
      </c>
      <c r="G75" s="28">
        <v>0</v>
      </c>
      <c r="H75" s="28">
        <v>64500</v>
      </c>
      <c r="I75" s="28">
        <f t="shared" si="1"/>
        <v>-2030389</v>
      </c>
    </row>
    <row r="76" spans="1:9" x14ac:dyDescent="0.3">
      <c r="A76" s="16" t="s">
        <v>701</v>
      </c>
      <c r="B76" s="16" t="s">
        <v>702</v>
      </c>
      <c r="C76" s="25">
        <v>45965</v>
      </c>
      <c r="D76" s="16" t="s">
        <v>312</v>
      </c>
      <c r="E76" s="16" t="s">
        <v>740</v>
      </c>
      <c r="F76" s="16" t="s">
        <v>755</v>
      </c>
      <c r="G76" s="28">
        <v>0</v>
      </c>
      <c r="H76" s="28">
        <v>491</v>
      </c>
      <c r="I76" s="28">
        <f t="shared" si="1"/>
        <v>-2030880</v>
      </c>
    </row>
    <row r="77" spans="1:9" x14ac:dyDescent="0.3">
      <c r="A77" s="16" t="s">
        <v>701</v>
      </c>
      <c r="B77" s="16" t="s">
        <v>702</v>
      </c>
      <c r="C77" s="25">
        <v>45966</v>
      </c>
      <c r="D77" s="16" t="s">
        <v>305</v>
      </c>
      <c r="E77" s="16" t="s">
        <v>306</v>
      </c>
      <c r="F77" s="16" t="s">
        <v>736</v>
      </c>
      <c r="G77" s="28">
        <v>0</v>
      </c>
      <c r="H77" s="28">
        <v>20310</v>
      </c>
      <c r="I77" s="28">
        <f t="shared" si="1"/>
        <v>-2051190</v>
      </c>
    </row>
    <row r="78" spans="1:9" x14ac:dyDescent="0.3">
      <c r="A78" s="16" t="s">
        <v>701</v>
      </c>
      <c r="B78" s="16" t="s">
        <v>702</v>
      </c>
      <c r="C78" s="25">
        <v>45966</v>
      </c>
      <c r="D78" s="16" t="s">
        <v>305</v>
      </c>
      <c r="E78" s="16" t="s">
        <v>726</v>
      </c>
      <c r="F78" s="16" t="s">
        <v>756</v>
      </c>
      <c r="G78" s="28">
        <v>0</v>
      </c>
      <c r="H78" s="28">
        <v>135600</v>
      </c>
      <c r="I78" s="28">
        <f t="shared" si="1"/>
        <v>-2186790</v>
      </c>
    </row>
    <row r="79" spans="1:9" x14ac:dyDescent="0.3">
      <c r="A79" s="16" t="s">
        <v>701</v>
      </c>
      <c r="B79" s="16" t="s">
        <v>702</v>
      </c>
      <c r="C79" s="25">
        <v>45967</v>
      </c>
      <c r="D79" s="16" t="s">
        <v>305</v>
      </c>
      <c r="E79" s="16" t="s">
        <v>373</v>
      </c>
      <c r="F79" s="16" t="s">
        <v>757</v>
      </c>
      <c r="G79" s="28">
        <v>0</v>
      </c>
      <c r="H79" s="28">
        <v>75300</v>
      </c>
      <c r="I79" s="28">
        <f t="shared" si="1"/>
        <v>-2262090</v>
      </c>
    </row>
    <row r="80" spans="1:9" x14ac:dyDescent="0.3">
      <c r="A80" s="16" t="s">
        <v>701</v>
      </c>
      <c r="B80" s="16" t="s">
        <v>702</v>
      </c>
      <c r="C80" s="25">
        <v>45967</v>
      </c>
      <c r="D80" s="16" t="s">
        <v>305</v>
      </c>
      <c r="E80" s="16" t="s">
        <v>373</v>
      </c>
      <c r="F80" s="16" t="s">
        <v>758</v>
      </c>
      <c r="G80" s="28">
        <v>0</v>
      </c>
      <c r="H80" s="28">
        <v>70000</v>
      </c>
      <c r="I80" s="28">
        <f t="shared" si="1"/>
        <v>-2332090</v>
      </c>
    </row>
    <row r="81" spans="1:9" x14ac:dyDescent="0.3">
      <c r="A81" s="16" t="s">
        <v>701</v>
      </c>
      <c r="B81" s="16" t="s">
        <v>702</v>
      </c>
      <c r="C81" s="25">
        <v>45971</v>
      </c>
      <c r="D81" s="16" t="s">
        <v>312</v>
      </c>
      <c r="E81" s="16" t="s">
        <v>370</v>
      </c>
      <c r="F81" s="16" t="s">
        <v>759</v>
      </c>
      <c r="G81" s="28">
        <v>0</v>
      </c>
      <c r="H81" s="28">
        <v>64500</v>
      </c>
      <c r="I81" s="28">
        <f t="shared" si="1"/>
        <v>-2396590</v>
      </c>
    </row>
    <row r="82" spans="1:9" x14ac:dyDescent="0.3">
      <c r="A82" s="16" t="s">
        <v>701</v>
      </c>
      <c r="B82" s="16" t="s">
        <v>702</v>
      </c>
      <c r="C82" s="25">
        <v>45971</v>
      </c>
      <c r="D82" s="16" t="s">
        <v>312</v>
      </c>
      <c r="E82" s="16" t="s">
        <v>740</v>
      </c>
      <c r="F82" s="16" t="s">
        <v>760</v>
      </c>
      <c r="G82" s="28">
        <v>0</v>
      </c>
      <c r="H82" s="28">
        <v>491</v>
      </c>
      <c r="I82" s="28">
        <f t="shared" si="1"/>
        <v>-2397081</v>
      </c>
    </row>
    <row r="83" spans="1:9" x14ac:dyDescent="0.3">
      <c r="A83" s="16" t="s">
        <v>701</v>
      </c>
      <c r="B83" s="16" t="s">
        <v>702</v>
      </c>
      <c r="C83" s="25">
        <v>45974</v>
      </c>
      <c r="D83" s="16" t="s">
        <v>308</v>
      </c>
      <c r="E83" s="16" t="s">
        <v>703</v>
      </c>
      <c r="F83" s="16" t="s">
        <v>761</v>
      </c>
      <c r="G83" s="28">
        <v>1550273</v>
      </c>
      <c r="H83" s="28">
        <v>0</v>
      </c>
      <c r="I83" s="28">
        <f t="shared" si="1"/>
        <v>-846808</v>
      </c>
    </row>
    <row r="84" spans="1:9" x14ac:dyDescent="0.3">
      <c r="A84" s="16" t="s">
        <v>701</v>
      </c>
      <c r="B84" s="16" t="s">
        <v>702</v>
      </c>
      <c r="C84" s="25">
        <v>45978</v>
      </c>
      <c r="D84" s="16" t="s">
        <v>305</v>
      </c>
      <c r="E84" s="16" t="s">
        <v>306</v>
      </c>
      <c r="F84" s="16" t="s">
        <v>762</v>
      </c>
      <c r="G84" s="28">
        <v>0</v>
      </c>
      <c r="H84" s="28">
        <v>30000</v>
      </c>
      <c r="I84" s="28">
        <f t="shared" si="1"/>
        <v>-876808</v>
      </c>
    </row>
    <row r="85" spans="1:9" x14ac:dyDescent="0.3">
      <c r="A85" s="16" t="s">
        <v>701</v>
      </c>
      <c r="B85" s="16" t="s">
        <v>702</v>
      </c>
      <c r="C85" s="25">
        <v>45979</v>
      </c>
      <c r="D85" s="16" t="s">
        <v>312</v>
      </c>
      <c r="E85" s="16" t="s">
        <v>396</v>
      </c>
      <c r="F85" s="16" t="s">
        <v>763</v>
      </c>
      <c r="G85" s="28">
        <v>0</v>
      </c>
      <c r="H85" s="28">
        <v>303971</v>
      </c>
      <c r="I85" s="28">
        <f t="shared" si="1"/>
        <v>-1180779</v>
      </c>
    </row>
    <row r="86" spans="1:9" x14ac:dyDescent="0.3">
      <c r="A86" s="16" t="s">
        <v>701</v>
      </c>
      <c r="B86" s="16" t="s">
        <v>702</v>
      </c>
      <c r="C86" s="25">
        <v>45979</v>
      </c>
      <c r="D86" s="16" t="s">
        <v>312</v>
      </c>
      <c r="E86" s="16" t="s">
        <v>396</v>
      </c>
      <c r="F86" s="16" t="s">
        <v>398</v>
      </c>
      <c r="G86" s="28">
        <v>0</v>
      </c>
      <c r="H86" s="28">
        <v>24003</v>
      </c>
      <c r="I86" s="28">
        <f t="shared" si="1"/>
        <v>-1204782</v>
      </c>
    </row>
    <row r="87" spans="1:9" x14ac:dyDescent="0.3">
      <c r="A87" s="16" t="s">
        <v>701</v>
      </c>
      <c r="B87" s="16" t="s">
        <v>702</v>
      </c>
      <c r="C87" s="25">
        <v>45980</v>
      </c>
      <c r="D87" s="16" t="s">
        <v>305</v>
      </c>
      <c r="E87" s="16" t="s">
        <v>373</v>
      </c>
      <c r="F87" s="16" t="s">
        <v>764</v>
      </c>
      <c r="G87" s="28">
        <v>0</v>
      </c>
      <c r="H87" s="28">
        <v>56000</v>
      </c>
      <c r="I87" s="28">
        <f t="shared" si="1"/>
        <v>-1260782</v>
      </c>
    </row>
    <row r="88" spans="1:9" x14ac:dyDescent="0.3">
      <c r="A88" s="16" t="s">
        <v>701</v>
      </c>
      <c r="B88" s="16" t="s">
        <v>702</v>
      </c>
      <c r="C88" s="25">
        <v>45987</v>
      </c>
      <c r="D88" s="16" t="s">
        <v>305</v>
      </c>
      <c r="E88" s="16" t="s">
        <v>311</v>
      </c>
      <c r="F88" s="16"/>
      <c r="G88" s="28">
        <v>0</v>
      </c>
      <c r="H88" s="28">
        <v>3964</v>
      </c>
      <c r="I88" s="28">
        <f t="shared" si="1"/>
        <v>-1264746</v>
      </c>
    </row>
    <row r="89" spans="1:9" x14ac:dyDescent="0.3">
      <c r="A89" s="16" t="s">
        <v>701</v>
      </c>
      <c r="B89" s="16" t="s">
        <v>702</v>
      </c>
      <c r="C89" s="25">
        <v>45987</v>
      </c>
      <c r="D89" s="16" t="s">
        <v>305</v>
      </c>
      <c r="E89" s="16" t="s">
        <v>765</v>
      </c>
      <c r="F89" s="16" t="s">
        <v>766</v>
      </c>
      <c r="G89" s="28">
        <v>0</v>
      </c>
      <c r="H89" s="28">
        <v>29450</v>
      </c>
      <c r="I89" s="28">
        <f t="shared" si="1"/>
        <v>-1294196</v>
      </c>
    </row>
    <row r="90" spans="1:9" x14ac:dyDescent="0.3">
      <c r="A90" s="16" t="s">
        <v>701</v>
      </c>
      <c r="B90" s="16" t="s">
        <v>702</v>
      </c>
      <c r="C90" s="25">
        <v>45989</v>
      </c>
      <c r="D90" s="16" t="s">
        <v>305</v>
      </c>
      <c r="E90" s="16" t="s">
        <v>306</v>
      </c>
      <c r="F90" s="16" t="s">
        <v>767</v>
      </c>
      <c r="G90" s="28">
        <v>0</v>
      </c>
      <c r="H90" s="28">
        <v>164820</v>
      </c>
      <c r="I90" s="28">
        <f t="shared" si="1"/>
        <v>-1459016</v>
      </c>
    </row>
    <row r="91" spans="1:9" x14ac:dyDescent="0.3">
      <c r="A91" s="16" t="s">
        <v>701</v>
      </c>
      <c r="B91" s="16" t="s">
        <v>702</v>
      </c>
      <c r="C91" s="25">
        <v>45993</v>
      </c>
      <c r="D91" s="16" t="s">
        <v>305</v>
      </c>
      <c r="E91" s="16" t="s">
        <v>306</v>
      </c>
      <c r="F91" s="16" t="s">
        <v>768</v>
      </c>
      <c r="G91" s="28">
        <v>0</v>
      </c>
      <c r="H91" s="28">
        <v>23178.07</v>
      </c>
      <c r="I91" s="28">
        <f t="shared" si="1"/>
        <v>-1482194.07</v>
      </c>
    </row>
    <row r="92" spans="1:9" x14ac:dyDescent="0.3">
      <c r="A92" s="16" t="s">
        <v>701</v>
      </c>
      <c r="B92" s="16" t="s">
        <v>702</v>
      </c>
      <c r="C92" s="25">
        <v>45994</v>
      </c>
      <c r="D92" s="16" t="s">
        <v>305</v>
      </c>
      <c r="E92" s="16" t="s">
        <v>311</v>
      </c>
      <c r="F92" s="16"/>
      <c r="G92" s="28">
        <v>0</v>
      </c>
      <c r="H92" s="28">
        <v>592</v>
      </c>
      <c r="I92" s="28">
        <f t="shared" si="1"/>
        <v>-1482786.07</v>
      </c>
    </row>
    <row r="93" spans="1:9" x14ac:dyDescent="0.3">
      <c r="A93" s="16" t="s">
        <v>701</v>
      </c>
      <c r="B93" s="16" t="s">
        <v>702</v>
      </c>
      <c r="C93" s="25">
        <v>45997</v>
      </c>
      <c r="D93" s="16" t="s">
        <v>305</v>
      </c>
      <c r="E93" s="16" t="s">
        <v>306</v>
      </c>
      <c r="F93" s="16" t="s">
        <v>769</v>
      </c>
      <c r="G93" s="28">
        <v>0</v>
      </c>
      <c r="H93" s="28">
        <v>9303.81</v>
      </c>
      <c r="I93" s="28">
        <f t="shared" si="1"/>
        <v>-1492089.8800000001</v>
      </c>
    </row>
    <row r="94" spans="1:9" x14ac:dyDescent="0.3">
      <c r="A94" s="16" t="s">
        <v>701</v>
      </c>
      <c r="B94" s="16" t="s">
        <v>702</v>
      </c>
      <c r="C94" s="25">
        <v>45997</v>
      </c>
      <c r="D94" s="16" t="s">
        <v>305</v>
      </c>
      <c r="E94" s="16" t="s">
        <v>306</v>
      </c>
      <c r="F94" s="16" t="s">
        <v>770</v>
      </c>
      <c r="G94" s="28">
        <v>0</v>
      </c>
      <c r="H94" s="28">
        <v>11367.3</v>
      </c>
      <c r="I94" s="28">
        <f t="shared" si="1"/>
        <v>-1503457.1800000002</v>
      </c>
    </row>
    <row r="95" spans="1:9" x14ac:dyDescent="0.3">
      <c r="A95" s="16" t="s">
        <v>701</v>
      </c>
      <c r="B95" s="16" t="s">
        <v>702</v>
      </c>
      <c r="C95" s="25">
        <v>46000</v>
      </c>
      <c r="D95" s="16" t="s">
        <v>305</v>
      </c>
      <c r="E95" s="16" t="s">
        <v>311</v>
      </c>
      <c r="F95" s="16"/>
      <c r="G95" s="28">
        <v>0</v>
      </c>
      <c r="H95" s="28">
        <v>287</v>
      </c>
      <c r="I95" s="28">
        <f t="shared" si="1"/>
        <v>-1503744.1800000002</v>
      </c>
    </row>
    <row r="96" spans="1:9" x14ac:dyDescent="0.3">
      <c r="A96" s="16" t="s">
        <v>701</v>
      </c>
      <c r="B96" s="16" t="s">
        <v>702</v>
      </c>
      <c r="C96" s="25">
        <v>46000</v>
      </c>
      <c r="D96" s="16" t="s">
        <v>305</v>
      </c>
      <c r="E96" s="16" t="s">
        <v>311</v>
      </c>
      <c r="F96" s="16"/>
      <c r="G96" s="28">
        <v>0</v>
      </c>
      <c r="H96" s="28">
        <v>241</v>
      </c>
      <c r="I96" s="28">
        <f t="shared" si="1"/>
        <v>-1503985.1800000002</v>
      </c>
    </row>
    <row r="97" spans="1:11" x14ac:dyDescent="0.3">
      <c r="A97" s="16" t="s">
        <v>701</v>
      </c>
      <c r="B97" s="16" t="s">
        <v>702</v>
      </c>
      <c r="C97" s="25">
        <v>46001</v>
      </c>
      <c r="D97" s="16" t="s">
        <v>305</v>
      </c>
      <c r="E97" s="16" t="s">
        <v>306</v>
      </c>
      <c r="F97" s="16" t="s">
        <v>771</v>
      </c>
      <c r="G97" s="28">
        <v>0</v>
      </c>
      <c r="H97" s="28">
        <v>23000</v>
      </c>
      <c r="I97" s="28">
        <f t="shared" si="1"/>
        <v>-1526985.1800000002</v>
      </c>
    </row>
    <row r="98" spans="1:11" x14ac:dyDescent="0.3">
      <c r="A98" s="16" t="s">
        <v>701</v>
      </c>
      <c r="B98" s="16" t="s">
        <v>702</v>
      </c>
      <c r="C98" s="25">
        <v>46001</v>
      </c>
      <c r="D98" s="16" t="s">
        <v>312</v>
      </c>
      <c r="E98" s="16" t="s">
        <v>396</v>
      </c>
      <c r="F98" s="16" t="s">
        <v>772</v>
      </c>
      <c r="G98" s="28">
        <v>0</v>
      </c>
      <c r="H98" s="28">
        <v>304284</v>
      </c>
      <c r="I98" s="28">
        <f t="shared" si="1"/>
        <v>-1831269.1800000002</v>
      </c>
    </row>
    <row r="99" spans="1:11" x14ac:dyDescent="0.3">
      <c r="A99" s="16" t="s">
        <v>701</v>
      </c>
      <c r="B99" s="16" t="s">
        <v>702</v>
      </c>
      <c r="C99" s="25">
        <v>46001</v>
      </c>
      <c r="D99" s="16" t="s">
        <v>312</v>
      </c>
      <c r="E99" s="16" t="s">
        <v>396</v>
      </c>
      <c r="F99" s="16" t="s">
        <v>398</v>
      </c>
      <c r="G99" s="28">
        <v>0</v>
      </c>
      <c r="H99" s="28">
        <v>24003</v>
      </c>
      <c r="I99" s="28">
        <f t="shared" si="1"/>
        <v>-1855272.1800000002</v>
      </c>
    </row>
    <row r="100" spans="1:11" x14ac:dyDescent="0.3">
      <c r="A100" s="16" t="s">
        <v>701</v>
      </c>
      <c r="B100" s="16" t="s">
        <v>702</v>
      </c>
      <c r="C100" s="25">
        <v>46002</v>
      </c>
      <c r="D100" s="16" t="s">
        <v>305</v>
      </c>
      <c r="E100" s="16" t="s">
        <v>306</v>
      </c>
      <c r="F100" s="16" t="s">
        <v>773</v>
      </c>
      <c r="G100" s="28">
        <v>0</v>
      </c>
      <c r="H100" s="28">
        <v>64988</v>
      </c>
      <c r="I100" s="28">
        <f t="shared" si="1"/>
        <v>-1920260.1800000002</v>
      </c>
    </row>
    <row r="101" spans="1:11" x14ac:dyDescent="0.3">
      <c r="A101" s="16" t="s">
        <v>701</v>
      </c>
      <c r="B101" s="16" t="s">
        <v>702</v>
      </c>
      <c r="C101" s="25">
        <v>46006</v>
      </c>
      <c r="D101" s="16" t="s">
        <v>308</v>
      </c>
      <c r="E101" s="16" t="s">
        <v>703</v>
      </c>
      <c r="F101" s="16" t="s">
        <v>774</v>
      </c>
      <c r="G101" s="28">
        <v>1296486</v>
      </c>
      <c r="H101" s="28"/>
      <c r="I101" s="28">
        <f t="shared" si="1"/>
        <v>-623774.18000000017</v>
      </c>
    </row>
    <row r="102" spans="1:11" x14ac:dyDescent="0.3">
      <c r="A102" s="16" t="s">
        <v>701</v>
      </c>
      <c r="B102" s="16" t="s">
        <v>702</v>
      </c>
      <c r="C102" s="25">
        <v>46007</v>
      </c>
      <c r="D102" s="16" t="s">
        <v>305</v>
      </c>
      <c r="E102" s="16" t="s">
        <v>306</v>
      </c>
      <c r="F102" s="16" t="s">
        <v>775</v>
      </c>
      <c r="G102" s="28">
        <v>0</v>
      </c>
      <c r="H102" s="28">
        <v>263894</v>
      </c>
      <c r="I102" s="28">
        <f t="shared" si="1"/>
        <v>-887668.18000000017</v>
      </c>
    </row>
    <row r="103" spans="1:11" x14ac:dyDescent="0.3">
      <c r="A103" s="16" t="s">
        <v>701</v>
      </c>
      <c r="B103" s="16" t="s">
        <v>702</v>
      </c>
      <c r="C103" s="25">
        <v>46008</v>
      </c>
      <c r="D103" s="16" t="s">
        <v>305</v>
      </c>
      <c r="E103" s="16" t="s">
        <v>306</v>
      </c>
      <c r="F103" s="16" t="s">
        <v>776</v>
      </c>
      <c r="G103" s="28">
        <v>0</v>
      </c>
      <c r="H103" s="28">
        <v>209979</v>
      </c>
      <c r="I103" s="28">
        <f t="shared" si="1"/>
        <v>-1097647.1800000002</v>
      </c>
    </row>
    <row r="104" spans="1:11" x14ac:dyDescent="0.3">
      <c r="A104" s="16" t="s">
        <v>701</v>
      </c>
      <c r="B104" s="16" t="s">
        <v>702</v>
      </c>
      <c r="C104" s="25">
        <v>46013</v>
      </c>
      <c r="D104" s="16" t="s">
        <v>305</v>
      </c>
      <c r="E104" s="16" t="s">
        <v>306</v>
      </c>
      <c r="F104" s="16" t="s">
        <v>777</v>
      </c>
      <c r="G104" s="28">
        <v>0</v>
      </c>
      <c r="H104" s="28">
        <v>17370</v>
      </c>
      <c r="I104" s="28">
        <f t="shared" si="1"/>
        <v>-1115017.1800000002</v>
      </c>
    </row>
    <row r="105" spans="1:11" x14ac:dyDescent="0.3">
      <c r="A105" s="16" t="s">
        <v>701</v>
      </c>
      <c r="B105" s="16" t="s">
        <v>702</v>
      </c>
      <c r="C105" s="25">
        <v>46013</v>
      </c>
      <c r="D105" s="16" t="s">
        <v>305</v>
      </c>
      <c r="E105" s="16" t="s">
        <v>306</v>
      </c>
      <c r="F105" s="16" t="s">
        <v>778</v>
      </c>
      <c r="G105" s="28">
        <v>0</v>
      </c>
      <c r="H105" s="28">
        <v>95384</v>
      </c>
      <c r="I105" s="28">
        <f t="shared" si="1"/>
        <v>-1210401.1800000002</v>
      </c>
    </row>
    <row r="106" spans="1:11" x14ac:dyDescent="0.3">
      <c r="A106" s="16" t="s">
        <v>701</v>
      </c>
      <c r="B106" s="16" t="s">
        <v>702</v>
      </c>
      <c r="C106" s="25">
        <v>46017</v>
      </c>
      <c r="D106" s="16" t="s">
        <v>305</v>
      </c>
      <c r="E106" s="16" t="s">
        <v>311</v>
      </c>
      <c r="F106" s="16"/>
      <c r="G106" s="28">
        <v>0</v>
      </c>
      <c r="H106" s="28">
        <v>3971</v>
      </c>
      <c r="I106" s="28">
        <f t="shared" si="1"/>
        <v>-1214372.1800000002</v>
      </c>
    </row>
    <row r="107" spans="1:11" x14ac:dyDescent="0.3">
      <c r="A107" s="16" t="s">
        <v>701</v>
      </c>
      <c r="B107" s="16" t="s">
        <v>702</v>
      </c>
      <c r="C107" s="25">
        <v>46021</v>
      </c>
      <c r="D107" s="16" t="s">
        <v>305</v>
      </c>
      <c r="E107" s="16" t="s">
        <v>306</v>
      </c>
      <c r="F107" s="16" t="s">
        <v>779</v>
      </c>
      <c r="G107" s="28">
        <v>0</v>
      </c>
      <c r="H107" s="28">
        <v>80980</v>
      </c>
      <c r="I107" s="28">
        <f t="shared" si="1"/>
        <v>-1295352.1800000002</v>
      </c>
      <c r="J107" s="31">
        <f>1295352-1327092</f>
        <v>-31740</v>
      </c>
      <c r="K107" s="32" t="s">
        <v>894</v>
      </c>
    </row>
    <row r="108" spans="1:11" x14ac:dyDescent="0.3">
      <c r="G108" s="38">
        <f>SUM(G1:G107)</f>
        <v>5912852.1400000006</v>
      </c>
      <c r="H108" s="38">
        <f>SUM(H1:H107)</f>
        <v>7208204.3200000003</v>
      </c>
      <c r="I108" s="38">
        <f>G108-H108</f>
        <v>-1295352.1799999997</v>
      </c>
    </row>
    <row r="113" spans="10:11" x14ac:dyDescent="0.3">
      <c r="J113" s="31">
        <f>1327092+'13'!K73</f>
        <v>-260250.23280000011</v>
      </c>
      <c r="K113" t="s">
        <v>891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262F-4F00-4E19-A297-06F1D918BBA9}">
  <sheetPr>
    <tabColor rgb="FF002060"/>
  </sheetPr>
  <dimension ref="A1:K58"/>
  <sheetViews>
    <sheetView topLeftCell="A34" workbookViewId="0">
      <pane ySplit="1" topLeftCell="A41" activePane="bottomLeft" state="frozen"/>
      <selection activeCell="B34" sqref="B34"/>
      <selection pane="bottomLeft" activeCell="A58" sqref="A58:K58"/>
    </sheetView>
  </sheetViews>
  <sheetFormatPr baseColWidth="10" defaultRowHeight="14" x14ac:dyDescent="0.3"/>
  <cols>
    <col min="4" max="4" width="27.59765625" customWidth="1"/>
    <col min="6" max="6" width="24.69921875" bestFit="1" customWidth="1"/>
  </cols>
  <sheetData>
    <row r="1" spans="1:10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idden="1" x14ac:dyDescent="0.3">
      <c r="A2" t="s">
        <v>49</v>
      </c>
      <c r="B2" s="1">
        <v>45805</v>
      </c>
      <c r="C2" s="2">
        <v>2940</v>
      </c>
      <c r="D2" t="s">
        <v>51</v>
      </c>
      <c r="E2" t="s">
        <v>50</v>
      </c>
      <c r="H2" s="2">
        <v>51519</v>
      </c>
      <c r="I2" s="2">
        <v>-549958</v>
      </c>
    </row>
    <row r="3" spans="1:10" hidden="1" x14ac:dyDescent="0.3">
      <c r="A3" t="s">
        <v>64</v>
      </c>
      <c r="B3" s="1">
        <v>45834</v>
      </c>
      <c r="C3" s="2">
        <v>2913</v>
      </c>
      <c r="D3" t="s">
        <v>51</v>
      </c>
      <c r="E3" t="s">
        <v>50</v>
      </c>
      <c r="H3" s="2">
        <v>1962244</v>
      </c>
      <c r="I3" s="2">
        <v>-1605156</v>
      </c>
    </row>
    <row r="4" spans="1:10" hidden="1" x14ac:dyDescent="0.3">
      <c r="A4" t="s">
        <v>49</v>
      </c>
      <c r="B4" s="1">
        <v>45805</v>
      </c>
      <c r="C4" s="2">
        <v>2940</v>
      </c>
      <c r="D4" t="s">
        <v>51</v>
      </c>
      <c r="E4" t="s">
        <v>50</v>
      </c>
      <c r="G4" s="3">
        <v>1989.92</v>
      </c>
      <c r="H4" s="3">
        <v>1989.92</v>
      </c>
      <c r="I4" s="3">
        <v>-4290.47</v>
      </c>
    </row>
    <row r="5" spans="1:10" hidden="1" x14ac:dyDescent="0.3">
      <c r="A5" t="s">
        <v>64</v>
      </c>
      <c r="B5" s="1">
        <v>45834</v>
      </c>
      <c r="C5" s="2">
        <v>2913</v>
      </c>
      <c r="D5" t="s">
        <v>51</v>
      </c>
      <c r="E5" t="s">
        <v>50</v>
      </c>
      <c r="G5">
        <v>751.8</v>
      </c>
      <c r="H5">
        <v>751.8</v>
      </c>
      <c r="I5" s="3">
        <v>-5042.2700000000004</v>
      </c>
      <c r="J5">
        <f>H5*950</f>
        <v>714210</v>
      </c>
    </row>
    <row r="6" spans="1:10" hidden="1" x14ac:dyDescent="0.3"/>
    <row r="7" spans="1:10" hidden="1" x14ac:dyDescent="0.3"/>
    <row r="8" spans="1:10" hidden="1" x14ac:dyDescent="0.3"/>
    <row r="9" spans="1:10" hidden="1" x14ac:dyDescent="0.3">
      <c r="F9" s="9" t="s">
        <v>129</v>
      </c>
      <c r="G9" s="10">
        <v>2831745</v>
      </c>
    </row>
    <row r="10" spans="1:10" hidden="1" x14ac:dyDescent="0.3"/>
    <row r="11" spans="1:10" hidden="1" x14ac:dyDescent="0.3"/>
    <row r="12" spans="1:10" hidden="1" x14ac:dyDescent="0.3"/>
    <row r="13" spans="1:10" hidden="1" x14ac:dyDescent="0.3"/>
    <row r="14" spans="1:10" hidden="1" x14ac:dyDescent="0.3"/>
    <row r="15" spans="1:10" hidden="1" x14ac:dyDescent="0.3"/>
    <row r="16" spans="1:10" hidden="1" x14ac:dyDescent="0.3"/>
    <row r="17" spans="2:9" hidden="1" x14ac:dyDescent="0.3"/>
    <row r="18" spans="2:9" hidden="1" x14ac:dyDescent="0.3"/>
    <row r="19" spans="2:9" hidden="1" x14ac:dyDescent="0.3"/>
    <row r="20" spans="2:9" hidden="1" x14ac:dyDescent="0.3"/>
    <row r="21" spans="2:9" hidden="1" x14ac:dyDescent="0.3"/>
    <row r="22" spans="2:9" hidden="1" x14ac:dyDescent="0.3"/>
    <row r="23" spans="2:9" hidden="1" x14ac:dyDescent="0.3"/>
    <row r="24" spans="2:9" hidden="1" x14ac:dyDescent="0.3"/>
    <row r="25" spans="2:9" hidden="1" x14ac:dyDescent="0.3"/>
    <row r="26" spans="2:9" hidden="1" x14ac:dyDescent="0.3"/>
    <row r="27" spans="2:9" hidden="1" x14ac:dyDescent="0.3">
      <c r="B27" s="11" t="s">
        <v>2</v>
      </c>
      <c r="C27" s="11" t="s">
        <v>3</v>
      </c>
      <c r="D27" s="11"/>
      <c r="E27" s="11" t="s">
        <v>4</v>
      </c>
      <c r="G27" s="11" t="s">
        <v>6</v>
      </c>
      <c r="H27" s="11" t="s">
        <v>7</v>
      </c>
      <c r="I27" s="11" t="s">
        <v>8</v>
      </c>
    </row>
    <row r="28" spans="2:9" hidden="1" x14ac:dyDescent="0.3">
      <c r="B28" s="1">
        <v>45805</v>
      </c>
      <c r="C28" s="2">
        <v>2940</v>
      </c>
      <c r="D28" t="s">
        <v>51</v>
      </c>
      <c r="E28" t="s">
        <v>50</v>
      </c>
      <c r="H28" s="6">
        <v>51519</v>
      </c>
      <c r="I28" s="2">
        <v>-628870</v>
      </c>
    </row>
    <row r="29" spans="2:9" hidden="1" x14ac:dyDescent="0.3">
      <c r="B29" s="1">
        <v>45834</v>
      </c>
      <c r="C29" s="2">
        <v>2913</v>
      </c>
      <c r="D29" t="s">
        <v>51</v>
      </c>
      <c r="E29" t="s">
        <v>50</v>
      </c>
      <c r="H29" s="6">
        <v>1962244</v>
      </c>
      <c r="I29" s="2">
        <v>-1528430</v>
      </c>
    </row>
    <row r="30" spans="2:9" hidden="1" x14ac:dyDescent="0.3">
      <c r="B30" s="1">
        <v>45867</v>
      </c>
      <c r="C30" s="2">
        <v>3576</v>
      </c>
      <c r="D30" t="s">
        <v>51</v>
      </c>
      <c r="E30" t="s">
        <v>50</v>
      </c>
      <c r="G30" s="6">
        <v>2013763</v>
      </c>
      <c r="I30" s="2">
        <v>-2035435</v>
      </c>
    </row>
    <row r="31" spans="2:9" hidden="1" x14ac:dyDescent="0.3">
      <c r="B31" s="1">
        <v>45867</v>
      </c>
      <c r="C31" s="2">
        <v>3576</v>
      </c>
      <c r="D31" t="s">
        <v>51</v>
      </c>
      <c r="E31" t="s">
        <v>50</v>
      </c>
      <c r="H31" s="12">
        <v>2831745</v>
      </c>
      <c r="I31" s="2">
        <v>-4867180</v>
      </c>
    </row>
    <row r="32" spans="2:9" hidden="1" x14ac:dyDescent="0.3"/>
    <row r="33" spans="1:9" hidden="1" x14ac:dyDescent="0.3"/>
    <row r="34" spans="1:9" x14ac:dyDescent="0.3">
      <c r="B34" s="14" t="s">
        <v>2</v>
      </c>
      <c r="C34" s="14" t="s">
        <v>3</v>
      </c>
      <c r="D34" s="14"/>
      <c r="E34" s="14" t="s">
        <v>4</v>
      </c>
      <c r="F34" s="14" t="s">
        <v>5</v>
      </c>
      <c r="G34" s="14" t="s">
        <v>6</v>
      </c>
      <c r="H34" s="14" t="s">
        <v>7</v>
      </c>
      <c r="I34" s="14" t="s">
        <v>8</v>
      </c>
    </row>
    <row r="35" spans="1:9" x14ac:dyDescent="0.3">
      <c r="B35" s="1">
        <v>45805</v>
      </c>
      <c r="C35" s="2">
        <v>2940</v>
      </c>
      <c r="D35" t="s">
        <v>51</v>
      </c>
      <c r="E35" t="s">
        <v>50</v>
      </c>
      <c r="H35" s="2">
        <v>51519</v>
      </c>
      <c r="I35" s="2">
        <f>-H35</f>
        <v>-51519</v>
      </c>
    </row>
    <row r="36" spans="1:9" x14ac:dyDescent="0.3">
      <c r="B36" s="1">
        <v>45834</v>
      </c>
      <c r="C36" s="2">
        <v>2913</v>
      </c>
      <c r="D36" t="s">
        <v>51</v>
      </c>
      <c r="E36" t="s">
        <v>50</v>
      </c>
      <c r="H36" s="2">
        <v>1962244</v>
      </c>
      <c r="I36" s="2">
        <f>I35+G36-H36</f>
        <v>-2013763</v>
      </c>
    </row>
    <row r="37" spans="1:9" x14ac:dyDescent="0.3">
      <c r="B37" s="1">
        <v>45867</v>
      </c>
      <c r="C37" s="2">
        <v>3576</v>
      </c>
      <c r="D37" t="s">
        <v>51</v>
      </c>
      <c r="E37" t="s">
        <v>50</v>
      </c>
      <c r="G37" s="2">
        <v>2013763</v>
      </c>
      <c r="I37" s="2">
        <f>I36+G37-H37</f>
        <v>0</v>
      </c>
    </row>
    <row r="38" spans="1:9" x14ac:dyDescent="0.3">
      <c r="B38" s="1">
        <v>45867</v>
      </c>
      <c r="C38" s="2">
        <v>3576</v>
      </c>
      <c r="D38" t="s">
        <v>51</v>
      </c>
      <c r="E38" t="s">
        <v>50</v>
      </c>
      <c r="H38" s="2">
        <v>2831745</v>
      </c>
      <c r="I38" s="15">
        <f>I37+G38-H38</f>
        <v>-2831745</v>
      </c>
    </row>
    <row r="39" spans="1:9" x14ac:dyDescent="0.3">
      <c r="B39" s="1">
        <v>45891</v>
      </c>
      <c r="C39" s="2">
        <v>3264</v>
      </c>
      <c r="D39" t="s">
        <v>208</v>
      </c>
      <c r="E39" t="s">
        <v>50</v>
      </c>
      <c r="G39" s="2">
        <v>2831745</v>
      </c>
      <c r="I39" s="2">
        <f>I38+G39-H39</f>
        <v>0</v>
      </c>
    </row>
    <row r="40" spans="1:9" x14ac:dyDescent="0.3">
      <c r="B40" s="1">
        <v>45896</v>
      </c>
      <c r="C40" s="2">
        <v>3496</v>
      </c>
      <c r="D40" t="s">
        <v>51</v>
      </c>
      <c r="E40" t="s">
        <v>50</v>
      </c>
      <c r="H40" s="2">
        <v>36966</v>
      </c>
      <c r="I40" s="2">
        <f t="shared" ref="I40:I58" si="0">I39+G40-H40</f>
        <v>-36966</v>
      </c>
    </row>
    <row r="41" spans="1:9" x14ac:dyDescent="0.3">
      <c r="B41" s="1">
        <v>45911</v>
      </c>
      <c r="C41" s="2">
        <v>3536</v>
      </c>
      <c r="D41" t="s">
        <v>208</v>
      </c>
      <c r="E41" t="s">
        <v>50</v>
      </c>
      <c r="G41" s="2">
        <v>36966</v>
      </c>
      <c r="I41" s="2">
        <f t="shared" si="0"/>
        <v>0</v>
      </c>
    </row>
    <row r="42" spans="1:9" x14ac:dyDescent="0.3">
      <c r="B42" s="1">
        <v>45926</v>
      </c>
      <c r="C42" s="2">
        <v>3582</v>
      </c>
      <c r="D42" t="s">
        <v>51</v>
      </c>
      <c r="E42" t="s">
        <v>50</v>
      </c>
      <c r="H42" s="6">
        <v>491676</v>
      </c>
      <c r="I42" s="2">
        <f t="shared" si="0"/>
        <v>-491676</v>
      </c>
    </row>
    <row r="43" spans="1:9" x14ac:dyDescent="0.3">
      <c r="A43" t="s">
        <v>250</v>
      </c>
      <c r="B43" s="1">
        <v>45944</v>
      </c>
      <c r="C43" s="2">
        <v>3750</v>
      </c>
      <c r="D43" t="s">
        <v>50</v>
      </c>
      <c r="G43" s="2">
        <v>491676</v>
      </c>
      <c r="I43" s="2">
        <f t="shared" si="0"/>
        <v>0</v>
      </c>
    </row>
    <row r="44" spans="1:9" x14ac:dyDescent="0.3">
      <c r="A44" t="s">
        <v>251</v>
      </c>
      <c r="B44" s="1">
        <v>45958</v>
      </c>
      <c r="C44" s="2">
        <v>3800</v>
      </c>
      <c r="D44" t="s">
        <v>50</v>
      </c>
      <c r="H44" s="2">
        <v>115845</v>
      </c>
      <c r="I44" s="2">
        <f t="shared" si="0"/>
        <v>-115845</v>
      </c>
    </row>
    <row r="45" spans="1:9" x14ac:dyDescent="0.3">
      <c r="A45" t="s">
        <v>261</v>
      </c>
      <c r="B45" s="1">
        <v>45974</v>
      </c>
      <c r="C45" s="2">
        <v>3909</v>
      </c>
      <c r="D45" t="str">
        <f t="shared" ref="D45:D46" si="1">+A45</f>
        <v>adig/1742</v>
      </c>
      <c r="E45" t="s">
        <v>50</v>
      </c>
      <c r="G45" s="2">
        <v>115845</v>
      </c>
      <c r="I45" s="2">
        <f t="shared" si="0"/>
        <v>0</v>
      </c>
    </row>
    <row r="46" spans="1:9" x14ac:dyDescent="0.3">
      <c r="A46" t="s">
        <v>262</v>
      </c>
      <c r="B46" s="1">
        <v>45987</v>
      </c>
      <c r="C46" s="2">
        <v>3957</v>
      </c>
      <c r="D46" t="str">
        <f t="shared" si="1"/>
        <v>adig/1769</v>
      </c>
      <c r="E46" t="s">
        <v>50</v>
      </c>
      <c r="H46" s="2">
        <v>1303416</v>
      </c>
      <c r="I46" s="2">
        <f t="shared" si="0"/>
        <v>-1303416</v>
      </c>
    </row>
    <row r="47" spans="1:9" x14ac:dyDescent="0.3">
      <c r="A47" t="s">
        <v>282</v>
      </c>
      <c r="B47" s="1">
        <v>46006</v>
      </c>
      <c r="C47" s="2">
        <v>4060</v>
      </c>
      <c r="D47" t="s">
        <v>283</v>
      </c>
      <c r="E47" t="s">
        <v>50</v>
      </c>
      <c r="G47">
        <v>1303416</v>
      </c>
      <c r="H47" s="2"/>
      <c r="I47" s="2">
        <f t="shared" si="0"/>
        <v>0</v>
      </c>
    </row>
    <row r="48" spans="1:9" x14ac:dyDescent="0.3">
      <c r="A48" t="s">
        <v>284</v>
      </c>
      <c r="B48" s="1">
        <v>46017</v>
      </c>
      <c r="C48" s="2">
        <v>4128</v>
      </c>
      <c r="D48" t="s">
        <v>285</v>
      </c>
      <c r="E48" t="s">
        <v>50</v>
      </c>
      <c r="H48" s="2">
        <v>719990</v>
      </c>
      <c r="I48" s="15">
        <f t="shared" si="0"/>
        <v>-719990</v>
      </c>
    </row>
    <row r="49" spans="1:11" x14ac:dyDescent="0.3">
      <c r="B49" s="1"/>
      <c r="C49" s="2"/>
      <c r="H49" s="2"/>
      <c r="I49" s="2"/>
    </row>
    <row r="50" spans="1:11" x14ac:dyDescent="0.3">
      <c r="B50" s="1">
        <v>45896</v>
      </c>
      <c r="C50" s="2">
        <v>3496</v>
      </c>
      <c r="D50" t="s">
        <v>51</v>
      </c>
      <c r="E50" t="s">
        <v>50</v>
      </c>
      <c r="H50">
        <v>479.8</v>
      </c>
      <c r="I50" s="2">
        <f>-H50</f>
        <v>-479.8</v>
      </c>
      <c r="J50" s="4"/>
    </row>
    <row r="51" spans="1:11" x14ac:dyDescent="0.3">
      <c r="B51" s="1">
        <v>45926</v>
      </c>
      <c r="C51" s="2">
        <v>3582</v>
      </c>
      <c r="D51" t="s">
        <v>51</v>
      </c>
      <c r="E51" t="s">
        <v>50</v>
      </c>
      <c r="G51">
        <v>479.8</v>
      </c>
      <c r="I51" s="2">
        <f t="shared" si="0"/>
        <v>0</v>
      </c>
      <c r="J51" s="4"/>
    </row>
    <row r="52" spans="1:11" x14ac:dyDescent="0.3">
      <c r="B52" s="1">
        <v>45926</v>
      </c>
      <c r="C52" s="2">
        <v>3582</v>
      </c>
      <c r="D52" t="s">
        <v>51</v>
      </c>
      <c r="E52" t="s">
        <v>50</v>
      </c>
      <c r="H52" s="7">
        <v>79.349999999999994</v>
      </c>
      <c r="I52" s="3">
        <f t="shared" si="0"/>
        <v>-79.349999999999994</v>
      </c>
      <c r="J52" s="4"/>
    </row>
    <row r="53" spans="1:11" x14ac:dyDescent="0.3">
      <c r="B53" s="1">
        <v>45958</v>
      </c>
      <c r="C53" s="2">
        <v>3800</v>
      </c>
      <c r="E53" t="s">
        <v>50</v>
      </c>
      <c r="G53">
        <v>79.349999999999994</v>
      </c>
      <c r="H53" s="2"/>
      <c r="I53" s="3">
        <f t="shared" si="0"/>
        <v>0</v>
      </c>
    </row>
    <row r="54" spans="1:11" x14ac:dyDescent="0.3">
      <c r="B54" s="1">
        <v>45958</v>
      </c>
      <c r="C54" s="2">
        <v>3800</v>
      </c>
      <c r="E54" t="s">
        <v>50</v>
      </c>
      <c r="H54">
        <v>1302.92</v>
      </c>
      <c r="I54" s="3">
        <f t="shared" si="0"/>
        <v>-1302.92</v>
      </c>
    </row>
    <row r="55" spans="1:11" x14ac:dyDescent="0.3">
      <c r="A55" t="s">
        <v>262</v>
      </c>
      <c r="B55" s="1">
        <v>45987</v>
      </c>
      <c r="C55">
        <v>3957</v>
      </c>
      <c r="D55" t="s">
        <v>262</v>
      </c>
      <c r="E55" t="s">
        <v>50</v>
      </c>
      <c r="G55">
        <v>1302.92</v>
      </c>
      <c r="I55" s="3">
        <f t="shared" si="0"/>
        <v>0</v>
      </c>
    </row>
    <row r="56" spans="1:11" x14ac:dyDescent="0.3">
      <c r="A56" t="s">
        <v>262</v>
      </c>
      <c r="B56" s="1">
        <v>45987</v>
      </c>
      <c r="C56" s="2">
        <v>3957</v>
      </c>
      <c r="D56" t="str">
        <f t="shared" ref="D56" si="2">+A56</f>
        <v>adig/1769</v>
      </c>
      <c r="E56" t="s">
        <v>50</v>
      </c>
      <c r="H56">
        <v>743.45</v>
      </c>
      <c r="I56" s="3">
        <f t="shared" si="0"/>
        <v>-743.45</v>
      </c>
      <c r="K56" s="19">
        <f>+I46+J53+J56</f>
        <v>-1303416</v>
      </c>
    </row>
    <row r="57" spans="1:11" x14ac:dyDescent="0.3">
      <c r="A57" t="s">
        <v>284</v>
      </c>
      <c r="B57">
        <v>46017</v>
      </c>
      <c r="C57">
        <v>4128</v>
      </c>
      <c r="D57" t="s">
        <v>285</v>
      </c>
      <c r="E57" t="s">
        <v>50</v>
      </c>
      <c r="G57">
        <v>743.45</v>
      </c>
      <c r="I57" s="3">
        <f t="shared" si="0"/>
        <v>0</v>
      </c>
    </row>
    <row r="58" spans="1:11" x14ac:dyDescent="0.3">
      <c r="A58" t="s">
        <v>284</v>
      </c>
      <c r="B58">
        <v>46017</v>
      </c>
      <c r="C58">
        <v>4128</v>
      </c>
      <c r="D58" t="s">
        <v>285</v>
      </c>
      <c r="E58" t="s">
        <v>50</v>
      </c>
      <c r="H58">
        <v>88.56</v>
      </c>
      <c r="I58" s="21">
        <f t="shared" si="0"/>
        <v>-88.56</v>
      </c>
      <c r="J58" s="2">
        <f>-H58*907.13</f>
        <v>-80335.432799999995</v>
      </c>
      <c r="K58" s="19">
        <f>+J58+I48</f>
        <v>-800325.43279999995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A097-0DE6-4B28-95AB-58C034ECDE1D}">
  <dimension ref="A1:K113"/>
  <sheetViews>
    <sheetView topLeftCell="A86" workbookViewId="0">
      <selection activeCell="G107" sqref="G107:I107"/>
    </sheetView>
  </sheetViews>
  <sheetFormatPr baseColWidth="10" defaultRowHeight="14" x14ac:dyDescent="0.3"/>
  <cols>
    <col min="7" max="9" width="11.19921875" style="4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9" x14ac:dyDescent="0.3">
      <c r="A2" s="16" t="s">
        <v>780</v>
      </c>
      <c r="B2" s="16" t="s">
        <v>781</v>
      </c>
      <c r="C2" s="25">
        <v>45809</v>
      </c>
      <c r="D2" s="16" t="s">
        <v>305</v>
      </c>
      <c r="E2" s="16" t="s">
        <v>311</v>
      </c>
      <c r="F2" s="16"/>
      <c r="G2" s="28">
        <v>0</v>
      </c>
      <c r="H2" s="28">
        <v>51519</v>
      </c>
      <c r="I2" s="28">
        <f>+G2-H2</f>
        <v>-51519</v>
      </c>
    </row>
    <row r="3" spans="1:9" x14ac:dyDescent="0.3">
      <c r="A3" s="16" t="s">
        <v>780</v>
      </c>
      <c r="B3" s="16" t="s">
        <v>781</v>
      </c>
      <c r="C3" s="25">
        <v>45809</v>
      </c>
      <c r="D3" s="16" t="s">
        <v>305</v>
      </c>
      <c r="E3" s="16" t="s">
        <v>311</v>
      </c>
      <c r="F3" s="16"/>
      <c r="G3" s="28">
        <v>0</v>
      </c>
      <c r="H3" s="28">
        <v>3173</v>
      </c>
      <c r="I3" s="28">
        <f>I2+G3-H3</f>
        <v>-54692</v>
      </c>
    </row>
    <row r="4" spans="1:9" x14ac:dyDescent="0.3">
      <c r="A4" s="16" t="s">
        <v>780</v>
      </c>
      <c r="B4" s="16" t="s">
        <v>781</v>
      </c>
      <c r="C4" s="25">
        <v>45809</v>
      </c>
      <c r="D4" s="16" t="s">
        <v>305</v>
      </c>
      <c r="E4" s="16" t="s">
        <v>311</v>
      </c>
      <c r="F4" s="16"/>
      <c r="G4" s="28">
        <v>0</v>
      </c>
      <c r="H4" s="28">
        <v>14678</v>
      </c>
      <c r="I4" s="28">
        <f t="shared" ref="I4:I67" si="0">I3+G4-H4</f>
        <v>-69370</v>
      </c>
    </row>
    <row r="5" spans="1:9" x14ac:dyDescent="0.3">
      <c r="A5" s="16" t="s">
        <v>780</v>
      </c>
      <c r="B5" s="16" t="s">
        <v>781</v>
      </c>
      <c r="C5" s="25">
        <v>45809</v>
      </c>
      <c r="D5" s="16" t="s">
        <v>305</v>
      </c>
      <c r="E5" s="16" t="s">
        <v>339</v>
      </c>
      <c r="F5" s="16"/>
      <c r="G5" s="28">
        <v>0</v>
      </c>
      <c r="H5" s="28">
        <v>578390.25</v>
      </c>
      <c r="I5" s="28">
        <f t="shared" si="0"/>
        <v>-647760.25</v>
      </c>
    </row>
    <row r="6" spans="1:9" x14ac:dyDescent="0.3">
      <c r="A6" s="16" t="s">
        <v>780</v>
      </c>
      <c r="B6" s="16" t="s">
        <v>781</v>
      </c>
      <c r="C6" s="25">
        <v>45809</v>
      </c>
      <c r="D6" s="16" t="s">
        <v>305</v>
      </c>
      <c r="E6" s="16" t="s">
        <v>339</v>
      </c>
      <c r="F6" s="16"/>
      <c r="G6" s="28">
        <v>0</v>
      </c>
      <c r="H6" s="28">
        <v>1744614.3</v>
      </c>
      <c r="I6" s="28">
        <f t="shared" si="0"/>
        <v>-2392374.5499999998</v>
      </c>
    </row>
    <row r="7" spans="1:9" x14ac:dyDescent="0.3">
      <c r="A7" s="16" t="s">
        <v>780</v>
      </c>
      <c r="B7" s="16" t="s">
        <v>781</v>
      </c>
      <c r="C7" s="25">
        <v>45809</v>
      </c>
      <c r="D7" s="16" t="s">
        <v>305</v>
      </c>
      <c r="E7" s="16" t="s">
        <v>339</v>
      </c>
      <c r="F7" s="16"/>
      <c r="G7" s="28">
        <v>0</v>
      </c>
      <c r="H7" s="28">
        <v>125099.08</v>
      </c>
      <c r="I7" s="28">
        <f t="shared" si="0"/>
        <v>-2517473.63</v>
      </c>
    </row>
    <row r="8" spans="1:9" x14ac:dyDescent="0.3">
      <c r="A8" s="16" t="s">
        <v>780</v>
      </c>
      <c r="B8" s="16" t="s">
        <v>781</v>
      </c>
      <c r="C8" s="25">
        <v>45809</v>
      </c>
      <c r="D8" s="16" t="s">
        <v>305</v>
      </c>
      <c r="E8" s="16" t="s">
        <v>339</v>
      </c>
      <c r="F8" s="16"/>
      <c r="G8" s="28">
        <v>0</v>
      </c>
      <c r="H8" s="28">
        <v>120677.01</v>
      </c>
      <c r="I8" s="28">
        <f t="shared" si="0"/>
        <v>-2638150.6399999997</v>
      </c>
    </row>
    <row r="9" spans="1:9" x14ac:dyDescent="0.3">
      <c r="A9" s="16" t="s">
        <v>780</v>
      </c>
      <c r="B9" s="16" t="s">
        <v>781</v>
      </c>
      <c r="C9" s="25">
        <v>45834</v>
      </c>
      <c r="D9" s="16" t="s">
        <v>305</v>
      </c>
      <c r="E9" s="16" t="s">
        <v>311</v>
      </c>
      <c r="F9" s="16"/>
      <c r="G9" s="28">
        <v>0</v>
      </c>
      <c r="H9" s="28">
        <v>1281</v>
      </c>
      <c r="I9" s="28">
        <f t="shared" si="0"/>
        <v>-2639431.6399999997</v>
      </c>
    </row>
    <row r="10" spans="1:9" x14ac:dyDescent="0.3">
      <c r="A10" s="16" t="s">
        <v>780</v>
      </c>
      <c r="B10" s="16" t="s">
        <v>781</v>
      </c>
      <c r="C10" s="25">
        <v>45834</v>
      </c>
      <c r="D10" s="16" t="s">
        <v>305</v>
      </c>
      <c r="E10" s="16" t="s">
        <v>311</v>
      </c>
      <c r="F10" s="16"/>
      <c r="G10" s="28">
        <v>0</v>
      </c>
      <c r="H10" s="28">
        <v>3926</v>
      </c>
      <c r="I10" s="28">
        <f t="shared" si="0"/>
        <v>-2643357.6399999997</v>
      </c>
    </row>
    <row r="11" spans="1:9" x14ac:dyDescent="0.3">
      <c r="A11" s="16" t="s">
        <v>780</v>
      </c>
      <c r="B11" s="16" t="s">
        <v>781</v>
      </c>
      <c r="C11" s="25">
        <v>45834</v>
      </c>
      <c r="D11" s="16" t="s">
        <v>305</v>
      </c>
      <c r="E11" s="16" t="s">
        <v>311</v>
      </c>
      <c r="F11" s="16"/>
      <c r="G11" s="28">
        <v>0</v>
      </c>
      <c r="H11" s="28">
        <v>48640</v>
      </c>
      <c r="I11" s="28">
        <f t="shared" si="0"/>
        <v>-2691997.6399999997</v>
      </c>
    </row>
    <row r="12" spans="1:9" x14ac:dyDescent="0.3">
      <c r="A12" s="16" t="s">
        <v>780</v>
      </c>
      <c r="B12" s="16" t="s">
        <v>781</v>
      </c>
      <c r="C12" s="25">
        <v>45834</v>
      </c>
      <c r="D12" s="16" t="s">
        <v>305</v>
      </c>
      <c r="E12" s="16" t="s">
        <v>311</v>
      </c>
      <c r="F12" s="16"/>
      <c r="G12" s="28">
        <v>0</v>
      </c>
      <c r="H12" s="28">
        <v>122</v>
      </c>
      <c r="I12" s="28">
        <f t="shared" si="0"/>
        <v>-2692119.6399999997</v>
      </c>
    </row>
    <row r="13" spans="1:9" x14ac:dyDescent="0.3">
      <c r="A13" s="16" t="s">
        <v>780</v>
      </c>
      <c r="B13" s="16" t="s">
        <v>781</v>
      </c>
      <c r="C13" s="25">
        <v>45838</v>
      </c>
      <c r="D13" s="16" t="s">
        <v>305</v>
      </c>
      <c r="E13" s="16" t="s">
        <v>311</v>
      </c>
      <c r="F13" s="16"/>
      <c r="G13" s="28">
        <v>0</v>
      </c>
      <c r="H13" s="28">
        <v>25132.33</v>
      </c>
      <c r="I13" s="28">
        <f t="shared" si="0"/>
        <v>-2717251.9699999997</v>
      </c>
    </row>
    <row r="14" spans="1:9" x14ac:dyDescent="0.3">
      <c r="A14" s="16" t="s">
        <v>780</v>
      </c>
      <c r="B14" s="16" t="s">
        <v>781</v>
      </c>
      <c r="C14" s="25">
        <v>45848</v>
      </c>
      <c r="D14" s="16" t="s">
        <v>305</v>
      </c>
      <c r="E14" s="16" t="s">
        <v>311</v>
      </c>
      <c r="F14" s="16"/>
      <c r="G14" s="28">
        <v>0</v>
      </c>
      <c r="H14" s="28">
        <v>24241.03</v>
      </c>
      <c r="I14" s="28">
        <f t="shared" si="0"/>
        <v>-2741492.9999999995</v>
      </c>
    </row>
    <row r="15" spans="1:9" x14ac:dyDescent="0.3">
      <c r="A15" s="16" t="s">
        <v>780</v>
      </c>
      <c r="B15" s="16" t="s">
        <v>781</v>
      </c>
      <c r="C15" s="25">
        <v>45848</v>
      </c>
      <c r="D15" s="16" t="s">
        <v>305</v>
      </c>
      <c r="E15" s="16" t="s">
        <v>311</v>
      </c>
      <c r="F15" s="16"/>
      <c r="G15" s="28">
        <v>0</v>
      </c>
      <c r="H15" s="28">
        <v>3000</v>
      </c>
      <c r="I15" s="28">
        <f t="shared" si="0"/>
        <v>-2744492.9999999995</v>
      </c>
    </row>
    <row r="16" spans="1:9" x14ac:dyDescent="0.3">
      <c r="A16" s="16" t="s">
        <v>780</v>
      </c>
      <c r="B16" s="16" t="s">
        <v>781</v>
      </c>
      <c r="C16" s="25">
        <v>45867</v>
      </c>
      <c r="D16" s="16" t="s">
        <v>305</v>
      </c>
      <c r="E16" s="16" t="s">
        <v>311</v>
      </c>
      <c r="F16" s="16"/>
      <c r="G16" s="28">
        <v>0</v>
      </c>
      <c r="H16" s="28">
        <v>1812</v>
      </c>
      <c r="I16" s="28">
        <f t="shared" si="0"/>
        <v>-2746304.9999999995</v>
      </c>
    </row>
    <row r="17" spans="1:9" x14ac:dyDescent="0.3">
      <c r="A17" s="16" t="s">
        <v>780</v>
      </c>
      <c r="B17" s="16" t="s">
        <v>781</v>
      </c>
      <c r="C17" s="25">
        <v>45867</v>
      </c>
      <c r="D17" s="16" t="s">
        <v>305</v>
      </c>
      <c r="E17" s="16" t="s">
        <v>311</v>
      </c>
      <c r="F17" s="16"/>
      <c r="G17" s="28">
        <v>0</v>
      </c>
      <c r="H17" s="28">
        <v>3939</v>
      </c>
      <c r="I17" s="28">
        <f t="shared" si="0"/>
        <v>-2750243.9999999995</v>
      </c>
    </row>
    <row r="18" spans="1:9" x14ac:dyDescent="0.3">
      <c r="A18" s="16" t="s">
        <v>780</v>
      </c>
      <c r="B18" s="16" t="s">
        <v>781</v>
      </c>
      <c r="C18" s="25">
        <v>45867</v>
      </c>
      <c r="D18" s="16" t="s">
        <v>305</v>
      </c>
      <c r="E18" s="16" t="s">
        <v>311</v>
      </c>
      <c r="F18" s="16"/>
      <c r="G18" s="28">
        <v>0</v>
      </c>
      <c r="H18" s="28">
        <v>78652</v>
      </c>
      <c r="I18" s="28">
        <f t="shared" si="0"/>
        <v>-2828895.9999999995</v>
      </c>
    </row>
    <row r="19" spans="1:9" x14ac:dyDescent="0.3">
      <c r="A19" s="16" t="s">
        <v>780</v>
      </c>
      <c r="B19" s="16" t="s">
        <v>781</v>
      </c>
      <c r="C19" s="25">
        <v>45867</v>
      </c>
      <c r="D19" s="16" t="s">
        <v>305</v>
      </c>
      <c r="E19" s="16" t="s">
        <v>782</v>
      </c>
      <c r="F19" s="16"/>
      <c r="G19" s="28">
        <v>0</v>
      </c>
      <c r="H19" s="28">
        <v>2849</v>
      </c>
      <c r="I19" s="28">
        <f t="shared" si="0"/>
        <v>-2831744.9999999995</v>
      </c>
    </row>
    <row r="20" spans="1:9" x14ac:dyDescent="0.3">
      <c r="A20" s="16" t="s">
        <v>780</v>
      </c>
      <c r="B20" s="16" t="s">
        <v>781</v>
      </c>
      <c r="C20" s="25">
        <v>45891</v>
      </c>
      <c r="D20" s="16" t="s">
        <v>308</v>
      </c>
      <c r="E20" s="16" t="s">
        <v>783</v>
      </c>
      <c r="F20" s="16" t="s">
        <v>784</v>
      </c>
      <c r="G20" s="28">
        <v>2831745</v>
      </c>
      <c r="H20" s="28">
        <v>0</v>
      </c>
      <c r="I20" s="28">
        <f t="shared" si="0"/>
        <v>4.6566128730773926E-10</v>
      </c>
    </row>
    <row r="21" spans="1:9" x14ac:dyDescent="0.3">
      <c r="A21" s="16" t="s">
        <v>780</v>
      </c>
      <c r="B21" s="16" t="s">
        <v>781</v>
      </c>
      <c r="C21" s="25">
        <v>45894</v>
      </c>
      <c r="D21" s="16" t="s">
        <v>305</v>
      </c>
      <c r="E21" s="16" t="s">
        <v>339</v>
      </c>
      <c r="F21" s="16"/>
      <c r="G21" s="28">
        <v>0</v>
      </c>
      <c r="H21" s="28">
        <v>357939</v>
      </c>
      <c r="I21" s="28">
        <f t="shared" si="0"/>
        <v>-357938.99999999953</v>
      </c>
    </row>
    <row r="22" spans="1:9" x14ac:dyDescent="0.3">
      <c r="A22" s="16" t="s">
        <v>780</v>
      </c>
      <c r="B22" s="16" t="s">
        <v>781</v>
      </c>
      <c r="C22" s="25">
        <v>45895</v>
      </c>
      <c r="D22" s="16" t="s">
        <v>305</v>
      </c>
      <c r="E22" s="16" t="s">
        <v>339</v>
      </c>
      <c r="F22" s="16"/>
      <c r="G22" s="28">
        <v>0</v>
      </c>
      <c r="H22" s="28">
        <v>106258</v>
      </c>
      <c r="I22" s="28">
        <f t="shared" si="0"/>
        <v>-464196.99999999953</v>
      </c>
    </row>
    <row r="23" spans="1:9" x14ac:dyDescent="0.3">
      <c r="A23" s="16" t="s">
        <v>780</v>
      </c>
      <c r="B23" s="16" t="s">
        <v>781</v>
      </c>
      <c r="C23" s="25">
        <v>45896</v>
      </c>
      <c r="D23" s="16" t="s">
        <v>305</v>
      </c>
      <c r="E23" s="16" t="s">
        <v>311</v>
      </c>
      <c r="F23" s="16"/>
      <c r="G23" s="28">
        <v>0</v>
      </c>
      <c r="H23" s="28">
        <v>3934</v>
      </c>
      <c r="I23" s="28">
        <f t="shared" si="0"/>
        <v>-468130.99999999953</v>
      </c>
    </row>
    <row r="24" spans="1:9" x14ac:dyDescent="0.3">
      <c r="A24" s="16" t="s">
        <v>780</v>
      </c>
      <c r="B24" s="16" t="s">
        <v>781</v>
      </c>
      <c r="C24" s="25">
        <v>45896</v>
      </c>
      <c r="D24" s="16" t="s">
        <v>305</v>
      </c>
      <c r="E24" s="16" t="s">
        <v>311</v>
      </c>
      <c r="F24" s="16"/>
      <c r="G24" s="28">
        <v>0</v>
      </c>
      <c r="H24" s="28">
        <v>9111</v>
      </c>
      <c r="I24" s="28">
        <f t="shared" si="0"/>
        <v>-477241.99999999953</v>
      </c>
    </row>
    <row r="25" spans="1:9" x14ac:dyDescent="0.3">
      <c r="A25" s="16" t="s">
        <v>780</v>
      </c>
      <c r="B25" s="16" t="s">
        <v>781</v>
      </c>
      <c r="C25" s="25">
        <v>45896</v>
      </c>
      <c r="D25" s="16" t="s">
        <v>305</v>
      </c>
      <c r="E25" s="16" t="s">
        <v>311</v>
      </c>
      <c r="F25" s="16"/>
      <c r="G25" s="28">
        <v>0</v>
      </c>
      <c r="H25" s="28">
        <v>2709</v>
      </c>
      <c r="I25" s="28">
        <f t="shared" si="0"/>
        <v>-479950.99999999953</v>
      </c>
    </row>
    <row r="26" spans="1:9" x14ac:dyDescent="0.3">
      <c r="A26" s="16" t="s">
        <v>780</v>
      </c>
      <c r="B26" s="16" t="s">
        <v>781</v>
      </c>
      <c r="C26" s="25">
        <v>45896</v>
      </c>
      <c r="D26" s="16" t="s">
        <v>305</v>
      </c>
      <c r="E26" s="16" t="s">
        <v>311</v>
      </c>
      <c r="F26" s="16"/>
      <c r="G26" s="28">
        <v>0</v>
      </c>
      <c r="H26" s="28">
        <v>1868</v>
      </c>
      <c r="I26" s="28">
        <f t="shared" si="0"/>
        <v>-481818.99999999953</v>
      </c>
    </row>
    <row r="27" spans="1:9" x14ac:dyDescent="0.3">
      <c r="A27" s="16" t="s">
        <v>780</v>
      </c>
      <c r="B27" s="16" t="s">
        <v>781</v>
      </c>
      <c r="C27" s="25">
        <v>45896</v>
      </c>
      <c r="D27" s="16" t="s">
        <v>305</v>
      </c>
      <c r="E27" s="16" t="s">
        <v>311</v>
      </c>
      <c r="F27" s="16"/>
      <c r="G27" s="28">
        <v>0</v>
      </c>
      <c r="H27" s="28">
        <v>17758</v>
      </c>
      <c r="I27" s="28">
        <f t="shared" si="0"/>
        <v>-499576.99999999953</v>
      </c>
    </row>
    <row r="28" spans="1:9" x14ac:dyDescent="0.3">
      <c r="A28" s="16" t="s">
        <v>780</v>
      </c>
      <c r="B28" s="16" t="s">
        <v>781</v>
      </c>
      <c r="C28" s="25">
        <v>45896</v>
      </c>
      <c r="D28" s="16" t="s">
        <v>305</v>
      </c>
      <c r="E28" s="16" t="s">
        <v>311</v>
      </c>
      <c r="F28" s="16"/>
      <c r="G28" s="28">
        <v>0</v>
      </c>
      <c r="H28" s="28">
        <v>1586</v>
      </c>
      <c r="I28" s="28">
        <f t="shared" si="0"/>
        <v>-501162.99999999953</v>
      </c>
    </row>
    <row r="29" spans="1:9" x14ac:dyDescent="0.3">
      <c r="A29" s="16" t="s">
        <v>780</v>
      </c>
      <c r="B29" s="16" t="s">
        <v>781</v>
      </c>
      <c r="C29" s="25">
        <v>45901</v>
      </c>
      <c r="D29" s="16" t="s">
        <v>305</v>
      </c>
      <c r="E29" s="16" t="s">
        <v>311</v>
      </c>
      <c r="F29" s="16"/>
      <c r="G29" s="28">
        <v>0</v>
      </c>
      <c r="H29" s="28">
        <v>1931</v>
      </c>
      <c r="I29" s="28">
        <f t="shared" si="0"/>
        <v>-503093.99999999953</v>
      </c>
    </row>
    <row r="30" spans="1:9" x14ac:dyDescent="0.3">
      <c r="A30" s="16" t="s">
        <v>780</v>
      </c>
      <c r="B30" s="16" t="s">
        <v>781</v>
      </c>
      <c r="C30" s="25">
        <v>45901</v>
      </c>
      <c r="D30" s="16" t="s">
        <v>305</v>
      </c>
      <c r="E30" s="16" t="s">
        <v>306</v>
      </c>
      <c r="F30" s="16" t="s">
        <v>785</v>
      </c>
      <c r="G30" s="28">
        <v>0</v>
      </c>
      <c r="H30" s="28">
        <v>8020</v>
      </c>
      <c r="I30" s="28">
        <f t="shared" si="0"/>
        <v>-511113.99999999953</v>
      </c>
    </row>
    <row r="31" spans="1:9" x14ac:dyDescent="0.3">
      <c r="A31" s="16" t="s">
        <v>780</v>
      </c>
      <c r="B31" s="16" t="s">
        <v>781</v>
      </c>
      <c r="C31" s="25">
        <v>45901</v>
      </c>
      <c r="D31" s="16" t="s">
        <v>305</v>
      </c>
      <c r="E31" s="16" t="s">
        <v>306</v>
      </c>
      <c r="F31" s="16" t="s">
        <v>786</v>
      </c>
      <c r="G31" s="28">
        <v>0</v>
      </c>
      <c r="H31" s="28">
        <v>28308</v>
      </c>
      <c r="I31" s="28">
        <f t="shared" si="0"/>
        <v>-539421.99999999953</v>
      </c>
    </row>
    <row r="32" spans="1:9" x14ac:dyDescent="0.3">
      <c r="A32" s="16" t="s">
        <v>780</v>
      </c>
      <c r="B32" s="16" t="s">
        <v>781</v>
      </c>
      <c r="C32" s="25">
        <v>45901</v>
      </c>
      <c r="D32" s="16" t="s">
        <v>305</v>
      </c>
      <c r="E32" s="16" t="s">
        <v>306</v>
      </c>
      <c r="F32" s="16" t="s">
        <v>787</v>
      </c>
      <c r="G32" s="28">
        <v>0</v>
      </c>
      <c r="H32" s="28">
        <v>19340</v>
      </c>
      <c r="I32" s="28">
        <f t="shared" si="0"/>
        <v>-558761.99999999953</v>
      </c>
    </row>
    <row r="33" spans="1:9" x14ac:dyDescent="0.3">
      <c r="A33" s="16" t="s">
        <v>780</v>
      </c>
      <c r="B33" s="16" t="s">
        <v>781</v>
      </c>
      <c r="C33" s="25">
        <v>45901</v>
      </c>
      <c r="D33" s="16" t="s">
        <v>337</v>
      </c>
      <c r="E33" s="16" t="s">
        <v>339</v>
      </c>
      <c r="F33" s="16"/>
      <c r="G33" s="28">
        <v>28308</v>
      </c>
      <c r="H33" s="28">
        <v>0</v>
      </c>
      <c r="I33" s="28">
        <f t="shared" si="0"/>
        <v>-530453.99999999953</v>
      </c>
    </row>
    <row r="34" spans="1:9" x14ac:dyDescent="0.3">
      <c r="A34" s="16" t="s">
        <v>780</v>
      </c>
      <c r="B34" s="16" t="s">
        <v>781</v>
      </c>
      <c r="C34" s="25">
        <v>45901</v>
      </c>
      <c r="D34" s="16" t="s">
        <v>337</v>
      </c>
      <c r="E34" s="16" t="s">
        <v>339</v>
      </c>
      <c r="F34" s="16"/>
      <c r="G34" s="28">
        <v>8020</v>
      </c>
      <c r="H34" s="28">
        <v>0</v>
      </c>
      <c r="I34" s="28">
        <f t="shared" si="0"/>
        <v>-522433.99999999953</v>
      </c>
    </row>
    <row r="35" spans="1:9" x14ac:dyDescent="0.3">
      <c r="A35" s="16" t="s">
        <v>780</v>
      </c>
      <c r="B35" s="16" t="s">
        <v>781</v>
      </c>
      <c r="C35" s="25">
        <v>45901</v>
      </c>
      <c r="D35" s="16" t="s">
        <v>337</v>
      </c>
      <c r="E35" s="16" t="s">
        <v>339</v>
      </c>
      <c r="F35" s="16"/>
      <c r="G35" s="28">
        <v>19340</v>
      </c>
      <c r="H35" s="28">
        <v>0</v>
      </c>
      <c r="I35" s="28">
        <f t="shared" si="0"/>
        <v>-503093.99999999953</v>
      </c>
    </row>
    <row r="36" spans="1:9" x14ac:dyDescent="0.3">
      <c r="A36" s="16" t="s">
        <v>780</v>
      </c>
      <c r="B36" s="16" t="s">
        <v>781</v>
      </c>
      <c r="C36" s="25">
        <v>45901</v>
      </c>
      <c r="D36" s="16" t="s">
        <v>305</v>
      </c>
      <c r="E36" s="16" t="s">
        <v>306</v>
      </c>
      <c r="F36" s="16" t="s">
        <v>788</v>
      </c>
      <c r="G36" s="28">
        <v>0</v>
      </c>
      <c r="H36" s="28">
        <v>38641</v>
      </c>
      <c r="I36" s="28">
        <f t="shared" si="0"/>
        <v>-541734.99999999953</v>
      </c>
    </row>
    <row r="37" spans="1:9" x14ac:dyDescent="0.3">
      <c r="A37" s="16" t="s">
        <v>780</v>
      </c>
      <c r="B37" s="16" t="s">
        <v>781</v>
      </c>
      <c r="C37" s="25">
        <v>45901</v>
      </c>
      <c r="D37" s="16" t="s">
        <v>305</v>
      </c>
      <c r="E37" s="16" t="s">
        <v>306</v>
      </c>
      <c r="F37" s="16" t="s">
        <v>789</v>
      </c>
      <c r="G37" s="28">
        <v>0</v>
      </c>
      <c r="H37" s="28">
        <v>55427</v>
      </c>
      <c r="I37" s="28">
        <f t="shared" si="0"/>
        <v>-597161.99999999953</v>
      </c>
    </row>
    <row r="38" spans="1:9" x14ac:dyDescent="0.3">
      <c r="A38" s="16" t="s">
        <v>780</v>
      </c>
      <c r="B38" s="16" t="s">
        <v>781</v>
      </c>
      <c r="C38" s="25">
        <v>45901</v>
      </c>
      <c r="D38" s="16" t="s">
        <v>305</v>
      </c>
      <c r="E38" s="16" t="s">
        <v>306</v>
      </c>
      <c r="F38" s="16" t="s">
        <v>790</v>
      </c>
      <c r="G38" s="28">
        <v>0</v>
      </c>
      <c r="H38" s="28">
        <v>28057</v>
      </c>
      <c r="I38" s="28">
        <f t="shared" si="0"/>
        <v>-625218.99999999953</v>
      </c>
    </row>
    <row r="39" spans="1:9" x14ac:dyDescent="0.3">
      <c r="A39" s="16" t="s">
        <v>780</v>
      </c>
      <c r="B39" s="16" t="s">
        <v>781</v>
      </c>
      <c r="C39" s="25">
        <v>45901</v>
      </c>
      <c r="D39" s="16" t="s">
        <v>305</v>
      </c>
      <c r="E39" s="16" t="s">
        <v>306</v>
      </c>
      <c r="F39" s="16" t="s">
        <v>791</v>
      </c>
      <c r="G39" s="28">
        <v>0</v>
      </c>
      <c r="H39" s="28">
        <v>7101</v>
      </c>
      <c r="I39" s="28">
        <f t="shared" si="0"/>
        <v>-632319.99999999953</v>
      </c>
    </row>
    <row r="40" spans="1:9" x14ac:dyDescent="0.3">
      <c r="A40" s="16" t="s">
        <v>780</v>
      </c>
      <c r="B40" s="16" t="s">
        <v>781</v>
      </c>
      <c r="C40" s="25">
        <v>45901</v>
      </c>
      <c r="D40" s="16" t="s">
        <v>305</v>
      </c>
      <c r="E40" s="16" t="s">
        <v>306</v>
      </c>
      <c r="F40" s="16" t="s">
        <v>789</v>
      </c>
      <c r="G40" s="28">
        <v>0</v>
      </c>
      <c r="H40" s="28">
        <v>97154</v>
      </c>
      <c r="I40" s="28">
        <f t="shared" si="0"/>
        <v>-729473.99999999953</v>
      </c>
    </row>
    <row r="41" spans="1:9" x14ac:dyDescent="0.3">
      <c r="A41" s="16" t="s">
        <v>780</v>
      </c>
      <c r="B41" s="16" t="s">
        <v>781</v>
      </c>
      <c r="C41" s="25">
        <v>45901</v>
      </c>
      <c r="D41" s="16" t="s">
        <v>305</v>
      </c>
      <c r="E41" s="16" t="s">
        <v>306</v>
      </c>
      <c r="F41" s="16" t="s">
        <v>792</v>
      </c>
      <c r="G41" s="28">
        <v>0</v>
      </c>
      <c r="H41" s="28">
        <v>64811</v>
      </c>
      <c r="I41" s="28">
        <f t="shared" si="0"/>
        <v>-794284.99999999953</v>
      </c>
    </row>
    <row r="42" spans="1:9" x14ac:dyDescent="0.3">
      <c r="A42" s="16" t="s">
        <v>780</v>
      </c>
      <c r="B42" s="16" t="s">
        <v>781</v>
      </c>
      <c r="C42" s="25">
        <v>45901</v>
      </c>
      <c r="D42" s="16" t="s">
        <v>305</v>
      </c>
      <c r="E42" s="16" t="s">
        <v>306</v>
      </c>
      <c r="F42" s="16" t="s">
        <v>789</v>
      </c>
      <c r="G42" s="28">
        <v>0</v>
      </c>
      <c r="H42" s="28">
        <v>68507</v>
      </c>
      <c r="I42" s="28">
        <f t="shared" si="0"/>
        <v>-862791.99999999953</v>
      </c>
    </row>
    <row r="43" spans="1:9" x14ac:dyDescent="0.3">
      <c r="A43" s="16" t="s">
        <v>780</v>
      </c>
      <c r="B43" s="16" t="s">
        <v>781</v>
      </c>
      <c r="C43" s="25">
        <v>45901</v>
      </c>
      <c r="D43" s="16" t="s">
        <v>305</v>
      </c>
      <c r="E43" s="16" t="s">
        <v>306</v>
      </c>
      <c r="F43" s="16" t="s">
        <v>788</v>
      </c>
      <c r="G43" s="28">
        <v>0</v>
      </c>
      <c r="H43" s="28">
        <v>38264</v>
      </c>
      <c r="I43" s="28">
        <f t="shared" si="0"/>
        <v>-901055.99999999953</v>
      </c>
    </row>
    <row r="44" spans="1:9" x14ac:dyDescent="0.3">
      <c r="A44" s="16" t="s">
        <v>780</v>
      </c>
      <c r="B44" s="16" t="s">
        <v>781</v>
      </c>
      <c r="C44" s="25">
        <v>45901</v>
      </c>
      <c r="D44" s="16" t="s">
        <v>337</v>
      </c>
      <c r="E44" s="16" t="s">
        <v>339</v>
      </c>
      <c r="F44" s="16"/>
      <c r="G44" s="28">
        <v>38264</v>
      </c>
      <c r="H44" s="28">
        <v>0</v>
      </c>
      <c r="I44" s="28">
        <f t="shared" si="0"/>
        <v>-862791.99999999953</v>
      </c>
    </row>
    <row r="45" spans="1:9" x14ac:dyDescent="0.3">
      <c r="A45" s="16" t="s">
        <v>780</v>
      </c>
      <c r="B45" s="16" t="s">
        <v>781</v>
      </c>
      <c r="C45" s="25">
        <v>45901</v>
      </c>
      <c r="D45" s="16" t="s">
        <v>337</v>
      </c>
      <c r="E45" s="16" t="s">
        <v>339</v>
      </c>
      <c r="F45" s="16"/>
      <c r="G45" s="28">
        <v>38641</v>
      </c>
      <c r="H45" s="28">
        <v>0</v>
      </c>
      <c r="I45" s="28">
        <f t="shared" si="0"/>
        <v>-824150.99999999953</v>
      </c>
    </row>
    <row r="46" spans="1:9" x14ac:dyDescent="0.3">
      <c r="A46" s="16" t="s">
        <v>780</v>
      </c>
      <c r="B46" s="16" t="s">
        <v>781</v>
      </c>
      <c r="C46" s="25">
        <v>45901</v>
      </c>
      <c r="D46" s="16" t="s">
        <v>337</v>
      </c>
      <c r="E46" s="16" t="s">
        <v>339</v>
      </c>
      <c r="F46" s="16"/>
      <c r="G46" s="28">
        <v>55427</v>
      </c>
      <c r="H46" s="28">
        <v>0</v>
      </c>
      <c r="I46" s="28">
        <f t="shared" si="0"/>
        <v>-768723.99999999953</v>
      </c>
    </row>
    <row r="47" spans="1:9" x14ac:dyDescent="0.3">
      <c r="A47" s="16" t="s">
        <v>780</v>
      </c>
      <c r="B47" s="16" t="s">
        <v>781</v>
      </c>
      <c r="C47" s="25">
        <v>45901</v>
      </c>
      <c r="D47" s="16" t="s">
        <v>337</v>
      </c>
      <c r="E47" s="16" t="s">
        <v>339</v>
      </c>
      <c r="F47" s="16"/>
      <c r="G47" s="28">
        <v>28057</v>
      </c>
      <c r="H47" s="28">
        <v>0</v>
      </c>
      <c r="I47" s="28">
        <f t="shared" si="0"/>
        <v>-740666.99999999953</v>
      </c>
    </row>
    <row r="48" spans="1:9" x14ac:dyDescent="0.3">
      <c r="A48" s="16" t="s">
        <v>780</v>
      </c>
      <c r="B48" s="16" t="s">
        <v>781</v>
      </c>
      <c r="C48" s="25">
        <v>45901</v>
      </c>
      <c r="D48" s="16" t="s">
        <v>337</v>
      </c>
      <c r="E48" s="16" t="s">
        <v>339</v>
      </c>
      <c r="F48" s="16"/>
      <c r="G48" s="28">
        <v>22852</v>
      </c>
      <c r="H48" s="28">
        <v>0</v>
      </c>
      <c r="I48" s="28">
        <f t="shared" si="0"/>
        <v>-717814.99999999953</v>
      </c>
    </row>
    <row r="49" spans="1:9" x14ac:dyDescent="0.3">
      <c r="A49" s="16" t="s">
        <v>780</v>
      </c>
      <c r="B49" s="16" t="s">
        <v>781</v>
      </c>
      <c r="C49" s="25">
        <v>45901</v>
      </c>
      <c r="D49" s="16" t="s">
        <v>337</v>
      </c>
      <c r="E49" s="16" t="s">
        <v>339</v>
      </c>
      <c r="F49" s="16"/>
      <c r="G49" s="28">
        <v>7101</v>
      </c>
      <c r="H49" s="28">
        <v>0</v>
      </c>
      <c r="I49" s="28">
        <f t="shared" si="0"/>
        <v>-710713.99999999953</v>
      </c>
    </row>
    <row r="50" spans="1:9" x14ac:dyDescent="0.3">
      <c r="A50" s="16" t="s">
        <v>780</v>
      </c>
      <c r="B50" s="16" t="s">
        <v>781</v>
      </c>
      <c r="C50" s="25">
        <v>45901</v>
      </c>
      <c r="D50" s="16" t="s">
        <v>337</v>
      </c>
      <c r="E50" s="16" t="s">
        <v>339</v>
      </c>
      <c r="F50" s="16"/>
      <c r="G50" s="28">
        <v>97154</v>
      </c>
      <c r="H50" s="28">
        <v>0</v>
      </c>
      <c r="I50" s="28">
        <f t="shared" si="0"/>
        <v>-613559.99999999953</v>
      </c>
    </row>
    <row r="51" spans="1:9" x14ac:dyDescent="0.3">
      <c r="A51" s="16" t="s">
        <v>780</v>
      </c>
      <c r="B51" s="16" t="s">
        <v>781</v>
      </c>
      <c r="C51" s="25">
        <v>45901</v>
      </c>
      <c r="D51" s="16" t="s">
        <v>337</v>
      </c>
      <c r="E51" s="16" t="s">
        <v>339</v>
      </c>
      <c r="F51" s="16"/>
      <c r="G51" s="28">
        <v>64811</v>
      </c>
      <c r="H51" s="28">
        <v>0</v>
      </c>
      <c r="I51" s="28">
        <f t="shared" si="0"/>
        <v>-548748.99999999953</v>
      </c>
    </row>
    <row r="52" spans="1:9" x14ac:dyDescent="0.3">
      <c r="A52" s="16" t="s">
        <v>780</v>
      </c>
      <c r="B52" s="16" t="s">
        <v>781</v>
      </c>
      <c r="C52" s="25">
        <v>45901</v>
      </c>
      <c r="D52" s="16" t="s">
        <v>337</v>
      </c>
      <c r="E52" s="16" t="s">
        <v>339</v>
      </c>
      <c r="F52" s="16"/>
      <c r="G52" s="28">
        <v>68507</v>
      </c>
      <c r="H52" s="28">
        <v>0</v>
      </c>
      <c r="I52" s="28">
        <f t="shared" si="0"/>
        <v>-480241.99999999953</v>
      </c>
    </row>
    <row r="53" spans="1:9" x14ac:dyDescent="0.3">
      <c r="A53" s="16" t="s">
        <v>780</v>
      </c>
      <c r="B53" s="16" t="s">
        <v>781</v>
      </c>
      <c r="C53" s="25">
        <v>45901</v>
      </c>
      <c r="D53" s="16" t="s">
        <v>305</v>
      </c>
      <c r="E53" s="16" t="s">
        <v>306</v>
      </c>
      <c r="F53" s="16" t="s">
        <v>793</v>
      </c>
      <c r="G53" s="28">
        <v>0</v>
      </c>
      <c r="H53" s="28">
        <v>106258</v>
      </c>
      <c r="I53" s="28">
        <f t="shared" si="0"/>
        <v>-586499.99999999953</v>
      </c>
    </row>
    <row r="54" spans="1:9" x14ac:dyDescent="0.3">
      <c r="A54" s="16" t="s">
        <v>780</v>
      </c>
      <c r="B54" s="16" t="s">
        <v>781</v>
      </c>
      <c r="C54" s="25">
        <v>45901</v>
      </c>
      <c r="D54" s="16" t="s">
        <v>305</v>
      </c>
      <c r="E54" s="16" t="s">
        <v>339</v>
      </c>
      <c r="F54" s="16"/>
      <c r="G54" s="28">
        <v>357939</v>
      </c>
      <c r="H54" s="28">
        <v>0</v>
      </c>
      <c r="I54" s="28">
        <f t="shared" si="0"/>
        <v>-228560.99999999953</v>
      </c>
    </row>
    <row r="55" spans="1:9" x14ac:dyDescent="0.3">
      <c r="A55" s="16" t="s">
        <v>780</v>
      </c>
      <c r="B55" s="16" t="s">
        <v>781</v>
      </c>
      <c r="C55" s="25">
        <v>45901</v>
      </c>
      <c r="D55" s="16" t="s">
        <v>305</v>
      </c>
      <c r="E55" s="16" t="s">
        <v>339</v>
      </c>
      <c r="F55" s="16"/>
      <c r="G55" s="28">
        <v>106258</v>
      </c>
      <c r="H55" s="28">
        <v>0</v>
      </c>
      <c r="I55" s="28">
        <f t="shared" si="0"/>
        <v>-122302.99999999953</v>
      </c>
    </row>
    <row r="56" spans="1:9" x14ac:dyDescent="0.3">
      <c r="A56" s="16" t="s">
        <v>780</v>
      </c>
      <c r="B56" s="16" t="s">
        <v>781</v>
      </c>
      <c r="C56" s="25">
        <v>45901</v>
      </c>
      <c r="D56" s="16" t="s">
        <v>305</v>
      </c>
      <c r="E56" s="16" t="s">
        <v>306</v>
      </c>
      <c r="F56" s="16"/>
      <c r="G56" s="28">
        <v>0</v>
      </c>
      <c r="H56" s="28">
        <v>76274.399999999994</v>
      </c>
      <c r="I56" s="28">
        <f t="shared" si="0"/>
        <v>-198577.39999999953</v>
      </c>
    </row>
    <row r="57" spans="1:9" x14ac:dyDescent="0.3">
      <c r="A57" s="16" t="s">
        <v>780</v>
      </c>
      <c r="B57" s="16" t="s">
        <v>781</v>
      </c>
      <c r="C57" s="25">
        <v>45901</v>
      </c>
      <c r="D57" s="16" t="s">
        <v>305</v>
      </c>
      <c r="E57" s="16" t="s">
        <v>306</v>
      </c>
      <c r="F57" s="16" t="s">
        <v>792</v>
      </c>
      <c r="G57" s="28">
        <v>0</v>
      </c>
      <c r="H57" s="28">
        <v>22852</v>
      </c>
      <c r="I57" s="28">
        <f t="shared" si="0"/>
        <v>-221429.39999999953</v>
      </c>
    </row>
    <row r="58" spans="1:9" x14ac:dyDescent="0.3">
      <c r="A58" s="16" t="s">
        <v>780</v>
      </c>
      <c r="B58" s="16" t="s">
        <v>781</v>
      </c>
      <c r="C58" s="25">
        <v>45901</v>
      </c>
      <c r="D58" s="16" t="s">
        <v>305</v>
      </c>
      <c r="E58" s="16" t="s">
        <v>306</v>
      </c>
      <c r="F58" s="16" t="s">
        <v>794</v>
      </c>
      <c r="G58" s="28">
        <v>0</v>
      </c>
      <c r="H58" s="28">
        <v>357939</v>
      </c>
      <c r="I58" s="28">
        <f t="shared" si="0"/>
        <v>-579368.39999999956</v>
      </c>
    </row>
    <row r="59" spans="1:9" x14ac:dyDescent="0.3">
      <c r="A59" s="16" t="s">
        <v>780</v>
      </c>
      <c r="B59" s="16" t="s">
        <v>781</v>
      </c>
      <c r="C59" s="25">
        <v>45911</v>
      </c>
      <c r="D59" s="16" t="s">
        <v>308</v>
      </c>
      <c r="E59" s="16" t="s">
        <v>783</v>
      </c>
      <c r="F59" s="16" t="s">
        <v>795</v>
      </c>
      <c r="G59" s="28">
        <v>36966</v>
      </c>
      <c r="H59" s="28">
        <v>0</v>
      </c>
      <c r="I59" s="28">
        <f t="shared" si="0"/>
        <v>-542402.39999999956</v>
      </c>
    </row>
    <row r="60" spans="1:9" x14ac:dyDescent="0.3">
      <c r="A60" s="16" t="s">
        <v>780</v>
      </c>
      <c r="B60" s="16" t="s">
        <v>781</v>
      </c>
      <c r="C60" s="25">
        <v>45911</v>
      </c>
      <c r="D60" s="16" t="s">
        <v>305</v>
      </c>
      <c r="E60" s="16" t="s">
        <v>311</v>
      </c>
      <c r="F60" s="16"/>
      <c r="G60" s="28">
        <v>0</v>
      </c>
      <c r="H60" s="28">
        <v>311</v>
      </c>
      <c r="I60" s="28">
        <f t="shared" si="0"/>
        <v>-542713.39999999956</v>
      </c>
    </row>
    <row r="61" spans="1:9" x14ac:dyDescent="0.3">
      <c r="A61" s="16" t="s">
        <v>780</v>
      </c>
      <c r="B61" s="16" t="s">
        <v>781</v>
      </c>
      <c r="C61" s="25">
        <v>45911</v>
      </c>
      <c r="D61" s="16" t="s">
        <v>305</v>
      </c>
      <c r="E61" s="16" t="s">
        <v>311</v>
      </c>
      <c r="F61" s="16"/>
      <c r="G61" s="28">
        <v>0</v>
      </c>
      <c r="H61" s="28">
        <v>7446</v>
      </c>
      <c r="I61" s="28">
        <f t="shared" si="0"/>
        <v>-550159.39999999956</v>
      </c>
    </row>
    <row r="62" spans="1:9" x14ac:dyDescent="0.3">
      <c r="A62" s="16" t="s">
        <v>780</v>
      </c>
      <c r="B62" s="16" t="s">
        <v>781</v>
      </c>
      <c r="C62" s="25">
        <v>45926</v>
      </c>
      <c r="D62" s="16" t="s">
        <v>305</v>
      </c>
      <c r="E62" s="16" t="s">
        <v>311</v>
      </c>
      <c r="F62" s="16"/>
      <c r="G62" s="28">
        <v>0</v>
      </c>
      <c r="H62" s="28">
        <v>3949</v>
      </c>
      <c r="I62" s="28">
        <f t="shared" si="0"/>
        <v>-554108.39999999956</v>
      </c>
    </row>
    <row r="63" spans="1:9" x14ac:dyDescent="0.3">
      <c r="A63" s="16" t="s">
        <v>780</v>
      </c>
      <c r="B63" s="16" t="s">
        <v>781</v>
      </c>
      <c r="C63" s="25">
        <v>45926</v>
      </c>
      <c r="D63" s="16" t="s">
        <v>305</v>
      </c>
      <c r="E63" s="16" t="s">
        <v>311</v>
      </c>
      <c r="F63" s="16"/>
      <c r="G63" s="28">
        <v>0</v>
      </c>
      <c r="H63" s="28">
        <v>13842</v>
      </c>
      <c r="I63" s="28">
        <f t="shared" si="0"/>
        <v>-567950.39999999956</v>
      </c>
    </row>
    <row r="64" spans="1:9" x14ac:dyDescent="0.3">
      <c r="A64" s="16" t="s">
        <v>780</v>
      </c>
      <c r="B64" s="16" t="s">
        <v>781</v>
      </c>
      <c r="C64" s="25">
        <v>45931</v>
      </c>
      <c r="D64" s="16" t="s">
        <v>305</v>
      </c>
      <c r="E64" s="16" t="s">
        <v>339</v>
      </c>
      <c r="F64" s="16"/>
      <c r="G64" s="28">
        <v>0</v>
      </c>
      <c r="H64" s="28">
        <v>280424.99</v>
      </c>
      <c r="I64" s="28">
        <f t="shared" si="0"/>
        <v>-848375.38999999955</v>
      </c>
    </row>
    <row r="65" spans="1:9" x14ac:dyDescent="0.3">
      <c r="A65" s="16" t="s">
        <v>780</v>
      </c>
      <c r="B65" s="16" t="s">
        <v>781</v>
      </c>
      <c r="C65" s="25">
        <v>45933</v>
      </c>
      <c r="D65" s="16" t="s">
        <v>305</v>
      </c>
      <c r="E65" s="16" t="s">
        <v>311</v>
      </c>
      <c r="F65" s="16"/>
      <c r="G65" s="28">
        <v>0</v>
      </c>
      <c r="H65" s="28">
        <v>7209</v>
      </c>
      <c r="I65" s="28">
        <f t="shared" si="0"/>
        <v>-855584.38999999955</v>
      </c>
    </row>
    <row r="66" spans="1:9" x14ac:dyDescent="0.3">
      <c r="A66" s="16" t="s">
        <v>780</v>
      </c>
      <c r="B66" s="16" t="s">
        <v>781</v>
      </c>
      <c r="C66" s="25">
        <v>45933</v>
      </c>
      <c r="D66" s="16" t="s">
        <v>305</v>
      </c>
      <c r="E66" s="16" t="s">
        <v>339</v>
      </c>
      <c r="F66" s="16"/>
      <c r="G66" s="28">
        <v>0</v>
      </c>
      <c r="H66" s="28">
        <v>366194.32</v>
      </c>
      <c r="I66" s="28">
        <f t="shared" si="0"/>
        <v>-1221778.7099999995</v>
      </c>
    </row>
    <row r="67" spans="1:9" x14ac:dyDescent="0.3">
      <c r="A67" s="16" t="s">
        <v>780</v>
      </c>
      <c r="B67" s="16" t="s">
        <v>781</v>
      </c>
      <c r="C67" s="25">
        <v>45933</v>
      </c>
      <c r="D67" s="16" t="s">
        <v>305</v>
      </c>
      <c r="E67" s="16" t="s">
        <v>339</v>
      </c>
      <c r="F67" s="16"/>
      <c r="G67" s="28">
        <v>0</v>
      </c>
      <c r="H67" s="28">
        <v>575767.19999999995</v>
      </c>
      <c r="I67" s="28">
        <f t="shared" si="0"/>
        <v>-1797545.9099999995</v>
      </c>
    </row>
    <row r="68" spans="1:9" x14ac:dyDescent="0.3">
      <c r="A68" s="16" t="s">
        <v>780</v>
      </c>
      <c r="B68" s="16" t="s">
        <v>781</v>
      </c>
      <c r="C68" s="25">
        <v>45936</v>
      </c>
      <c r="D68" s="16" t="s">
        <v>305</v>
      </c>
      <c r="E68" s="16" t="s">
        <v>311</v>
      </c>
      <c r="F68" s="16"/>
      <c r="G68" s="28">
        <v>0</v>
      </c>
      <c r="H68" s="28">
        <v>9418</v>
      </c>
      <c r="I68" s="28">
        <f t="shared" ref="I68:I106" si="1">I67+G68-H68</f>
        <v>-1806963.9099999995</v>
      </c>
    </row>
    <row r="69" spans="1:9" x14ac:dyDescent="0.3">
      <c r="A69" s="16" t="s">
        <v>780</v>
      </c>
      <c r="B69" s="16" t="s">
        <v>781</v>
      </c>
      <c r="C69" s="25">
        <v>45936</v>
      </c>
      <c r="D69" s="16" t="s">
        <v>305</v>
      </c>
      <c r="E69" s="16" t="s">
        <v>311</v>
      </c>
      <c r="F69" s="16"/>
      <c r="G69" s="28">
        <v>0</v>
      </c>
      <c r="H69" s="28">
        <v>14803</v>
      </c>
      <c r="I69" s="28">
        <f t="shared" si="1"/>
        <v>-1821766.9099999995</v>
      </c>
    </row>
    <row r="70" spans="1:9" x14ac:dyDescent="0.3">
      <c r="A70" s="16" t="s">
        <v>780</v>
      </c>
      <c r="B70" s="16" t="s">
        <v>781</v>
      </c>
      <c r="C70" s="25">
        <v>45944</v>
      </c>
      <c r="D70" s="16" t="s">
        <v>308</v>
      </c>
      <c r="E70" s="16" t="s">
        <v>783</v>
      </c>
      <c r="F70" s="16" t="s">
        <v>784</v>
      </c>
      <c r="G70" s="28">
        <v>491676</v>
      </c>
      <c r="H70" s="28">
        <v>0</v>
      </c>
      <c r="I70" s="28">
        <f t="shared" si="1"/>
        <v>-1330090.9099999995</v>
      </c>
    </row>
    <row r="71" spans="1:9" x14ac:dyDescent="0.3">
      <c r="A71" s="16" t="s">
        <v>780</v>
      </c>
      <c r="B71" s="16" t="s">
        <v>781</v>
      </c>
      <c r="C71" s="25">
        <v>45944</v>
      </c>
      <c r="D71" s="16" t="s">
        <v>305</v>
      </c>
      <c r="E71" s="16" t="s">
        <v>311</v>
      </c>
      <c r="F71" s="16"/>
      <c r="G71" s="28">
        <v>0</v>
      </c>
      <c r="H71" s="28">
        <v>2123.6</v>
      </c>
      <c r="I71" s="28">
        <f t="shared" si="1"/>
        <v>-1332214.5099999995</v>
      </c>
    </row>
    <row r="72" spans="1:9" x14ac:dyDescent="0.3">
      <c r="A72" s="16" t="s">
        <v>780</v>
      </c>
      <c r="B72" s="16" t="s">
        <v>781</v>
      </c>
      <c r="C72" s="25">
        <v>45958</v>
      </c>
      <c r="D72" s="16" t="s">
        <v>305</v>
      </c>
      <c r="E72" s="16" t="s">
        <v>311</v>
      </c>
      <c r="F72" s="16"/>
      <c r="G72" s="28">
        <v>0</v>
      </c>
      <c r="H72" s="28">
        <v>52</v>
      </c>
      <c r="I72" s="28">
        <f t="shared" si="1"/>
        <v>-1332266.5099999995</v>
      </c>
    </row>
    <row r="73" spans="1:9" x14ac:dyDescent="0.3">
      <c r="A73" s="16" t="s">
        <v>780</v>
      </c>
      <c r="B73" s="16" t="s">
        <v>781</v>
      </c>
      <c r="C73" s="25">
        <v>45958</v>
      </c>
      <c r="D73" s="16" t="s">
        <v>305</v>
      </c>
      <c r="E73" s="16" t="s">
        <v>311</v>
      </c>
      <c r="F73" s="16"/>
      <c r="G73" s="28">
        <v>0</v>
      </c>
      <c r="H73" s="28">
        <v>3958</v>
      </c>
      <c r="I73" s="28">
        <f t="shared" si="1"/>
        <v>-1336224.5099999995</v>
      </c>
    </row>
    <row r="74" spans="1:9" x14ac:dyDescent="0.3">
      <c r="A74" s="16" t="s">
        <v>780</v>
      </c>
      <c r="B74" s="16" t="s">
        <v>781</v>
      </c>
      <c r="C74" s="25">
        <v>45958</v>
      </c>
      <c r="D74" s="16" t="s">
        <v>305</v>
      </c>
      <c r="E74" s="16" t="s">
        <v>311</v>
      </c>
      <c r="F74" s="16"/>
      <c r="G74" s="28">
        <v>0</v>
      </c>
      <c r="H74" s="28">
        <v>2007</v>
      </c>
      <c r="I74" s="28">
        <f t="shared" si="1"/>
        <v>-1338231.5099999995</v>
      </c>
    </row>
    <row r="75" spans="1:9" x14ac:dyDescent="0.3">
      <c r="A75" s="16" t="s">
        <v>780</v>
      </c>
      <c r="B75" s="16" t="s">
        <v>781</v>
      </c>
      <c r="C75" s="25">
        <v>45974</v>
      </c>
      <c r="D75" s="16" t="s">
        <v>308</v>
      </c>
      <c r="E75" s="16" t="s">
        <v>783</v>
      </c>
      <c r="F75" s="16" t="s">
        <v>796</v>
      </c>
      <c r="G75" s="28">
        <v>115845</v>
      </c>
      <c r="H75" s="28">
        <v>0</v>
      </c>
      <c r="I75" s="28">
        <f t="shared" si="1"/>
        <v>-1222386.5099999995</v>
      </c>
    </row>
    <row r="76" spans="1:9" x14ac:dyDescent="0.3">
      <c r="A76" s="16" t="s">
        <v>780</v>
      </c>
      <c r="B76" s="16" t="s">
        <v>781</v>
      </c>
      <c r="C76" s="25">
        <v>45986</v>
      </c>
      <c r="D76" s="16" t="s">
        <v>305</v>
      </c>
      <c r="E76" s="16" t="s">
        <v>339</v>
      </c>
      <c r="F76" s="16"/>
      <c r="G76" s="28">
        <v>0</v>
      </c>
      <c r="H76" s="28">
        <v>690769.13</v>
      </c>
      <c r="I76" s="28">
        <f t="shared" si="1"/>
        <v>-1913155.6399999997</v>
      </c>
    </row>
    <row r="77" spans="1:9" x14ac:dyDescent="0.3">
      <c r="A77" s="16" t="s">
        <v>780</v>
      </c>
      <c r="B77" s="16" t="s">
        <v>781</v>
      </c>
      <c r="C77" s="25">
        <v>45986</v>
      </c>
      <c r="D77" s="16" t="s">
        <v>337</v>
      </c>
      <c r="E77" s="16" t="s">
        <v>311</v>
      </c>
      <c r="F77" s="16"/>
      <c r="G77" s="28">
        <v>23205.49</v>
      </c>
      <c r="H77" s="28">
        <v>0</v>
      </c>
      <c r="I77" s="28">
        <f t="shared" si="1"/>
        <v>-1889950.1499999997</v>
      </c>
    </row>
    <row r="78" spans="1:9" x14ac:dyDescent="0.3">
      <c r="A78" s="16" t="s">
        <v>780</v>
      </c>
      <c r="B78" s="16" t="s">
        <v>781</v>
      </c>
      <c r="C78" s="25">
        <v>45987</v>
      </c>
      <c r="D78" s="16" t="s">
        <v>305</v>
      </c>
      <c r="E78" s="16" t="s">
        <v>311</v>
      </c>
      <c r="F78" s="16"/>
      <c r="G78" s="28">
        <v>0</v>
      </c>
      <c r="H78" s="28">
        <v>17828</v>
      </c>
      <c r="I78" s="28">
        <f t="shared" si="1"/>
        <v>-1907778.1499999997</v>
      </c>
    </row>
    <row r="79" spans="1:9" x14ac:dyDescent="0.3">
      <c r="A79" s="16" t="s">
        <v>780</v>
      </c>
      <c r="B79" s="16" t="s">
        <v>781</v>
      </c>
      <c r="C79" s="25">
        <v>45987</v>
      </c>
      <c r="D79" s="16" t="s">
        <v>305</v>
      </c>
      <c r="E79" s="16" t="s">
        <v>311</v>
      </c>
      <c r="F79" s="16"/>
      <c r="G79" s="28">
        <v>0</v>
      </c>
      <c r="H79" s="28">
        <v>822</v>
      </c>
      <c r="I79" s="28">
        <f t="shared" si="1"/>
        <v>-1908600.1499999997</v>
      </c>
    </row>
    <row r="80" spans="1:9" x14ac:dyDescent="0.3">
      <c r="A80" s="16" t="s">
        <v>780</v>
      </c>
      <c r="B80" s="16" t="s">
        <v>781</v>
      </c>
      <c r="C80" s="25">
        <v>45987</v>
      </c>
      <c r="D80" s="16" t="s">
        <v>305</v>
      </c>
      <c r="E80" s="16" t="s">
        <v>311</v>
      </c>
      <c r="F80" s="16"/>
      <c r="G80" s="28">
        <v>0</v>
      </c>
      <c r="H80" s="28">
        <v>3964</v>
      </c>
      <c r="I80" s="28">
        <f t="shared" si="1"/>
        <v>-1912564.1499999997</v>
      </c>
    </row>
    <row r="81" spans="1:9" x14ac:dyDescent="0.3">
      <c r="A81" s="16" t="s">
        <v>780</v>
      </c>
      <c r="B81" s="16" t="s">
        <v>781</v>
      </c>
      <c r="C81" s="25">
        <v>45987</v>
      </c>
      <c r="D81" s="16" t="s">
        <v>305</v>
      </c>
      <c r="E81" s="16" t="s">
        <v>311</v>
      </c>
      <c r="F81" s="16"/>
      <c r="G81" s="28">
        <v>0</v>
      </c>
      <c r="H81" s="28">
        <v>35210</v>
      </c>
      <c r="I81" s="28">
        <f t="shared" si="1"/>
        <v>-1947774.1499999997</v>
      </c>
    </row>
    <row r="82" spans="1:9" x14ac:dyDescent="0.3">
      <c r="A82" s="16" t="s">
        <v>780</v>
      </c>
      <c r="B82" s="16" t="s">
        <v>781</v>
      </c>
      <c r="C82" s="25">
        <v>45992</v>
      </c>
      <c r="D82" s="16" t="s">
        <v>305</v>
      </c>
      <c r="E82" s="16" t="s">
        <v>311</v>
      </c>
      <c r="F82" s="16"/>
      <c r="G82" s="28">
        <v>0</v>
      </c>
      <c r="H82" s="28">
        <v>2046</v>
      </c>
      <c r="I82" s="28">
        <f t="shared" si="1"/>
        <v>-1949820.1499999997</v>
      </c>
    </row>
    <row r="83" spans="1:9" x14ac:dyDescent="0.3">
      <c r="A83" s="16" t="s">
        <v>780</v>
      </c>
      <c r="B83" s="16" t="s">
        <v>781</v>
      </c>
      <c r="C83" s="25">
        <v>45992</v>
      </c>
      <c r="D83" s="16" t="s">
        <v>305</v>
      </c>
      <c r="E83" s="16" t="s">
        <v>339</v>
      </c>
      <c r="F83" s="16"/>
      <c r="G83" s="28">
        <v>0</v>
      </c>
      <c r="H83" s="28">
        <v>80150.34</v>
      </c>
      <c r="I83" s="28">
        <f t="shared" si="1"/>
        <v>-2029970.4899999998</v>
      </c>
    </row>
    <row r="84" spans="1:9" x14ac:dyDescent="0.3">
      <c r="A84" s="16" t="s">
        <v>780</v>
      </c>
      <c r="B84" s="16" t="s">
        <v>781</v>
      </c>
      <c r="C84" s="25">
        <v>45992</v>
      </c>
      <c r="D84" s="16" t="s">
        <v>305</v>
      </c>
      <c r="E84" s="16" t="s">
        <v>306</v>
      </c>
      <c r="F84" s="16" t="s">
        <v>789</v>
      </c>
      <c r="G84" s="28">
        <v>0</v>
      </c>
      <c r="H84" s="28">
        <v>367537</v>
      </c>
      <c r="I84" s="28">
        <f t="shared" si="1"/>
        <v>-2397507.4899999998</v>
      </c>
    </row>
    <row r="85" spans="1:9" x14ac:dyDescent="0.3">
      <c r="A85" s="16" t="s">
        <v>780</v>
      </c>
      <c r="B85" s="16" t="s">
        <v>781</v>
      </c>
      <c r="C85" s="25">
        <v>45992</v>
      </c>
      <c r="D85" s="16" t="s">
        <v>305</v>
      </c>
      <c r="E85" s="16" t="s">
        <v>306</v>
      </c>
      <c r="F85" s="16" t="s">
        <v>797</v>
      </c>
      <c r="G85" s="28">
        <v>0</v>
      </c>
      <c r="H85" s="28">
        <v>577538</v>
      </c>
      <c r="I85" s="28">
        <f t="shared" si="1"/>
        <v>-2975045.4899999998</v>
      </c>
    </row>
    <row r="86" spans="1:9" x14ac:dyDescent="0.3">
      <c r="A86" s="16" t="s">
        <v>780</v>
      </c>
      <c r="B86" s="16" t="s">
        <v>781</v>
      </c>
      <c r="C86" s="25">
        <v>45992</v>
      </c>
      <c r="D86" s="16" t="s">
        <v>305</v>
      </c>
      <c r="E86" s="16" t="s">
        <v>306</v>
      </c>
      <c r="F86" s="16" t="s">
        <v>798</v>
      </c>
      <c r="G86" s="28">
        <v>0</v>
      </c>
      <c r="H86" s="28">
        <v>129342</v>
      </c>
      <c r="I86" s="28">
        <f t="shared" si="1"/>
        <v>-3104387.4899999998</v>
      </c>
    </row>
    <row r="87" spans="1:9" x14ac:dyDescent="0.3">
      <c r="A87" s="16" t="s">
        <v>780</v>
      </c>
      <c r="B87" s="16" t="s">
        <v>781</v>
      </c>
      <c r="C87" s="25">
        <v>45992</v>
      </c>
      <c r="D87" s="16" t="s">
        <v>305</v>
      </c>
      <c r="E87" s="16" t="s">
        <v>306</v>
      </c>
      <c r="F87" s="16" t="s">
        <v>799</v>
      </c>
      <c r="G87" s="28">
        <v>0</v>
      </c>
      <c r="H87" s="28">
        <v>598009</v>
      </c>
      <c r="I87" s="28">
        <f t="shared" si="1"/>
        <v>-3702396.4899999998</v>
      </c>
    </row>
    <row r="88" spans="1:9" x14ac:dyDescent="0.3">
      <c r="A88" s="16" t="s">
        <v>780</v>
      </c>
      <c r="B88" s="16" t="s">
        <v>781</v>
      </c>
      <c r="C88" s="25">
        <v>45992</v>
      </c>
      <c r="D88" s="16" t="s">
        <v>305</v>
      </c>
      <c r="E88" s="16" t="s">
        <v>306</v>
      </c>
      <c r="F88" s="16" t="s">
        <v>386</v>
      </c>
      <c r="G88" s="28">
        <v>0</v>
      </c>
      <c r="H88" s="28">
        <v>66737</v>
      </c>
      <c r="I88" s="28">
        <f t="shared" si="1"/>
        <v>-3769133.4899999998</v>
      </c>
    </row>
    <row r="89" spans="1:9" x14ac:dyDescent="0.3">
      <c r="A89" s="16" t="s">
        <v>780</v>
      </c>
      <c r="B89" s="16" t="s">
        <v>781</v>
      </c>
      <c r="C89" s="25">
        <v>45992</v>
      </c>
      <c r="D89" s="16" t="s">
        <v>305</v>
      </c>
      <c r="E89" s="16" t="s">
        <v>306</v>
      </c>
      <c r="F89" s="16" t="s">
        <v>800</v>
      </c>
      <c r="G89" s="28">
        <v>0</v>
      </c>
      <c r="H89" s="28">
        <v>2700</v>
      </c>
      <c r="I89" s="28">
        <f t="shared" si="1"/>
        <v>-3771833.4899999998</v>
      </c>
    </row>
    <row r="90" spans="1:9" x14ac:dyDescent="0.3">
      <c r="A90" s="16" t="s">
        <v>780</v>
      </c>
      <c r="B90" s="16" t="s">
        <v>781</v>
      </c>
      <c r="C90" s="25">
        <v>45992</v>
      </c>
      <c r="D90" s="16" t="s">
        <v>305</v>
      </c>
      <c r="E90" s="16" t="s">
        <v>306</v>
      </c>
      <c r="F90" s="16" t="s">
        <v>801</v>
      </c>
      <c r="G90" s="28">
        <v>0</v>
      </c>
      <c r="H90" s="28">
        <v>556069</v>
      </c>
      <c r="I90" s="28">
        <f t="shared" si="1"/>
        <v>-4327902.49</v>
      </c>
    </row>
    <row r="91" spans="1:9" x14ac:dyDescent="0.3">
      <c r="A91" s="16" t="s">
        <v>780</v>
      </c>
      <c r="B91" s="16" t="s">
        <v>781</v>
      </c>
      <c r="C91" s="25">
        <v>45992</v>
      </c>
      <c r="D91" s="16" t="s">
        <v>305</v>
      </c>
      <c r="E91" s="16" t="s">
        <v>306</v>
      </c>
      <c r="F91" s="16" t="s">
        <v>802</v>
      </c>
      <c r="G91" s="28">
        <v>0</v>
      </c>
      <c r="H91" s="28">
        <v>823229</v>
      </c>
      <c r="I91" s="28">
        <f t="shared" si="1"/>
        <v>-5151131.49</v>
      </c>
    </row>
    <row r="92" spans="1:9" x14ac:dyDescent="0.3">
      <c r="A92" s="16" t="s">
        <v>780</v>
      </c>
      <c r="B92" s="16" t="s">
        <v>781</v>
      </c>
      <c r="C92" s="25">
        <v>45992</v>
      </c>
      <c r="D92" s="16" t="s">
        <v>305</v>
      </c>
      <c r="E92" s="16" t="s">
        <v>306</v>
      </c>
      <c r="F92" s="16" t="s">
        <v>803</v>
      </c>
      <c r="G92" s="28">
        <v>0</v>
      </c>
      <c r="H92" s="28">
        <v>281453</v>
      </c>
      <c r="I92" s="28">
        <f t="shared" si="1"/>
        <v>-5432584.4900000002</v>
      </c>
    </row>
    <row r="93" spans="1:9" x14ac:dyDescent="0.3">
      <c r="A93" s="16" t="s">
        <v>780</v>
      </c>
      <c r="B93" s="16" t="s">
        <v>781</v>
      </c>
      <c r="C93" s="25">
        <v>46004</v>
      </c>
      <c r="D93" s="16" t="s">
        <v>305</v>
      </c>
      <c r="E93" s="16" t="s">
        <v>311</v>
      </c>
      <c r="F93" s="16"/>
      <c r="G93" s="28">
        <v>0</v>
      </c>
      <c r="H93" s="28">
        <v>50767.85</v>
      </c>
      <c r="I93" s="28">
        <f t="shared" si="1"/>
        <v>-5483352.3399999999</v>
      </c>
    </row>
    <row r="94" spans="1:9" x14ac:dyDescent="0.3">
      <c r="A94" s="16" t="s">
        <v>780</v>
      </c>
      <c r="B94" s="16" t="s">
        <v>781</v>
      </c>
      <c r="C94" s="25">
        <v>46006</v>
      </c>
      <c r="D94" s="16" t="s">
        <v>308</v>
      </c>
      <c r="E94" s="16" t="s">
        <v>783</v>
      </c>
      <c r="F94" s="16" t="s">
        <v>804</v>
      </c>
      <c r="G94" s="28">
        <v>1303416</v>
      </c>
      <c r="H94" s="28">
        <v>0</v>
      </c>
      <c r="I94" s="28">
        <f t="shared" si="1"/>
        <v>-4179936.34</v>
      </c>
    </row>
    <row r="95" spans="1:9" x14ac:dyDescent="0.3">
      <c r="A95" s="16" t="s">
        <v>780</v>
      </c>
      <c r="B95" s="16" t="s">
        <v>781</v>
      </c>
      <c r="C95" s="25">
        <v>46017</v>
      </c>
      <c r="D95" s="16" t="s">
        <v>305</v>
      </c>
      <c r="E95" s="16" t="s">
        <v>311</v>
      </c>
      <c r="F95" s="16"/>
      <c r="G95" s="28">
        <v>0</v>
      </c>
      <c r="H95" s="28">
        <v>459</v>
      </c>
      <c r="I95" s="28">
        <f t="shared" si="1"/>
        <v>-4180395.34</v>
      </c>
    </row>
    <row r="96" spans="1:9" x14ac:dyDescent="0.3">
      <c r="A96" s="16" t="s">
        <v>780</v>
      </c>
      <c r="B96" s="16" t="s">
        <v>781</v>
      </c>
      <c r="C96" s="25">
        <v>46017</v>
      </c>
      <c r="D96" s="16" t="s">
        <v>305</v>
      </c>
      <c r="E96" s="16" t="s">
        <v>311</v>
      </c>
      <c r="F96" s="16"/>
      <c r="G96" s="28">
        <v>0</v>
      </c>
      <c r="H96" s="28">
        <v>3971</v>
      </c>
      <c r="I96" s="28">
        <f t="shared" si="1"/>
        <v>-4184366.34</v>
      </c>
    </row>
    <row r="97" spans="1:10" x14ac:dyDescent="0.3">
      <c r="A97" s="16" t="s">
        <v>780</v>
      </c>
      <c r="B97" s="16" t="s">
        <v>781</v>
      </c>
      <c r="C97" s="25">
        <v>46017</v>
      </c>
      <c r="D97" s="16" t="s">
        <v>305</v>
      </c>
      <c r="E97" s="16" t="s">
        <v>311</v>
      </c>
      <c r="F97" s="16"/>
      <c r="G97" s="28">
        <v>0</v>
      </c>
      <c r="H97" s="28">
        <v>18388</v>
      </c>
      <c r="I97" s="28">
        <f t="shared" si="1"/>
        <v>-4202754.34</v>
      </c>
    </row>
    <row r="98" spans="1:10" x14ac:dyDescent="0.3">
      <c r="A98" s="16" t="s">
        <v>780</v>
      </c>
      <c r="B98" s="16" t="s">
        <v>781</v>
      </c>
      <c r="C98" s="25">
        <v>46022</v>
      </c>
      <c r="D98" s="16" t="s">
        <v>305</v>
      </c>
      <c r="E98" s="16" t="s">
        <v>339</v>
      </c>
      <c r="F98" s="16" t="s">
        <v>805</v>
      </c>
      <c r="G98" s="28">
        <v>129342</v>
      </c>
      <c r="H98" s="28">
        <v>0</v>
      </c>
      <c r="I98" s="28">
        <f t="shared" si="1"/>
        <v>-4073412.34</v>
      </c>
    </row>
    <row r="99" spans="1:10" x14ac:dyDescent="0.3">
      <c r="A99" s="16" t="s">
        <v>780</v>
      </c>
      <c r="B99" s="16" t="s">
        <v>781</v>
      </c>
      <c r="C99" s="25">
        <v>46022</v>
      </c>
      <c r="D99" s="16" t="s">
        <v>305</v>
      </c>
      <c r="E99" s="16" t="s">
        <v>339</v>
      </c>
      <c r="F99" s="16" t="s">
        <v>806</v>
      </c>
      <c r="G99" s="28">
        <v>367537</v>
      </c>
      <c r="H99" s="28">
        <v>0</v>
      </c>
      <c r="I99" s="28">
        <f t="shared" si="1"/>
        <v>-3705875.34</v>
      </c>
    </row>
    <row r="100" spans="1:10" x14ac:dyDescent="0.3">
      <c r="A100" s="16" t="s">
        <v>780</v>
      </c>
      <c r="B100" s="16" t="s">
        <v>781</v>
      </c>
      <c r="C100" s="25">
        <v>46022</v>
      </c>
      <c r="D100" s="16" t="s">
        <v>305</v>
      </c>
      <c r="E100" s="16" t="s">
        <v>339</v>
      </c>
      <c r="F100" s="16" t="s">
        <v>807</v>
      </c>
      <c r="G100" s="28">
        <v>577538</v>
      </c>
      <c r="H100" s="28">
        <v>0</v>
      </c>
      <c r="I100" s="28">
        <f t="shared" si="1"/>
        <v>-3128337.34</v>
      </c>
    </row>
    <row r="101" spans="1:10" x14ac:dyDescent="0.3">
      <c r="A101" s="16" t="s">
        <v>780</v>
      </c>
      <c r="B101" s="16" t="s">
        <v>781</v>
      </c>
      <c r="C101" s="25">
        <v>46022</v>
      </c>
      <c r="D101" s="16" t="s">
        <v>305</v>
      </c>
      <c r="E101" s="16" t="s">
        <v>339</v>
      </c>
      <c r="F101" s="16"/>
      <c r="G101" s="28">
        <v>2700</v>
      </c>
      <c r="H101" s="28">
        <v>0</v>
      </c>
      <c r="I101" s="28">
        <f t="shared" si="1"/>
        <v>-3125637.34</v>
      </c>
    </row>
    <row r="102" spans="1:10" x14ac:dyDescent="0.3">
      <c r="A102" s="16" t="s">
        <v>780</v>
      </c>
      <c r="B102" s="16" t="s">
        <v>781</v>
      </c>
      <c r="C102" s="25">
        <v>46022</v>
      </c>
      <c r="D102" s="16" t="s">
        <v>305</v>
      </c>
      <c r="E102" s="16" t="s">
        <v>339</v>
      </c>
      <c r="F102" s="16"/>
      <c r="G102" s="28">
        <v>66737</v>
      </c>
      <c r="H102" s="28">
        <v>0</v>
      </c>
      <c r="I102" s="28">
        <f t="shared" si="1"/>
        <v>-3058900.34</v>
      </c>
    </row>
    <row r="103" spans="1:10" x14ac:dyDescent="0.3">
      <c r="A103" s="16" t="s">
        <v>780</v>
      </c>
      <c r="B103" s="16" t="s">
        <v>781</v>
      </c>
      <c r="C103" s="25">
        <v>46022</v>
      </c>
      <c r="D103" s="16" t="s">
        <v>305</v>
      </c>
      <c r="E103" s="16" t="s">
        <v>339</v>
      </c>
      <c r="F103" s="16"/>
      <c r="G103" s="28">
        <v>598009</v>
      </c>
      <c r="H103" s="28">
        <v>0</v>
      </c>
      <c r="I103" s="28">
        <f t="shared" si="1"/>
        <v>-2460891.34</v>
      </c>
    </row>
    <row r="104" spans="1:10" x14ac:dyDescent="0.3">
      <c r="A104" s="16" t="s">
        <v>780</v>
      </c>
      <c r="B104" s="16" t="s">
        <v>781</v>
      </c>
      <c r="C104" s="25">
        <v>46022</v>
      </c>
      <c r="D104" s="16" t="s">
        <v>305</v>
      </c>
      <c r="E104" s="16" t="s">
        <v>339</v>
      </c>
      <c r="F104" s="16"/>
      <c r="G104" s="28">
        <v>556069</v>
      </c>
      <c r="H104" s="28">
        <v>0</v>
      </c>
      <c r="I104" s="28">
        <f t="shared" si="1"/>
        <v>-1904822.3399999999</v>
      </c>
    </row>
    <row r="105" spans="1:10" x14ac:dyDescent="0.3">
      <c r="A105" s="16" t="s">
        <v>780</v>
      </c>
      <c r="B105" s="16" t="s">
        <v>781</v>
      </c>
      <c r="C105" s="25">
        <v>46022</v>
      </c>
      <c r="D105" s="16" t="s">
        <v>305</v>
      </c>
      <c r="E105" s="16" t="s">
        <v>339</v>
      </c>
      <c r="F105" s="16"/>
      <c r="G105" s="28">
        <v>823229</v>
      </c>
      <c r="H105" s="28">
        <v>0</v>
      </c>
      <c r="I105" s="28">
        <f t="shared" si="1"/>
        <v>-1081593.3399999999</v>
      </c>
    </row>
    <row r="106" spans="1:10" x14ac:dyDescent="0.3">
      <c r="A106" s="16" t="s">
        <v>780</v>
      </c>
      <c r="B106" s="16" t="s">
        <v>781</v>
      </c>
      <c r="C106" s="25">
        <v>46022</v>
      </c>
      <c r="D106" s="16" t="s">
        <v>305</v>
      </c>
      <c r="E106" s="16" t="s">
        <v>339</v>
      </c>
      <c r="F106" s="16" t="s">
        <v>808</v>
      </c>
      <c r="G106" s="28">
        <v>281453</v>
      </c>
      <c r="H106" s="28">
        <v>0</v>
      </c>
      <c r="I106" s="28">
        <f t="shared" si="1"/>
        <v>-800140.33999999985</v>
      </c>
      <c r="J106" s="32" t="s">
        <v>890</v>
      </c>
    </row>
    <row r="107" spans="1:10" x14ac:dyDescent="0.3">
      <c r="G107" s="38">
        <f>SUM(G2:G106)</f>
        <v>9146146.4900000002</v>
      </c>
      <c r="H107" s="38">
        <f>SUM(H2:H106)</f>
        <v>9946286.8300000001</v>
      </c>
      <c r="I107" s="38">
        <f>G107-H107</f>
        <v>-800140.33999999985</v>
      </c>
    </row>
    <row r="113" spans="10:11" x14ac:dyDescent="0.3">
      <c r="J113" s="34">
        <f>800140+'14'!K58</f>
        <v>-185.43279999995138</v>
      </c>
      <c r="K113" t="s">
        <v>891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310E-1332-44E0-8AE8-AA1E78FAFE8C}">
  <sheetPr>
    <tabColor rgb="FFFFC000"/>
  </sheetPr>
  <dimension ref="A1:I28"/>
  <sheetViews>
    <sheetView topLeftCell="A18" workbookViewId="0">
      <pane ySplit="1" topLeftCell="A19" activePane="bottomLeft" state="frozen"/>
      <selection activeCell="A18" sqref="A18"/>
      <selection pane="bottomLeft" activeCell="A28" sqref="A28:I28"/>
    </sheetView>
  </sheetViews>
  <sheetFormatPr baseColWidth="10" defaultRowHeight="14" x14ac:dyDescent="0.3"/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66</v>
      </c>
      <c r="B2" s="1">
        <v>45834</v>
      </c>
      <c r="C2" s="2">
        <v>2915</v>
      </c>
      <c r="D2" t="s">
        <v>68</v>
      </c>
      <c r="E2" t="s">
        <v>67</v>
      </c>
      <c r="H2" s="2">
        <v>39636</v>
      </c>
      <c r="I2" s="2">
        <v>-1649114</v>
      </c>
    </row>
    <row r="3" spans="1:9" hidden="1" x14ac:dyDescent="0.3"/>
    <row r="4" spans="1:9" hidden="1" x14ac:dyDescent="0.3"/>
    <row r="5" spans="1:9" hidden="1" x14ac:dyDescent="0.3"/>
    <row r="6" spans="1:9" hidden="1" x14ac:dyDescent="0.3"/>
    <row r="7" spans="1:9" hidden="1" x14ac:dyDescent="0.3"/>
    <row r="8" spans="1:9" hidden="1" x14ac:dyDescent="0.3"/>
    <row r="9" spans="1:9" hidden="1" x14ac:dyDescent="0.3">
      <c r="C9" s="9" t="s">
        <v>130</v>
      </c>
      <c r="E9" s="10">
        <v>44748</v>
      </c>
    </row>
    <row r="10" spans="1:9" hidden="1" x14ac:dyDescent="0.3"/>
    <row r="11" spans="1:9" hidden="1" x14ac:dyDescent="0.3">
      <c r="B11" s="11" t="s">
        <v>2</v>
      </c>
      <c r="C11" s="11" t="s">
        <v>3</v>
      </c>
      <c r="D11" s="11"/>
      <c r="E11" s="11" t="s">
        <v>4</v>
      </c>
      <c r="G11" s="11" t="s">
        <v>6</v>
      </c>
      <c r="H11" s="11" t="s">
        <v>7</v>
      </c>
      <c r="I11" s="11" t="s">
        <v>8</v>
      </c>
    </row>
    <row r="12" spans="1:9" hidden="1" x14ac:dyDescent="0.3">
      <c r="B12" s="1">
        <v>45813</v>
      </c>
      <c r="C12" s="2">
        <v>2812</v>
      </c>
      <c r="D12" t="s">
        <v>143</v>
      </c>
      <c r="E12" t="s">
        <v>67</v>
      </c>
      <c r="G12" s="6">
        <v>19500</v>
      </c>
      <c r="I12" s="2">
        <v>-802045</v>
      </c>
    </row>
    <row r="13" spans="1:9" hidden="1" x14ac:dyDescent="0.3">
      <c r="B13" s="1">
        <v>45834</v>
      </c>
      <c r="C13" s="2">
        <v>2817</v>
      </c>
      <c r="D13" t="s">
        <v>151</v>
      </c>
      <c r="E13" t="s">
        <v>67</v>
      </c>
      <c r="G13" s="6">
        <v>9000</v>
      </c>
      <c r="I13" s="2">
        <v>1415242</v>
      </c>
    </row>
    <row r="14" spans="1:9" hidden="1" x14ac:dyDescent="0.3">
      <c r="B14" s="1">
        <v>45834</v>
      </c>
      <c r="C14" s="2">
        <v>2915</v>
      </c>
      <c r="D14" t="s">
        <v>68</v>
      </c>
      <c r="E14" t="s">
        <v>67</v>
      </c>
      <c r="H14" s="2">
        <v>39636</v>
      </c>
      <c r="I14" s="2">
        <v>-1572388</v>
      </c>
    </row>
    <row r="15" spans="1:9" hidden="1" x14ac:dyDescent="0.3">
      <c r="B15" s="1">
        <v>45869</v>
      </c>
      <c r="C15" s="2">
        <v>3462</v>
      </c>
      <c r="D15" t="s">
        <v>167</v>
      </c>
      <c r="E15" t="s">
        <v>67</v>
      </c>
      <c r="H15" s="6">
        <v>9000</v>
      </c>
      <c r="I15" s="2">
        <v>-27232422</v>
      </c>
    </row>
    <row r="16" spans="1:9" hidden="1" x14ac:dyDescent="0.3">
      <c r="B16" s="1">
        <v>45869</v>
      </c>
      <c r="C16" s="2">
        <v>3462</v>
      </c>
      <c r="D16" t="s">
        <v>167</v>
      </c>
      <c r="E16" t="s">
        <v>67</v>
      </c>
      <c r="H16" s="6">
        <v>19500</v>
      </c>
      <c r="I16" s="2">
        <v>-27251922</v>
      </c>
    </row>
    <row r="17" spans="1:9" hidden="1" x14ac:dyDescent="0.3"/>
    <row r="18" spans="1:9" x14ac:dyDescent="0.3">
      <c r="B18" s="14" t="s">
        <v>2</v>
      </c>
      <c r="C18" s="14" t="s">
        <v>3</v>
      </c>
      <c r="D18" s="14"/>
      <c r="E18" s="14" t="s">
        <v>4</v>
      </c>
      <c r="F18" s="14" t="s">
        <v>5</v>
      </c>
      <c r="G18" s="14" t="s">
        <v>6</v>
      </c>
      <c r="H18" s="14" t="s">
        <v>7</v>
      </c>
      <c r="I18" s="14" t="s">
        <v>8</v>
      </c>
    </row>
    <row r="19" spans="1:9" x14ac:dyDescent="0.3">
      <c r="B19" s="1">
        <v>45813</v>
      </c>
      <c r="C19" s="2">
        <v>2812</v>
      </c>
      <c r="D19" t="s">
        <v>143</v>
      </c>
      <c r="E19" t="s">
        <v>67</v>
      </c>
      <c r="G19" s="2">
        <v>19500</v>
      </c>
      <c r="I19" s="2">
        <f>+G19</f>
        <v>19500</v>
      </c>
    </row>
    <row r="20" spans="1:9" x14ac:dyDescent="0.3">
      <c r="B20" s="1">
        <v>45834</v>
      </c>
      <c r="C20" s="2">
        <v>2817</v>
      </c>
      <c r="D20" t="s">
        <v>151</v>
      </c>
      <c r="E20" t="s">
        <v>67</v>
      </c>
      <c r="G20" s="2">
        <v>9000</v>
      </c>
      <c r="I20" s="2">
        <f>I19+G20-H20</f>
        <v>28500</v>
      </c>
    </row>
    <row r="21" spans="1:9" x14ac:dyDescent="0.3">
      <c r="B21" s="1">
        <v>45834</v>
      </c>
      <c r="C21" s="2">
        <v>2915</v>
      </c>
      <c r="D21" t="s">
        <v>68</v>
      </c>
      <c r="E21" t="s">
        <v>67</v>
      </c>
      <c r="H21" s="2">
        <v>39636</v>
      </c>
      <c r="I21" s="2">
        <f t="shared" ref="I21:I24" si="0">I20+G21-H21</f>
        <v>-11136</v>
      </c>
    </row>
    <row r="22" spans="1:9" x14ac:dyDescent="0.3">
      <c r="B22" s="1">
        <v>45869</v>
      </c>
      <c r="C22" s="2">
        <v>3462</v>
      </c>
      <c r="D22" t="s">
        <v>167</v>
      </c>
      <c r="E22" t="s">
        <v>67</v>
      </c>
      <c r="H22" s="2">
        <v>9000</v>
      </c>
      <c r="I22" s="2">
        <f t="shared" si="0"/>
        <v>-20136</v>
      </c>
    </row>
    <row r="23" spans="1:9" x14ac:dyDescent="0.3">
      <c r="B23" s="1">
        <v>45869</v>
      </c>
      <c r="C23" s="2">
        <v>3462</v>
      </c>
      <c r="D23" t="s">
        <v>167</v>
      </c>
      <c r="E23" t="s">
        <v>67</v>
      </c>
      <c r="H23" s="2">
        <v>19500</v>
      </c>
      <c r="I23" s="2">
        <f t="shared" si="0"/>
        <v>-39636</v>
      </c>
    </row>
    <row r="24" spans="1:9" x14ac:dyDescent="0.3">
      <c r="B24" s="1">
        <v>45869</v>
      </c>
      <c r="C24" s="2">
        <v>3574</v>
      </c>
      <c r="D24" t="s">
        <v>194</v>
      </c>
      <c r="E24" t="s">
        <v>67</v>
      </c>
      <c r="H24" s="2">
        <v>5112</v>
      </c>
      <c r="I24" s="2">
        <f t="shared" si="0"/>
        <v>-44748</v>
      </c>
    </row>
    <row r="25" spans="1:9" x14ac:dyDescent="0.3">
      <c r="B25" s="1">
        <v>45891</v>
      </c>
      <c r="C25" s="2">
        <v>3265</v>
      </c>
      <c r="D25" t="s">
        <v>210</v>
      </c>
      <c r="E25" t="s">
        <v>67</v>
      </c>
      <c r="G25" s="2">
        <v>44748</v>
      </c>
      <c r="I25" s="2">
        <f>I24+G25-H25</f>
        <v>0</v>
      </c>
    </row>
    <row r="26" spans="1:9" x14ac:dyDescent="0.3">
      <c r="B26" s="1">
        <v>45896</v>
      </c>
      <c r="C26" s="2">
        <v>3507</v>
      </c>
      <c r="D26" t="s">
        <v>68</v>
      </c>
      <c r="E26" t="s">
        <v>67</v>
      </c>
      <c r="H26" s="2">
        <v>4267</v>
      </c>
      <c r="I26" s="2">
        <f t="shared" ref="I26:I28" si="1">I25+G26-H26</f>
        <v>-4267</v>
      </c>
    </row>
    <row r="27" spans="1:9" x14ac:dyDescent="0.3">
      <c r="B27" s="1">
        <v>45911</v>
      </c>
      <c r="C27" s="2">
        <v>3532</v>
      </c>
      <c r="D27" t="s">
        <v>210</v>
      </c>
      <c r="E27" t="s">
        <v>67</v>
      </c>
      <c r="G27" s="2">
        <v>4267</v>
      </c>
      <c r="I27" s="2">
        <f t="shared" si="1"/>
        <v>0</v>
      </c>
    </row>
    <row r="28" spans="1:9" x14ac:dyDescent="0.3">
      <c r="A28" t="s">
        <v>286</v>
      </c>
      <c r="B28" s="1">
        <v>46017</v>
      </c>
      <c r="C28" s="2">
        <v>4062</v>
      </c>
      <c r="D28" t="s">
        <v>287</v>
      </c>
      <c r="E28" t="s">
        <v>67</v>
      </c>
      <c r="G28" s="2">
        <v>71962</v>
      </c>
      <c r="I28" s="15">
        <f t="shared" si="1"/>
        <v>71962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3B976-FFE4-413A-810B-87265CE87E29}">
  <dimension ref="A1:L26"/>
  <sheetViews>
    <sheetView workbookViewId="0">
      <selection activeCell="G16" sqref="G16:I16"/>
    </sheetView>
  </sheetViews>
  <sheetFormatPr baseColWidth="10" defaultRowHeight="14" x14ac:dyDescent="0.3"/>
  <cols>
    <col min="7" max="9" width="11.19921875" style="4"/>
  </cols>
  <sheetData>
    <row r="1" spans="1:10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  <c r="I1" s="30"/>
    </row>
    <row r="2" spans="1:10" x14ac:dyDescent="0.3">
      <c r="A2" s="16" t="s">
        <v>809</v>
      </c>
      <c r="B2" s="16" t="s">
        <v>810</v>
      </c>
      <c r="C2" s="25">
        <v>45820</v>
      </c>
      <c r="D2" s="16" t="s">
        <v>305</v>
      </c>
      <c r="E2" s="16" t="s">
        <v>306</v>
      </c>
      <c r="F2" s="16" t="s">
        <v>811</v>
      </c>
      <c r="G2" s="28">
        <v>0</v>
      </c>
      <c r="H2" s="28">
        <v>17710</v>
      </c>
      <c r="I2" s="28">
        <f>+G2-H2</f>
        <v>-17710</v>
      </c>
    </row>
    <row r="3" spans="1:10" x14ac:dyDescent="0.3">
      <c r="A3" s="16" t="s">
        <v>809</v>
      </c>
      <c r="B3" s="16" t="s">
        <v>810</v>
      </c>
      <c r="C3" s="25">
        <v>45820</v>
      </c>
      <c r="D3" s="16" t="s">
        <v>305</v>
      </c>
      <c r="E3" s="16" t="s">
        <v>306</v>
      </c>
      <c r="F3" s="16" t="s">
        <v>812</v>
      </c>
      <c r="G3" s="28">
        <v>0</v>
      </c>
      <c r="H3" s="28">
        <v>9000</v>
      </c>
      <c r="I3" s="28">
        <f>I2+G3-H3</f>
        <v>-26710</v>
      </c>
    </row>
    <row r="4" spans="1:10" x14ac:dyDescent="0.3">
      <c r="A4" s="16" t="s">
        <v>809</v>
      </c>
      <c r="B4" s="16" t="s">
        <v>810</v>
      </c>
      <c r="C4" s="25">
        <v>45821</v>
      </c>
      <c r="D4" s="16" t="s">
        <v>305</v>
      </c>
      <c r="E4" s="16" t="s">
        <v>306</v>
      </c>
      <c r="F4" s="16"/>
      <c r="G4" s="28">
        <v>0</v>
      </c>
      <c r="H4" s="28">
        <v>9000</v>
      </c>
      <c r="I4" s="28">
        <f t="shared" ref="I4:I15" si="0">I3+G4-H4</f>
        <v>-35710</v>
      </c>
    </row>
    <row r="5" spans="1:10" x14ac:dyDescent="0.3">
      <c r="A5" s="16" t="s">
        <v>809</v>
      </c>
      <c r="B5" s="16" t="s">
        <v>810</v>
      </c>
      <c r="C5" s="25">
        <v>45834</v>
      </c>
      <c r="D5" s="16" t="s">
        <v>305</v>
      </c>
      <c r="E5" s="16" t="s">
        <v>311</v>
      </c>
      <c r="F5" s="16"/>
      <c r="G5" s="28">
        <v>0</v>
      </c>
      <c r="H5" s="28">
        <v>3926</v>
      </c>
      <c r="I5" s="28">
        <f t="shared" si="0"/>
        <v>-39636</v>
      </c>
    </row>
    <row r="6" spans="1:10" x14ac:dyDescent="0.3">
      <c r="A6" s="16" t="s">
        <v>809</v>
      </c>
      <c r="B6" s="16" t="s">
        <v>810</v>
      </c>
      <c r="C6" s="25">
        <v>45867</v>
      </c>
      <c r="D6" s="16" t="s">
        <v>305</v>
      </c>
      <c r="E6" s="16" t="s">
        <v>311</v>
      </c>
      <c r="F6" s="16"/>
      <c r="G6" s="28">
        <v>0</v>
      </c>
      <c r="H6" s="28">
        <v>3919</v>
      </c>
      <c r="I6" s="28">
        <f t="shared" si="0"/>
        <v>-43555</v>
      </c>
    </row>
    <row r="7" spans="1:10" x14ac:dyDescent="0.3">
      <c r="A7" s="16" t="s">
        <v>809</v>
      </c>
      <c r="B7" s="16" t="s">
        <v>810</v>
      </c>
      <c r="C7" s="25">
        <v>45867</v>
      </c>
      <c r="D7" s="16" t="s">
        <v>305</v>
      </c>
      <c r="E7" s="16" t="s">
        <v>311</v>
      </c>
      <c r="F7" s="16"/>
      <c r="G7" s="28">
        <v>0</v>
      </c>
      <c r="H7" s="28">
        <v>26</v>
      </c>
      <c r="I7" s="28">
        <f t="shared" si="0"/>
        <v>-43581</v>
      </c>
    </row>
    <row r="8" spans="1:10" x14ac:dyDescent="0.3">
      <c r="A8" s="16" t="s">
        <v>809</v>
      </c>
      <c r="B8" s="16" t="s">
        <v>810</v>
      </c>
      <c r="C8" s="25">
        <v>45867</v>
      </c>
      <c r="D8" s="16" t="s">
        <v>305</v>
      </c>
      <c r="E8" s="16" t="s">
        <v>311</v>
      </c>
      <c r="F8" s="16"/>
      <c r="G8" s="28">
        <v>0</v>
      </c>
      <c r="H8" s="28">
        <v>1020</v>
      </c>
      <c r="I8" s="28">
        <f t="shared" si="0"/>
        <v>-44601</v>
      </c>
    </row>
    <row r="9" spans="1:10" x14ac:dyDescent="0.3">
      <c r="A9" s="16" t="s">
        <v>809</v>
      </c>
      <c r="B9" s="16" t="s">
        <v>810</v>
      </c>
      <c r="C9" s="25">
        <v>45867</v>
      </c>
      <c r="D9" s="16" t="s">
        <v>305</v>
      </c>
      <c r="E9" s="16" t="s">
        <v>311</v>
      </c>
      <c r="F9" s="16"/>
      <c r="G9" s="28">
        <v>0</v>
      </c>
      <c r="H9" s="28">
        <v>147</v>
      </c>
      <c r="I9" s="28">
        <f t="shared" si="0"/>
        <v>-44748</v>
      </c>
    </row>
    <row r="10" spans="1:10" x14ac:dyDescent="0.3">
      <c r="A10" s="16" t="s">
        <v>809</v>
      </c>
      <c r="B10" s="16" t="s">
        <v>810</v>
      </c>
      <c r="C10" s="25">
        <v>45891</v>
      </c>
      <c r="D10" s="16" t="s">
        <v>308</v>
      </c>
      <c r="E10" s="16" t="s">
        <v>813</v>
      </c>
      <c r="F10" s="16" t="s">
        <v>814</v>
      </c>
      <c r="G10" s="28">
        <v>44748</v>
      </c>
      <c r="H10" s="28">
        <v>0</v>
      </c>
      <c r="I10" s="28">
        <f t="shared" si="0"/>
        <v>0</v>
      </c>
    </row>
    <row r="11" spans="1:10" x14ac:dyDescent="0.3">
      <c r="A11" s="16" t="s">
        <v>809</v>
      </c>
      <c r="B11" s="16" t="s">
        <v>810</v>
      </c>
      <c r="C11" s="25">
        <v>45896</v>
      </c>
      <c r="D11" s="16" t="s">
        <v>305</v>
      </c>
      <c r="E11" s="16" t="s">
        <v>311</v>
      </c>
      <c r="F11" s="16"/>
      <c r="G11" s="28">
        <v>0</v>
      </c>
      <c r="H11" s="28">
        <v>3934</v>
      </c>
      <c r="I11" s="28">
        <f t="shared" si="0"/>
        <v>-3934</v>
      </c>
    </row>
    <row r="12" spans="1:10" x14ac:dyDescent="0.3">
      <c r="A12" s="16" t="s">
        <v>809</v>
      </c>
      <c r="B12" s="16" t="s">
        <v>810</v>
      </c>
      <c r="C12" s="25">
        <v>45896</v>
      </c>
      <c r="D12" s="16" t="s">
        <v>305</v>
      </c>
      <c r="E12" s="16" t="s">
        <v>311</v>
      </c>
      <c r="F12" s="16"/>
      <c r="G12" s="28">
        <v>0</v>
      </c>
      <c r="H12" s="28">
        <v>29</v>
      </c>
      <c r="I12" s="28">
        <f t="shared" si="0"/>
        <v>-3963</v>
      </c>
    </row>
    <row r="13" spans="1:10" x14ac:dyDescent="0.3">
      <c r="A13" s="16" t="s">
        <v>809</v>
      </c>
      <c r="B13" s="16" t="s">
        <v>810</v>
      </c>
      <c r="C13" s="25">
        <v>45896</v>
      </c>
      <c r="D13" s="16" t="s">
        <v>305</v>
      </c>
      <c r="E13" s="16" t="s">
        <v>311</v>
      </c>
      <c r="F13" s="16"/>
      <c r="G13" s="28">
        <v>0</v>
      </c>
      <c r="H13" s="28">
        <v>232</v>
      </c>
      <c r="I13" s="28">
        <f t="shared" si="0"/>
        <v>-4195</v>
      </c>
    </row>
    <row r="14" spans="1:10" x14ac:dyDescent="0.3">
      <c r="A14" s="16" t="s">
        <v>809</v>
      </c>
      <c r="B14" s="16" t="s">
        <v>810</v>
      </c>
      <c r="C14" s="25">
        <v>45896</v>
      </c>
      <c r="D14" s="16" t="s">
        <v>305</v>
      </c>
      <c r="E14" s="16" t="s">
        <v>311</v>
      </c>
      <c r="F14" s="16"/>
      <c r="G14" s="28">
        <v>0</v>
      </c>
      <c r="H14" s="28">
        <v>72</v>
      </c>
      <c r="I14" s="28">
        <f t="shared" si="0"/>
        <v>-4267</v>
      </c>
    </row>
    <row r="15" spans="1:10" x14ac:dyDescent="0.3">
      <c r="A15" s="16" t="s">
        <v>809</v>
      </c>
      <c r="B15" s="16" t="s">
        <v>810</v>
      </c>
      <c r="C15" s="25">
        <v>45911</v>
      </c>
      <c r="D15" s="16" t="s">
        <v>308</v>
      </c>
      <c r="E15" s="16" t="s">
        <v>813</v>
      </c>
      <c r="F15" s="16" t="s">
        <v>815</v>
      </c>
      <c r="G15" s="28">
        <v>4267</v>
      </c>
      <c r="H15" s="28">
        <v>0</v>
      </c>
      <c r="I15" s="28">
        <f t="shared" si="0"/>
        <v>0</v>
      </c>
      <c r="J15" s="32" t="s">
        <v>892</v>
      </c>
    </row>
    <row r="16" spans="1:10" x14ac:dyDescent="0.3">
      <c r="G16" s="38">
        <f>SUM(G2:G15)</f>
        <v>49015</v>
      </c>
      <c r="H16" s="38">
        <f>SUM(H2:H15)</f>
        <v>49015</v>
      </c>
      <c r="I16" s="38">
        <f>G16-H16</f>
        <v>0</v>
      </c>
    </row>
    <row r="26" spans="10:12" x14ac:dyDescent="0.3">
      <c r="J26" s="33">
        <f>'15'!G28</f>
        <v>71962</v>
      </c>
      <c r="K26" s="32" t="s">
        <v>893</v>
      </c>
      <c r="L26" t="s">
        <v>891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925E-A8EA-44C4-AC31-7032F619BB5F}">
  <sheetPr>
    <tabColor rgb="FF002060"/>
  </sheetPr>
  <dimension ref="A1:N68"/>
  <sheetViews>
    <sheetView topLeftCell="A39" zoomScale="90" zoomScaleNormal="90" workbookViewId="0">
      <pane ySplit="1" topLeftCell="A53" activePane="bottomLeft" state="frozen"/>
      <selection activeCell="A39" sqref="A39"/>
      <selection pane="bottomLeft" activeCell="L78" sqref="L78"/>
    </sheetView>
  </sheetViews>
  <sheetFormatPr baseColWidth="10" defaultRowHeight="14" x14ac:dyDescent="0.3"/>
  <cols>
    <col min="4" max="4" width="27.69921875" customWidth="1"/>
  </cols>
  <sheetData>
    <row r="1" spans="1:9" hidden="1" x14ac:dyDescent="0.3">
      <c r="A1" t="s">
        <v>1</v>
      </c>
      <c r="B1" t="s">
        <v>2</v>
      </c>
      <c r="C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12</v>
      </c>
      <c r="B2" s="1">
        <v>45772</v>
      </c>
      <c r="C2" s="2">
        <v>2554</v>
      </c>
      <c r="D2" t="s">
        <v>14</v>
      </c>
      <c r="E2" t="s">
        <v>13</v>
      </c>
      <c r="H2" s="2">
        <v>494703</v>
      </c>
      <c r="I2" s="2">
        <v>-3565146</v>
      </c>
    </row>
    <row r="3" spans="1:9" hidden="1" x14ac:dyDescent="0.3">
      <c r="A3" t="s">
        <v>37</v>
      </c>
      <c r="B3" s="1">
        <v>45792</v>
      </c>
      <c r="C3" s="2">
        <v>2749</v>
      </c>
      <c r="D3" t="s">
        <v>38</v>
      </c>
      <c r="E3" t="s">
        <v>13</v>
      </c>
      <c r="G3" s="2">
        <v>1901018</v>
      </c>
      <c r="I3" s="2">
        <v>1356555</v>
      </c>
    </row>
    <row r="4" spans="1:9" hidden="1" x14ac:dyDescent="0.3">
      <c r="A4" t="s">
        <v>45</v>
      </c>
      <c r="B4" s="1">
        <v>45805</v>
      </c>
      <c r="C4" s="2">
        <v>2910</v>
      </c>
      <c r="D4" t="s">
        <v>46</v>
      </c>
      <c r="E4" t="s">
        <v>13</v>
      </c>
      <c r="H4" s="2">
        <v>79021</v>
      </c>
      <c r="I4" s="2">
        <v>-337330</v>
      </c>
    </row>
    <row r="5" spans="1:9" hidden="1" x14ac:dyDescent="0.3">
      <c r="A5" t="s">
        <v>59</v>
      </c>
      <c r="B5" s="1">
        <v>45820</v>
      </c>
      <c r="C5" s="2">
        <v>2861</v>
      </c>
      <c r="D5" t="s">
        <v>38</v>
      </c>
      <c r="E5" t="s">
        <v>13</v>
      </c>
      <c r="G5" s="2">
        <v>79021</v>
      </c>
      <c r="I5" s="2">
        <v>-103303</v>
      </c>
    </row>
    <row r="6" spans="1:9" hidden="1" x14ac:dyDescent="0.3">
      <c r="A6" t="s">
        <v>71</v>
      </c>
      <c r="B6" s="1">
        <v>45834</v>
      </c>
      <c r="C6" s="2">
        <v>2917</v>
      </c>
      <c r="D6" t="s">
        <v>72</v>
      </c>
      <c r="E6" t="s">
        <v>13</v>
      </c>
      <c r="H6" s="2">
        <v>87617</v>
      </c>
      <c r="I6" s="2">
        <v>-3757191</v>
      </c>
    </row>
    <row r="7" spans="1:9" hidden="1" x14ac:dyDescent="0.3">
      <c r="A7" t="s">
        <v>78</v>
      </c>
      <c r="B7" s="1">
        <v>45848</v>
      </c>
      <c r="C7" s="2">
        <v>3052</v>
      </c>
      <c r="D7" t="s">
        <v>38</v>
      </c>
      <c r="E7" t="s">
        <v>13</v>
      </c>
      <c r="G7" s="2">
        <v>87617</v>
      </c>
      <c r="I7" s="2">
        <v>-614411</v>
      </c>
    </row>
    <row r="8" spans="1:9" hidden="1" x14ac:dyDescent="0.3">
      <c r="A8" t="s">
        <v>97</v>
      </c>
      <c r="B8" s="1">
        <v>45869</v>
      </c>
      <c r="C8" s="2">
        <v>3287</v>
      </c>
      <c r="D8" t="s">
        <v>98</v>
      </c>
      <c r="E8" t="s">
        <v>13</v>
      </c>
      <c r="H8" s="2">
        <v>3652188</v>
      </c>
      <c r="I8" s="2">
        <v>-17473122</v>
      </c>
    </row>
    <row r="9" spans="1:9" hidden="1" x14ac:dyDescent="0.3">
      <c r="A9" t="s">
        <v>105</v>
      </c>
      <c r="B9" s="1">
        <v>45869</v>
      </c>
      <c r="C9" s="2">
        <v>3302</v>
      </c>
      <c r="D9" t="s">
        <v>106</v>
      </c>
      <c r="E9" t="s">
        <v>13</v>
      </c>
      <c r="H9" s="2">
        <v>715411</v>
      </c>
      <c r="I9" s="2">
        <v>-20338430</v>
      </c>
    </row>
    <row r="10" spans="1:9" hidden="1" x14ac:dyDescent="0.3">
      <c r="A10" t="s">
        <v>115</v>
      </c>
      <c r="B10" s="1">
        <v>45869</v>
      </c>
      <c r="C10" s="2">
        <v>3307</v>
      </c>
      <c r="D10" t="s">
        <v>116</v>
      </c>
      <c r="E10" t="s">
        <v>13</v>
      </c>
      <c r="H10" s="2">
        <v>2623654</v>
      </c>
      <c r="I10" s="2">
        <v>-23556473</v>
      </c>
    </row>
    <row r="11" spans="1:9" hidden="1" x14ac:dyDescent="0.3">
      <c r="A11" t="s">
        <v>117</v>
      </c>
      <c r="B11" s="1">
        <v>45869</v>
      </c>
      <c r="C11" s="2">
        <v>3461</v>
      </c>
      <c r="D11" t="s">
        <v>118</v>
      </c>
      <c r="E11" t="s">
        <v>13</v>
      </c>
      <c r="H11" s="2">
        <v>22780</v>
      </c>
      <c r="I11" s="2">
        <v>-23579253</v>
      </c>
    </row>
    <row r="12" spans="1:9" hidden="1" x14ac:dyDescent="0.3">
      <c r="A12" t="s">
        <v>12</v>
      </c>
      <c r="B12" s="1">
        <v>45772</v>
      </c>
      <c r="C12" s="2">
        <v>2554</v>
      </c>
      <c r="D12" t="s">
        <v>14</v>
      </c>
      <c r="E12" t="s">
        <v>13</v>
      </c>
      <c r="G12" s="3">
        <v>1499.57</v>
      </c>
      <c r="I12" s="3">
        <v>1499.57</v>
      </c>
    </row>
    <row r="13" spans="1:9" hidden="1" x14ac:dyDescent="0.3">
      <c r="A13" t="s">
        <v>12</v>
      </c>
      <c r="B13" s="1">
        <v>45772</v>
      </c>
      <c r="C13" s="2">
        <v>2554</v>
      </c>
      <c r="D13" t="s">
        <v>14</v>
      </c>
      <c r="E13" t="s">
        <v>13</v>
      </c>
      <c r="H13" s="3">
        <v>1499.57</v>
      </c>
      <c r="I13">
        <v>0</v>
      </c>
    </row>
    <row r="14" spans="1:9" hidden="1" x14ac:dyDescent="0.3">
      <c r="A14" t="s">
        <v>45</v>
      </c>
      <c r="B14" s="1">
        <v>45805</v>
      </c>
      <c r="C14" s="2">
        <v>2910</v>
      </c>
      <c r="D14" t="s">
        <v>46</v>
      </c>
      <c r="E14" t="s">
        <v>13</v>
      </c>
      <c r="G14">
        <v>46.41</v>
      </c>
      <c r="H14">
        <v>46.41</v>
      </c>
      <c r="I14" s="3">
        <v>-2300.5500000000002</v>
      </c>
    </row>
    <row r="15" spans="1:9" hidden="1" x14ac:dyDescent="0.3">
      <c r="A15" t="s">
        <v>71</v>
      </c>
      <c r="B15" s="1">
        <v>45834</v>
      </c>
      <c r="C15" s="2">
        <v>2917</v>
      </c>
      <c r="D15" t="s">
        <v>72</v>
      </c>
      <c r="E15" t="s">
        <v>13</v>
      </c>
      <c r="G15">
        <v>4.4800000000000004</v>
      </c>
      <c r="H15">
        <v>4.4800000000000004</v>
      </c>
      <c r="I15" s="3">
        <v>-4017.71</v>
      </c>
    </row>
    <row r="16" spans="1:9" hidden="1" x14ac:dyDescent="0.3"/>
    <row r="17" spans="2:10" hidden="1" x14ac:dyDescent="0.3"/>
    <row r="18" spans="2:10" hidden="1" x14ac:dyDescent="0.3">
      <c r="D18" s="9" t="s">
        <v>131</v>
      </c>
      <c r="F18" s="10">
        <v>8406</v>
      </c>
    </row>
    <row r="19" spans="2:10" hidden="1" x14ac:dyDescent="0.3"/>
    <row r="20" spans="2:10" hidden="1" x14ac:dyDescent="0.3">
      <c r="B20" s="11" t="s">
        <v>2</v>
      </c>
      <c r="C20" s="11" t="s">
        <v>3</v>
      </c>
      <c r="D20" s="11"/>
      <c r="E20" s="11" t="s">
        <v>4</v>
      </c>
      <c r="G20" s="11" t="s">
        <v>6</v>
      </c>
      <c r="H20" s="11" t="s">
        <v>7</v>
      </c>
      <c r="I20" s="11" t="s">
        <v>8</v>
      </c>
    </row>
    <row r="21" spans="2:10" hidden="1" x14ac:dyDescent="0.3">
      <c r="B21" s="1">
        <v>45750</v>
      </c>
      <c r="C21" s="2">
        <v>2493</v>
      </c>
      <c r="D21" t="s">
        <v>135</v>
      </c>
      <c r="E21" t="s">
        <v>13</v>
      </c>
      <c r="G21" s="6">
        <v>121678</v>
      </c>
      <c r="I21" s="2">
        <v>121678</v>
      </c>
    </row>
    <row r="22" spans="2:10" hidden="1" x14ac:dyDescent="0.3">
      <c r="B22" s="1">
        <v>45772</v>
      </c>
      <c r="C22" s="2">
        <v>2554</v>
      </c>
      <c r="D22" t="s">
        <v>14</v>
      </c>
      <c r="E22" t="s">
        <v>13</v>
      </c>
      <c r="H22" s="6">
        <v>1901018</v>
      </c>
      <c r="I22" s="2">
        <v>-3443468</v>
      </c>
    </row>
    <row r="23" spans="2:10" hidden="1" x14ac:dyDescent="0.3">
      <c r="B23" s="1">
        <v>45785</v>
      </c>
      <c r="C23" s="2">
        <v>2721</v>
      </c>
      <c r="D23" t="s">
        <v>137</v>
      </c>
      <c r="E23" t="s">
        <v>13</v>
      </c>
      <c r="G23" s="6">
        <v>22780</v>
      </c>
      <c r="I23" s="2">
        <v>-4454668</v>
      </c>
    </row>
    <row r="24" spans="2:10" hidden="1" x14ac:dyDescent="0.3">
      <c r="B24" s="1">
        <v>45792</v>
      </c>
      <c r="C24" s="2">
        <v>2749</v>
      </c>
      <c r="D24" t="s">
        <v>38</v>
      </c>
      <c r="E24" t="s">
        <v>13</v>
      </c>
      <c r="G24" s="6">
        <v>1901018</v>
      </c>
      <c r="I24" s="2">
        <v>1516349</v>
      </c>
    </row>
    <row r="25" spans="2:10" hidden="1" x14ac:dyDescent="0.3">
      <c r="B25" s="1">
        <v>45805</v>
      </c>
      <c r="C25" s="2">
        <v>2910</v>
      </c>
      <c r="D25" t="s">
        <v>46</v>
      </c>
      <c r="E25" t="s">
        <v>13</v>
      </c>
      <c r="H25" s="6">
        <v>79021</v>
      </c>
      <c r="I25" s="2">
        <v>-416242</v>
      </c>
    </row>
    <row r="26" spans="2:10" hidden="1" x14ac:dyDescent="0.3">
      <c r="B26" s="1">
        <v>45813</v>
      </c>
      <c r="C26" s="2">
        <v>2815</v>
      </c>
      <c r="D26" t="s">
        <v>149</v>
      </c>
      <c r="E26" t="s">
        <v>13</v>
      </c>
      <c r="G26" s="2">
        <v>20000</v>
      </c>
      <c r="I26" s="2">
        <v>-736745</v>
      </c>
    </row>
    <row r="27" spans="2:10" hidden="1" x14ac:dyDescent="0.3">
      <c r="B27" s="1">
        <v>45820</v>
      </c>
      <c r="C27" s="2">
        <v>2861</v>
      </c>
      <c r="D27" t="s">
        <v>38</v>
      </c>
      <c r="E27" t="s">
        <v>13</v>
      </c>
      <c r="G27" s="6">
        <v>79021</v>
      </c>
      <c r="I27" s="2">
        <v>-35577</v>
      </c>
    </row>
    <row r="28" spans="2:10" hidden="1" x14ac:dyDescent="0.3">
      <c r="B28" s="1">
        <v>45834</v>
      </c>
      <c r="C28" s="2">
        <v>2917</v>
      </c>
      <c r="D28" t="s">
        <v>72</v>
      </c>
      <c r="E28" t="s">
        <v>13</v>
      </c>
      <c r="H28" s="6">
        <v>87617</v>
      </c>
      <c r="I28" s="2">
        <v>-3680465</v>
      </c>
    </row>
    <row r="29" spans="2:10" hidden="1" x14ac:dyDescent="0.3">
      <c r="B29" s="1">
        <v>45848</v>
      </c>
      <c r="C29" s="2">
        <v>3052</v>
      </c>
      <c r="D29" t="s">
        <v>38</v>
      </c>
      <c r="E29" t="s">
        <v>13</v>
      </c>
      <c r="G29" s="6">
        <v>87617</v>
      </c>
      <c r="I29" s="2">
        <v>-416955</v>
      </c>
    </row>
    <row r="30" spans="2:10" hidden="1" x14ac:dyDescent="0.3">
      <c r="B30" s="1">
        <v>45869</v>
      </c>
      <c r="C30" s="2">
        <v>3287</v>
      </c>
      <c r="D30" t="s">
        <v>98</v>
      </c>
      <c r="E30" t="s">
        <v>13</v>
      </c>
      <c r="H30" s="13">
        <v>3652188</v>
      </c>
      <c r="I30" s="2">
        <v>-18739659</v>
      </c>
    </row>
    <row r="31" spans="2:10" hidden="1" x14ac:dyDescent="0.3">
      <c r="B31" s="1">
        <v>45869</v>
      </c>
      <c r="C31" s="2">
        <v>3302</v>
      </c>
      <c r="D31" t="s">
        <v>106</v>
      </c>
      <c r="E31" t="s">
        <v>13</v>
      </c>
      <c r="H31" s="13">
        <v>715411</v>
      </c>
      <c r="I31" s="2">
        <v>-21604967</v>
      </c>
      <c r="J31">
        <v>2011</v>
      </c>
    </row>
    <row r="32" spans="2:10" hidden="1" x14ac:dyDescent="0.3">
      <c r="B32" s="1">
        <v>45869</v>
      </c>
      <c r="C32" s="2">
        <v>3307</v>
      </c>
      <c r="D32" t="s">
        <v>116</v>
      </c>
      <c r="E32" t="s">
        <v>13</v>
      </c>
      <c r="H32" s="13">
        <v>2623654</v>
      </c>
      <c r="I32" s="2">
        <v>-24823010</v>
      </c>
    </row>
    <row r="33" spans="2:10" hidden="1" x14ac:dyDescent="0.3">
      <c r="B33" s="1">
        <v>45869</v>
      </c>
      <c r="C33" s="2">
        <v>3453</v>
      </c>
      <c r="D33" t="s">
        <v>135</v>
      </c>
      <c r="E33" t="s">
        <v>13</v>
      </c>
      <c r="H33" s="6">
        <v>121678</v>
      </c>
      <c r="I33" s="2">
        <v>-24957725</v>
      </c>
    </row>
    <row r="34" spans="2:10" hidden="1" x14ac:dyDescent="0.3">
      <c r="B34" s="1">
        <v>45869</v>
      </c>
      <c r="C34" s="2">
        <v>3460</v>
      </c>
      <c r="D34" t="s">
        <v>165</v>
      </c>
      <c r="E34" t="s">
        <v>13</v>
      </c>
      <c r="H34" s="2">
        <v>384120</v>
      </c>
      <c r="I34" s="2">
        <v>-27191245</v>
      </c>
    </row>
    <row r="35" spans="2:10" hidden="1" x14ac:dyDescent="0.3">
      <c r="B35" s="1">
        <v>45869</v>
      </c>
      <c r="C35" s="2">
        <v>3460</v>
      </c>
      <c r="D35" t="s">
        <v>165</v>
      </c>
      <c r="E35" t="s">
        <v>13</v>
      </c>
      <c r="H35" s="2">
        <v>9397</v>
      </c>
      <c r="I35" s="2">
        <v>-27200642</v>
      </c>
      <c r="J35" s="2">
        <f>H35-8406</f>
        <v>991</v>
      </c>
    </row>
    <row r="36" spans="2:10" hidden="1" x14ac:dyDescent="0.3">
      <c r="B36" s="1">
        <v>45869</v>
      </c>
      <c r="C36" s="2">
        <v>3461</v>
      </c>
      <c r="D36" t="s">
        <v>118</v>
      </c>
      <c r="E36" t="s">
        <v>13</v>
      </c>
      <c r="H36" s="6">
        <v>22780</v>
      </c>
      <c r="I36" s="2">
        <v>-27223422</v>
      </c>
    </row>
    <row r="37" spans="2:10" hidden="1" x14ac:dyDescent="0.3"/>
    <row r="38" spans="2:10" hidden="1" x14ac:dyDescent="0.3"/>
    <row r="39" spans="2:10" x14ac:dyDescent="0.3">
      <c r="B39" s="14" t="s">
        <v>2</v>
      </c>
      <c r="C39" s="14" t="s">
        <v>3</v>
      </c>
      <c r="D39" s="14"/>
      <c r="E39" s="14" t="s">
        <v>4</v>
      </c>
      <c r="F39" s="14" t="s">
        <v>5</v>
      </c>
      <c r="G39" s="14" t="s">
        <v>6</v>
      </c>
      <c r="H39" s="14" t="s">
        <v>7</v>
      </c>
      <c r="I39" s="14" t="s">
        <v>8</v>
      </c>
    </row>
    <row r="40" spans="2:10" x14ac:dyDescent="0.3">
      <c r="B40" s="1">
        <v>45693</v>
      </c>
      <c r="C40" s="2">
        <v>2280</v>
      </c>
      <c r="D40" t="s">
        <v>173</v>
      </c>
      <c r="E40" t="s">
        <v>13</v>
      </c>
      <c r="G40" s="2">
        <v>3652188</v>
      </c>
      <c r="I40" s="2">
        <f>+G40</f>
        <v>3652188</v>
      </c>
    </row>
    <row r="41" spans="2:10" x14ac:dyDescent="0.3">
      <c r="B41" s="1">
        <v>45750</v>
      </c>
      <c r="C41" s="2">
        <v>2493</v>
      </c>
      <c r="D41" t="s">
        <v>135</v>
      </c>
      <c r="E41" t="s">
        <v>13</v>
      </c>
      <c r="G41" s="2">
        <v>121678</v>
      </c>
      <c r="I41" s="2">
        <f>I40+G41-H41</f>
        <v>3773866</v>
      </c>
    </row>
    <row r="42" spans="2:10" x14ac:dyDescent="0.3">
      <c r="B42" s="1">
        <v>45772</v>
      </c>
      <c r="C42" s="2">
        <v>2554</v>
      </c>
      <c r="D42" t="s">
        <v>14</v>
      </c>
      <c r="E42" t="s">
        <v>13</v>
      </c>
      <c r="H42" s="2">
        <v>1901018</v>
      </c>
      <c r="I42" s="2">
        <f t="shared" ref="I42:I57" si="0">I41+G42-H42</f>
        <v>1872848</v>
      </c>
    </row>
    <row r="43" spans="2:10" x14ac:dyDescent="0.3">
      <c r="B43" s="1">
        <v>45785</v>
      </c>
      <c r="C43" s="2">
        <v>2721</v>
      </c>
      <c r="D43" t="s">
        <v>137</v>
      </c>
      <c r="E43" t="s">
        <v>13</v>
      </c>
      <c r="G43" s="2">
        <v>22780</v>
      </c>
      <c r="I43" s="2">
        <f t="shared" si="0"/>
        <v>1895628</v>
      </c>
    </row>
    <row r="44" spans="2:10" x14ac:dyDescent="0.3">
      <c r="B44" s="1">
        <v>45792</v>
      </c>
      <c r="C44" s="2">
        <v>2749</v>
      </c>
      <c r="D44" t="s">
        <v>38</v>
      </c>
      <c r="E44" t="s">
        <v>13</v>
      </c>
      <c r="G44" s="2">
        <v>1901018</v>
      </c>
      <c r="I44" s="2">
        <f t="shared" si="0"/>
        <v>3796646</v>
      </c>
    </row>
    <row r="45" spans="2:10" x14ac:dyDescent="0.3">
      <c r="B45" s="1">
        <v>45805</v>
      </c>
      <c r="C45" s="2">
        <v>2910</v>
      </c>
      <c r="D45" t="s">
        <v>46</v>
      </c>
      <c r="E45" t="s">
        <v>13</v>
      </c>
      <c r="H45" s="2">
        <v>79021</v>
      </c>
      <c r="I45" s="2">
        <f t="shared" si="0"/>
        <v>3717625</v>
      </c>
    </row>
    <row r="46" spans="2:10" x14ac:dyDescent="0.3">
      <c r="B46" s="1">
        <v>45813</v>
      </c>
      <c r="C46" s="2">
        <v>2815</v>
      </c>
      <c r="D46" t="s">
        <v>149</v>
      </c>
      <c r="E46" t="s">
        <v>13</v>
      </c>
      <c r="G46" s="2">
        <v>20000</v>
      </c>
      <c r="I46" s="2">
        <f t="shared" si="0"/>
        <v>3737625</v>
      </c>
    </row>
    <row r="47" spans="2:10" x14ac:dyDescent="0.3">
      <c r="B47" s="1">
        <v>45820</v>
      </c>
      <c r="C47" s="2">
        <v>2861</v>
      </c>
      <c r="D47" t="s">
        <v>38</v>
      </c>
      <c r="E47" t="s">
        <v>13</v>
      </c>
      <c r="G47" s="2">
        <v>79021</v>
      </c>
      <c r="I47" s="2">
        <f t="shared" si="0"/>
        <v>3816646</v>
      </c>
    </row>
    <row r="48" spans="2:10" x14ac:dyDescent="0.3">
      <c r="B48" s="1">
        <v>45834</v>
      </c>
      <c r="C48" s="2">
        <v>2917</v>
      </c>
      <c r="D48" t="s">
        <v>72</v>
      </c>
      <c r="E48" t="s">
        <v>13</v>
      </c>
      <c r="H48" s="2">
        <v>87617</v>
      </c>
      <c r="I48" s="2">
        <f t="shared" si="0"/>
        <v>3729029</v>
      </c>
    </row>
    <row r="49" spans="1:9" x14ac:dyDescent="0.3">
      <c r="B49" s="1">
        <v>45848</v>
      </c>
      <c r="C49" s="2">
        <v>3052</v>
      </c>
      <c r="D49" t="s">
        <v>38</v>
      </c>
      <c r="E49" t="s">
        <v>13</v>
      </c>
      <c r="G49" s="2">
        <v>87617</v>
      </c>
      <c r="I49" s="2">
        <f t="shared" si="0"/>
        <v>3816646</v>
      </c>
    </row>
    <row r="50" spans="1:9" x14ac:dyDescent="0.3">
      <c r="B50" s="1">
        <v>45869</v>
      </c>
      <c r="C50" s="2">
        <v>3287</v>
      </c>
      <c r="D50" t="s">
        <v>98</v>
      </c>
      <c r="E50" t="s">
        <v>13</v>
      </c>
      <c r="H50" s="2">
        <v>3652188</v>
      </c>
      <c r="I50" s="2">
        <f t="shared" si="0"/>
        <v>164458</v>
      </c>
    </row>
    <row r="51" spans="1:9" x14ac:dyDescent="0.3">
      <c r="B51" s="1">
        <v>45869</v>
      </c>
      <c r="C51" s="2">
        <v>3302</v>
      </c>
      <c r="D51" t="s">
        <v>106</v>
      </c>
      <c r="E51" t="s">
        <v>13</v>
      </c>
      <c r="H51" s="2">
        <v>715411</v>
      </c>
      <c r="I51" s="2">
        <f t="shared" si="0"/>
        <v>-550953</v>
      </c>
    </row>
    <row r="52" spans="1:9" x14ac:dyDescent="0.3">
      <c r="B52" s="1">
        <v>45869</v>
      </c>
      <c r="C52" s="2">
        <v>3307</v>
      </c>
      <c r="D52" t="s">
        <v>116</v>
      </c>
      <c r="E52" t="s">
        <v>13</v>
      </c>
      <c r="H52" s="2">
        <v>2623654</v>
      </c>
      <c r="I52" s="2">
        <f t="shared" si="0"/>
        <v>-3174607</v>
      </c>
    </row>
    <row r="53" spans="1:9" x14ac:dyDescent="0.3">
      <c r="B53" s="1">
        <v>45869</v>
      </c>
      <c r="C53" s="2">
        <v>3453</v>
      </c>
      <c r="D53" t="s">
        <v>135</v>
      </c>
      <c r="E53" t="s">
        <v>13</v>
      </c>
      <c r="H53" s="2">
        <v>121678</v>
      </c>
      <c r="I53" s="2">
        <f t="shared" si="0"/>
        <v>-3296285</v>
      </c>
    </row>
    <row r="54" spans="1:9" x14ac:dyDescent="0.3">
      <c r="B54" s="1">
        <v>45869</v>
      </c>
      <c r="C54" s="2">
        <v>3460</v>
      </c>
      <c r="D54" t="s">
        <v>165</v>
      </c>
      <c r="E54" t="s">
        <v>13</v>
      </c>
      <c r="H54" s="2">
        <v>384120</v>
      </c>
      <c r="I54" s="2">
        <f t="shared" si="0"/>
        <v>-3680405</v>
      </c>
    </row>
    <row r="55" spans="1:9" x14ac:dyDescent="0.3">
      <c r="B55" s="1">
        <v>45869</v>
      </c>
      <c r="C55" s="2">
        <v>3460</v>
      </c>
      <c r="D55" t="s">
        <v>165</v>
      </c>
      <c r="E55" t="s">
        <v>13</v>
      </c>
      <c r="H55" s="2">
        <v>9397</v>
      </c>
      <c r="I55" s="2">
        <f t="shared" si="0"/>
        <v>-3689802</v>
      </c>
    </row>
    <row r="56" spans="1:9" x14ac:dyDescent="0.3">
      <c r="B56" s="1">
        <v>45869</v>
      </c>
      <c r="C56" s="2">
        <v>3461</v>
      </c>
      <c r="D56" t="s">
        <v>118</v>
      </c>
      <c r="E56" t="s">
        <v>13</v>
      </c>
      <c r="H56" s="2">
        <v>22780</v>
      </c>
      <c r="I56" s="2">
        <f t="shared" si="0"/>
        <v>-3712582</v>
      </c>
    </row>
    <row r="57" spans="1:9" x14ac:dyDescent="0.3">
      <c r="B57" s="1">
        <v>45869</v>
      </c>
      <c r="C57" s="2">
        <v>3574</v>
      </c>
      <c r="D57" t="s">
        <v>194</v>
      </c>
      <c r="E57" t="s">
        <v>13</v>
      </c>
      <c r="G57" s="2">
        <v>1080522</v>
      </c>
      <c r="I57" s="2">
        <f t="shared" si="0"/>
        <v>-2632060</v>
      </c>
    </row>
    <row r="58" spans="1:9" x14ac:dyDescent="0.3">
      <c r="B58" s="1">
        <v>45762</v>
      </c>
      <c r="C58" s="2">
        <v>2512</v>
      </c>
      <c r="D58" t="s">
        <v>192</v>
      </c>
      <c r="E58" t="s">
        <v>13</v>
      </c>
      <c r="G58" s="2">
        <v>2623654</v>
      </c>
      <c r="I58" s="2">
        <f>I57+G58-H58</f>
        <v>-8406</v>
      </c>
    </row>
    <row r="59" spans="1:9" x14ac:dyDescent="0.3">
      <c r="B59" s="1">
        <v>45882</v>
      </c>
      <c r="C59" s="2">
        <v>3257</v>
      </c>
      <c r="D59" t="s">
        <v>200</v>
      </c>
      <c r="E59" t="s">
        <v>13</v>
      </c>
      <c r="G59" s="2">
        <v>8406</v>
      </c>
      <c r="I59" s="2">
        <f>I58+G59-H59</f>
        <v>0</v>
      </c>
    </row>
    <row r="60" spans="1:9" x14ac:dyDescent="0.3">
      <c r="A60" t="s">
        <v>252</v>
      </c>
      <c r="B60" s="1">
        <v>45958</v>
      </c>
      <c r="C60" s="2">
        <v>3803</v>
      </c>
      <c r="D60" t="s">
        <v>13</v>
      </c>
      <c r="H60" s="2">
        <v>46495</v>
      </c>
      <c r="I60" s="2">
        <f>I59+G60-H60</f>
        <v>-46495</v>
      </c>
    </row>
    <row r="61" spans="1:9" x14ac:dyDescent="0.3">
      <c r="A61" t="s">
        <v>263</v>
      </c>
      <c r="B61" s="1">
        <v>45974</v>
      </c>
      <c r="C61" s="2">
        <v>3910</v>
      </c>
      <c r="D61" t="str">
        <f t="shared" ref="D61:D62" si="1">+A61</f>
        <v>adig/1743</v>
      </c>
      <c r="E61" t="s">
        <v>13</v>
      </c>
      <c r="G61" s="2">
        <v>46495</v>
      </c>
      <c r="I61" s="2">
        <f t="shared" ref="I61:I64" si="2">I60+G61-H61</f>
        <v>0</v>
      </c>
    </row>
    <row r="62" spans="1:9" x14ac:dyDescent="0.3">
      <c r="A62" t="s">
        <v>264</v>
      </c>
      <c r="B62" s="1">
        <v>45987</v>
      </c>
      <c r="C62" s="2">
        <v>3955</v>
      </c>
      <c r="D62" t="str">
        <f t="shared" si="1"/>
        <v>adig/1767</v>
      </c>
      <c r="E62" t="s">
        <v>13</v>
      </c>
      <c r="H62" s="2">
        <v>521349</v>
      </c>
      <c r="I62" s="2">
        <f t="shared" si="2"/>
        <v>-521349</v>
      </c>
    </row>
    <row r="63" spans="1:9" x14ac:dyDescent="0.3">
      <c r="A63" t="s">
        <v>288</v>
      </c>
      <c r="B63" s="1">
        <v>46006</v>
      </c>
      <c r="C63" s="2">
        <v>4056</v>
      </c>
      <c r="D63" t="s">
        <v>289</v>
      </c>
      <c r="E63" t="s">
        <v>13</v>
      </c>
      <c r="G63" s="2">
        <v>521349</v>
      </c>
      <c r="I63" s="2">
        <f t="shared" si="2"/>
        <v>0</v>
      </c>
    </row>
    <row r="64" spans="1:9" x14ac:dyDescent="0.3">
      <c r="A64" t="s">
        <v>290</v>
      </c>
      <c r="B64" s="1">
        <v>46017</v>
      </c>
      <c r="C64" s="2">
        <v>4131</v>
      </c>
      <c r="D64" t="s">
        <v>291</v>
      </c>
      <c r="E64" t="s">
        <v>13</v>
      </c>
      <c r="H64" s="2">
        <v>752789</v>
      </c>
      <c r="I64" s="15">
        <f t="shared" si="2"/>
        <v>-752789</v>
      </c>
    </row>
    <row r="65" spans="1:14" x14ac:dyDescent="0.3">
      <c r="B65" s="1"/>
      <c r="C65" s="2"/>
      <c r="G65" s="2"/>
      <c r="I65" s="2"/>
    </row>
    <row r="66" spans="1:14" x14ac:dyDescent="0.3">
      <c r="B66" s="1">
        <v>45958</v>
      </c>
      <c r="C66" s="2">
        <v>3803</v>
      </c>
      <c r="E66" t="s">
        <v>13</v>
      </c>
      <c r="H66">
        <v>111.47</v>
      </c>
      <c r="I66" s="3">
        <f>I59+G66-H66</f>
        <v>-111.47</v>
      </c>
      <c r="J66" s="2"/>
      <c r="M66" s="2">
        <f>+I64+'15'!I28+'14'!I48+'13'!I70+'12'!I47+'11'!I52+'10'!I61+'9'!I64+95990</f>
        <v>-3657252</v>
      </c>
      <c r="N66" t="s">
        <v>294</v>
      </c>
    </row>
    <row r="67" spans="1:14" x14ac:dyDescent="0.3">
      <c r="A67" t="s">
        <v>264</v>
      </c>
      <c r="B67" s="1">
        <v>45987</v>
      </c>
      <c r="C67" s="2">
        <v>3955</v>
      </c>
      <c r="D67" t="str">
        <f t="shared" ref="D67" si="3">+A67</f>
        <v>adig/1767</v>
      </c>
      <c r="E67" t="s">
        <v>13</v>
      </c>
      <c r="G67">
        <v>111.47</v>
      </c>
      <c r="I67" s="3">
        <f>I66+G67</f>
        <v>0</v>
      </c>
      <c r="K67" s="19">
        <f>+J66+I62</f>
        <v>-521349</v>
      </c>
      <c r="L67" s="3">
        <f>+I68+'14'!I58+'13'!I73+'12'!I49+'11'!I59+'9'!I75</f>
        <v>-1153.6799999999998</v>
      </c>
      <c r="M67" s="4">
        <f>L67*907.13</f>
        <v>-1046537.7383999998</v>
      </c>
      <c r="N67" t="s">
        <v>293</v>
      </c>
    </row>
    <row r="68" spans="1:14" x14ac:dyDescent="0.3">
      <c r="A68" t="s">
        <v>290</v>
      </c>
      <c r="B68" s="1">
        <v>46017</v>
      </c>
      <c r="C68" s="2">
        <v>4131</v>
      </c>
      <c r="D68" t="s">
        <v>291</v>
      </c>
      <c r="E68" t="s">
        <v>13</v>
      </c>
      <c r="H68">
        <v>103.08</v>
      </c>
      <c r="I68" s="21">
        <f>I67+G68-H68</f>
        <v>-103.08</v>
      </c>
      <c r="J68" s="2">
        <f>-H68*907.13</f>
        <v>-93506.960399999996</v>
      </c>
      <c r="K68" s="19">
        <f>+J68+I64</f>
        <v>-846295.96039999998</v>
      </c>
      <c r="M68" s="22">
        <f>+K68+'15'!I28+'14'!K58+'13'!K73+'12'!K49+'11'!K59+'10'!I61+'9'!K75</f>
        <v>-4799779.7384000001</v>
      </c>
      <c r="N68" t="s">
        <v>292</v>
      </c>
    </row>
  </sheetData>
  <pageMargins left="0.7" right="0.7" top="0.75" bottom="0.75" header="0.3" footer="0.3"/>
  <headerFooter>
    <oddFooter>&amp;C_x000D_&amp;1#&amp;"Aptos"&amp;10&amp;K000000 Calificación: Publico, apto para su distribución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32F1-3CDF-4F3D-B405-72A0BF391DEB}">
  <dimension ref="A1:P245"/>
  <sheetViews>
    <sheetView topLeftCell="A220" workbookViewId="0">
      <selection activeCell="P238" sqref="P238"/>
    </sheetView>
  </sheetViews>
  <sheetFormatPr baseColWidth="10" defaultRowHeight="14" x14ac:dyDescent="0.3"/>
  <cols>
    <col min="7" max="8" width="11.19921875" style="4"/>
    <col min="9" max="9" width="12" style="4" bestFit="1" customWidth="1"/>
    <col min="12" max="12" width="11.3984375" bestFit="1" customWidth="1"/>
  </cols>
  <sheetData>
    <row r="1" spans="1:9" x14ac:dyDescent="0.3">
      <c r="A1" s="29" t="s">
        <v>295</v>
      </c>
      <c r="B1" s="29" t="s">
        <v>296</v>
      </c>
      <c r="C1" s="29" t="s">
        <v>297</v>
      </c>
      <c r="D1" s="29" t="s">
        <v>298</v>
      </c>
      <c r="E1" s="29" t="s">
        <v>299</v>
      </c>
      <c r="F1" s="29" t="s">
        <v>300</v>
      </c>
      <c r="G1" s="30" t="s">
        <v>301</v>
      </c>
      <c r="H1" s="30" t="s">
        <v>302</v>
      </c>
    </row>
    <row r="2" spans="1:9" x14ac:dyDescent="0.3">
      <c r="A2" s="16" t="s">
        <v>816</v>
      </c>
      <c r="B2" s="16" t="s">
        <v>817</v>
      </c>
      <c r="C2" s="25">
        <v>45665</v>
      </c>
      <c r="D2" s="16" t="s">
        <v>312</v>
      </c>
      <c r="E2" s="16" t="s">
        <v>313</v>
      </c>
      <c r="F2" s="16" t="s">
        <v>818</v>
      </c>
      <c r="G2" s="28">
        <v>0</v>
      </c>
      <c r="H2" s="28">
        <v>1223730</v>
      </c>
      <c r="I2" s="4">
        <f>+G2-H2</f>
        <v>-1223730</v>
      </c>
    </row>
    <row r="3" spans="1:9" x14ac:dyDescent="0.3">
      <c r="A3" s="16" t="s">
        <v>816</v>
      </c>
      <c r="B3" s="16" t="s">
        <v>817</v>
      </c>
      <c r="C3" s="25">
        <v>45665</v>
      </c>
      <c r="D3" s="16" t="s">
        <v>312</v>
      </c>
      <c r="E3" s="16" t="s">
        <v>313</v>
      </c>
      <c r="F3" s="16" t="s">
        <v>819</v>
      </c>
      <c r="G3" s="28">
        <v>0</v>
      </c>
      <c r="H3" s="28">
        <v>2152930</v>
      </c>
      <c r="I3" s="4">
        <f>I2+G3-H3</f>
        <v>-3376660</v>
      </c>
    </row>
    <row r="4" spans="1:9" x14ac:dyDescent="0.3">
      <c r="A4" s="16" t="s">
        <v>816</v>
      </c>
      <c r="B4" s="16" t="s">
        <v>817</v>
      </c>
      <c r="C4" s="25">
        <v>45665</v>
      </c>
      <c r="D4" s="16" t="s">
        <v>312</v>
      </c>
      <c r="E4" s="16" t="s">
        <v>313</v>
      </c>
      <c r="F4" s="16" t="s">
        <v>820</v>
      </c>
      <c r="G4" s="28">
        <v>0</v>
      </c>
      <c r="H4" s="28">
        <v>1346628</v>
      </c>
      <c r="I4" s="4">
        <f t="shared" ref="I4:I67" si="0">I3+G4-H4</f>
        <v>-4723288</v>
      </c>
    </row>
    <row r="5" spans="1:9" x14ac:dyDescent="0.3">
      <c r="A5" s="16" t="s">
        <v>816</v>
      </c>
      <c r="B5" s="16" t="s">
        <v>817</v>
      </c>
      <c r="C5" s="25">
        <v>45666</v>
      </c>
      <c r="D5" s="16" t="s">
        <v>305</v>
      </c>
      <c r="E5" s="16" t="s">
        <v>306</v>
      </c>
      <c r="F5" s="16" t="s">
        <v>821</v>
      </c>
      <c r="G5" s="28">
        <v>0</v>
      </c>
      <c r="H5" s="28">
        <v>127160</v>
      </c>
      <c r="I5" s="4">
        <f t="shared" si="0"/>
        <v>-4850448</v>
      </c>
    </row>
    <row r="6" spans="1:9" x14ac:dyDescent="0.3">
      <c r="A6" s="16" t="s">
        <v>816</v>
      </c>
      <c r="B6" s="16" t="s">
        <v>817</v>
      </c>
      <c r="C6" s="25">
        <v>45666</v>
      </c>
      <c r="D6" s="16" t="s">
        <v>305</v>
      </c>
      <c r="E6" s="16" t="s">
        <v>306</v>
      </c>
      <c r="F6" s="16" t="s">
        <v>822</v>
      </c>
      <c r="G6" s="28">
        <v>0</v>
      </c>
      <c r="H6" s="28">
        <v>13618</v>
      </c>
      <c r="I6" s="4">
        <f t="shared" si="0"/>
        <v>-4864066</v>
      </c>
    </row>
    <row r="7" spans="1:9" x14ac:dyDescent="0.3">
      <c r="A7" s="16" t="s">
        <v>816</v>
      </c>
      <c r="B7" s="16" t="s">
        <v>817</v>
      </c>
      <c r="C7" s="25">
        <v>45666</v>
      </c>
      <c r="D7" s="16" t="s">
        <v>305</v>
      </c>
      <c r="E7" s="16" t="s">
        <v>306</v>
      </c>
      <c r="F7" s="16" t="s">
        <v>823</v>
      </c>
      <c r="G7" s="28">
        <v>0</v>
      </c>
      <c r="H7" s="28">
        <v>6750</v>
      </c>
      <c r="I7" s="4">
        <f t="shared" si="0"/>
        <v>-4870816</v>
      </c>
    </row>
    <row r="8" spans="1:9" x14ac:dyDescent="0.3">
      <c r="A8" s="16" t="s">
        <v>816</v>
      </c>
      <c r="B8" s="16" t="s">
        <v>817</v>
      </c>
      <c r="C8" s="25">
        <v>45670</v>
      </c>
      <c r="D8" s="16" t="s">
        <v>308</v>
      </c>
      <c r="E8" s="16" t="s">
        <v>824</v>
      </c>
      <c r="F8" s="16" t="s">
        <v>310</v>
      </c>
      <c r="G8" s="28">
        <v>10525</v>
      </c>
      <c r="H8" s="28">
        <v>0</v>
      </c>
      <c r="I8" s="4">
        <f t="shared" si="0"/>
        <v>-4860291</v>
      </c>
    </row>
    <row r="9" spans="1:9" x14ac:dyDescent="0.3">
      <c r="A9" s="16" t="s">
        <v>816</v>
      </c>
      <c r="B9" s="16" t="s">
        <v>817</v>
      </c>
      <c r="C9" s="25">
        <v>45674</v>
      </c>
      <c r="D9" s="16" t="s">
        <v>825</v>
      </c>
      <c r="E9" s="16" t="s">
        <v>313</v>
      </c>
      <c r="F9" s="16" t="s">
        <v>826</v>
      </c>
      <c r="G9" s="28">
        <v>1223730</v>
      </c>
      <c r="H9" s="28">
        <v>0</v>
      </c>
      <c r="I9" s="4">
        <f t="shared" si="0"/>
        <v>-3636561</v>
      </c>
    </row>
    <row r="10" spans="1:9" x14ac:dyDescent="0.3">
      <c r="A10" s="16" t="s">
        <v>816</v>
      </c>
      <c r="B10" s="16" t="s">
        <v>817</v>
      </c>
      <c r="C10" s="25">
        <v>45685</v>
      </c>
      <c r="D10" s="16" t="s">
        <v>305</v>
      </c>
      <c r="E10" s="16" t="s">
        <v>306</v>
      </c>
      <c r="F10" s="16" t="s">
        <v>827</v>
      </c>
      <c r="G10" s="28">
        <v>0</v>
      </c>
      <c r="H10" s="28">
        <v>49100</v>
      </c>
      <c r="I10" s="4">
        <f t="shared" si="0"/>
        <v>-3685661</v>
      </c>
    </row>
    <row r="11" spans="1:9" x14ac:dyDescent="0.3">
      <c r="A11" s="16" t="s">
        <v>816</v>
      </c>
      <c r="B11" s="16" t="s">
        <v>817</v>
      </c>
      <c r="C11" s="25">
        <v>45685</v>
      </c>
      <c r="D11" s="16" t="s">
        <v>305</v>
      </c>
      <c r="E11" s="16" t="s">
        <v>311</v>
      </c>
      <c r="F11" s="16"/>
      <c r="G11" s="28">
        <v>0</v>
      </c>
      <c r="H11" s="28">
        <v>305</v>
      </c>
      <c r="I11" s="4">
        <f t="shared" si="0"/>
        <v>-3685966</v>
      </c>
    </row>
    <row r="12" spans="1:9" x14ac:dyDescent="0.3">
      <c r="A12" s="16" t="s">
        <v>816</v>
      </c>
      <c r="B12" s="16" t="s">
        <v>817</v>
      </c>
      <c r="C12" s="25">
        <v>45686</v>
      </c>
      <c r="D12" s="16" t="s">
        <v>305</v>
      </c>
      <c r="E12" s="16" t="s">
        <v>311</v>
      </c>
      <c r="F12" s="16"/>
      <c r="G12" s="28">
        <v>0</v>
      </c>
      <c r="H12" s="28">
        <v>3839</v>
      </c>
      <c r="I12" s="4">
        <f t="shared" si="0"/>
        <v>-3689805</v>
      </c>
    </row>
    <row r="13" spans="1:9" x14ac:dyDescent="0.3">
      <c r="A13" s="16" t="s">
        <v>816</v>
      </c>
      <c r="B13" s="16" t="s">
        <v>817</v>
      </c>
      <c r="C13" s="25">
        <v>45686</v>
      </c>
      <c r="D13" s="16" t="s">
        <v>305</v>
      </c>
      <c r="E13" s="16" t="s">
        <v>311</v>
      </c>
      <c r="F13" s="16"/>
      <c r="G13" s="28">
        <v>0</v>
      </c>
      <c r="H13" s="28">
        <v>1263</v>
      </c>
      <c r="I13" s="4">
        <f t="shared" si="0"/>
        <v>-3691068</v>
      </c>
    </row>
    <row r="14" spans="1:9" x14ac:dyDescent="0.3">
      <c r="A14" s="16" t="s">
        <v>816</v>
      </c>
      <c r="B14" s="16" t="s">
        <v>817</v>
      </c>
      <c r="C14" s="25">
        <v>45687</v>
      </c>
      <c r="D14" s="16" t="s">
        <v>305</v>
      </c>
      <c r="E14" s="16" t="s">
        <v>417</v>
      </c>
      <c r="F14" s="16"/>
      <c r="G14" s="28">
        <v>0</v>
      </c>
      <c r="H14" s="28">
        <v>4997</v>
      </c>
      <c r="I14" s="4">
        <f t="shared" si="0"/>
        <v>-3696065</v>
      </c>
    </row>
    <row r="15" spans="1:9" x14ac:dyDescent="0.3">
      <c r="A15" s="16" t="s">
        <v>816</v>
      </c>
      <c r="B15" s="16" t="s">
        <v>817</v>
      </c>
      <c r="C15" s="25">
        <v>45688</v>
      </c>
      <c r="D15" s="16" t="s">
        <v>305</v>
      </c>
      <c r="E15" s="16" t="s">
        <v>828</v>
      </c>
      <c r="F15" s="16"/>
      <c r="G15" s="28">
        <v>0</v>
      </c>
      <c r="H15" s="28">
        <v>500610</v>
      </c>
      <c r="I15" s="4">
        <f t="shared" si="0"/>
        <v>-4196675</v>
      </c>
    </row>
    <row r="16" spans="1:9" x14ac:dyDescent="0.3">
      <c r="A16" s="16" t="s">
        <v>816</v>
      </c>
      <c r="B16" s="16" t="s">
        <v>817</v>
      </c>
      <c r="C16" s="25">
        <v>45688</v>
      </c>
      <c r="D16" s="16" t="s">
        <v>305</v>
      </c>
      <c r="E16" s="16" t="s">
        <v>828</v>
      </c>
      <c r="F16" s="16"/>
      <c r="G16" s="28">
        <v>0</v>
      </c>
      <c r="H16" s="28">
        <v>45540</v>
      </c>
      <c r="I16" s="4">
        <f t="shared" si="0"/>
        <v>-4242215</v>
      </c>
    </row>
    <row r="17" spans="1:9" x14ac:dyDescent="0.3">
      <c r="A17" s="16" t="s">
        <v>816</v>
      </c>
      <c r="B17" s="16" t="s">
        <v>817</v>
      </c>
      <c r="C17" s="25">
        <v>45689</v>
      </c>
      <c r="D17" s="16" t="s">
        <v>305</v>
      </c>
      <c r="E17" s="16" t="s">
        <v>306</v>
      </c>
      <c r="F17" s="16" t="s">
        <v>829</v>
      </c>
      <c r="G17" s="28">
        <v>0</v>
      </c>
      <c r="H17" s="28">
        <v>4997</v>
      </c>
      <c r="I17" s="4">
        <f t="shared" si="0"/>
        <v>-4247212</v>
      </c>
    </row>
    <row r="18" spans="1:9" x14ac:dyDescent="0.3">
      <c r="A18" s="16" t="s">
        <v>816</v>
      </c>
      <c r="B18" s="16" t="s">
        <v>817</v>
      </c>
      <c r="C18" s="25">
        <v>45689</v>
      </c>
      <c r="D18" s="16" t="s">
        <v>305</v>
      </c>
      <c r="E18" s="16" t="s">
        <v>306</v>
      </c>
      <c r="F18" s="16" t="s">
        <v>830</v>
      </c>
      <c r="G18" s="28">
        <v>0</v>
      </c>
      <c r="H18" s="28">
        <v>500610</v>
      </c>
      <c r="I18" s="4">
        <f t="shared" si="0"/>
        <v>-4747822</v>
      </c>
    </row>
    <row r="19" spans="1:9" x14ac:dyDescent="0.3">
      <c r="A19" s="16" t="s">
        <v>816</v>
      </c>
      <c r="B19" s="16" t="s">
        <v>817</v>
      </c>
      <c r="C19" s="25">
        <v>45689</v>
      </c>
      <c r="D19" s="16" t="s">
        <v>305</v>
      </c>
      <c r="E19" s="16" t="s">
        <v>306</v>
      </c>
      <c r="F19" s="16" t="s">
        <v>831</v>
      </c>
      <c r="G19" s="28">
        <v>0</v>
      </c>
      <c r="H19" s="28">
        <v>45540</v>
      </c>
      <c r="I19" s="4">
        <f t="shared" si="0"/>
        <v>-4793362</v>
      </c>
    </row>
    <row r="20" spans="1:9" x14ac:dyDescent="0.3">
      <c r="A20" s="16" t="s">
        <v>816</v>
      </c>
      <c r="B20" s="16" t="s">
        <v>817</v>
      </c>
      <c r="C20" s="25">
        <v>45690</v>
      </c>
      <c r="D20" s="16" t="s">
        <v>305</v>
      </c>
      <c r="E20" s="16" t="s">
        <v>306</v>
      </c>
      <c r="F20" s="16" t="s">
        <v>832</v>
      </c>
      <c r="G20" s="28">
        <v>0</v>
      </c>
      <c r="H20" s="28">
        <v>32706</v>
      </c>
      <c r="I20" s="4">
        <f t="shared" si="0"/>
        <v>-4826068</v>
      </c>
    </row>
    <row r="21" spans="1:9" x14ac:dyDescent="0.3">
      <c r="A21" s="16" t="s">
        <v>816</v>
      </c>
      <c r="B21" s="16" t="s">
        <v>817</v>
      </c>
      <c r="C21" s="25">
        <v>45690</v>
      </c>
      <c r="D21" s="16" t="s">
        <v>305</v>
      </c>
      <c r="E21" s="16" t="s">
        <v>306</v>
      </c>
      <c r="F21" s="16" t="s">
        <v>833</v>
      </c>
      <c r="G21" s="28">
        <v>0</v>
      </c>
      <c r="H21" s="28">
        <v>3500</v>
      </c>
      <c r="I21" s="4">
        <f t="shared" si="0"/>
        <v>-4829568</v>
      </c>
    </row>
    <row r="22" spans="1:9" x14ac:dyDescent="0.3">
      <c r="A22" s="16" t="s">
        <v>816</v>
      </c>
      <c r="B22" s="16" t="s">
        <v>817</v>
      </c>
      <c r="C22" s="25">
        <v>45690</v>
      </c>
      <c r="D22" s="16" t="s">
        <v>305</v>
      </c>
      <c r="E22" s="16" t="s">
        <v>306</v>
      </c>
      <c r="F22" s="16" t="s">
        <v>834</v>
      </c>
      <c r="G22" s="28">
        <v>0</v>
      </c>
      <c r="H22" s="28">
        <v>9264.7900000000009</v>
      </c>
      <c r="I22" s="4">
        <f t="shared" si="0"/>
        <v>-4838832.79</v>
      </c>
    </row>
    <row r="23" spans="1:9" x14ac:dyDescent="0.3">
      <c r="A23" s="16" t="s">
        <v>816</v>
      </c>
      <c r="B23" s="16" t="s">
        <v>817</v>
      </c>
      <c r="C23" s="25">
        <v>45690</v>
      </c>
      <c r="D23" s="16" t="s">
        <v>337</v>
      </c>
      <c r="E23" s="16" t="s">
        <v>835</v>
      </c>
      <c r="F23" s="16"/>
      <c r="G23" s="28">
        <v>500610</v>
      </c>
      <c r="H23" s="28">
        <v>0</v>
      </c>
      <c r="I23" s="4">
        <f t="shared" si="0"/>
        <v>-4338222.79</v>
      </c>
    </row>
    <row r="24" spans="1:9" x14ac:dyDescent="0.3">
      <c r="A24" s="16" t="s">
        <v>816</v>
      </c>
      <c r="B24" s="16" t="s">
        <v>817</v>
      </c>
      <c r="C24" s="25">
        <v>45690</v>
      </c>
      <c r="D24" s="16" t="s">
        <v>337</v>
      </c>
      <c r="E24" s="16" t="s">
        <v>835</v>
      </c>
      <c r="F24" s="16"/>
      <c r="G24" s="28">
        <v>45540</v>
      </c>
      <c r="H24" s="28">
        <v>0</v>
      </c>
      <c r="I24" s="4">
        <f t="shared" si="0"/>
        <v>-4292682.79</v>
      </c>
    </row>
    <row r="25" spans="1:9" x14ac:dyDescent="0.3">
      <c r="A25" s="16" t="s">
        <v>816</v>
      </c>
      <c r="B25" s="16" t="s">
        <v>817</v>
      </c>
      <c r="C25" s="25">
        <v>45690</v>
      </c>
      <c r="D25" s="16" t="s">
        <v>337</v>
      </c>
      <c r="E25" s="16" t="s">
        <v>417</v>
      </c>
      <c r="F25" s="16"/>
      <c r="G25" s="28">
        <v>4997</v>
      </c>
      <c r="H25" s="28">
        <v>0</v>
      </c>
      <c r="I25" s="4">
        <f t="shared" si="0"/>
        <v>-4287685.79</v>
      </c>
    </row>
    <row r="26" spans="1:9" x14ac:dyDescent="0.3">
      <c r="A26" s="16" t="s">
        <v>816</v>
      </c>
      <c r="B26" s="16" t="s">
        <v>817</v>
      </c>
      <c r="C26" s="25">
        <v>45691</v>
      </c>
      <c r="D26" s="16" t="s">
        <v>305</v>
      </c>
      <c r="E26" s="16" t="s">
        <v>311</v>
      </c>
      <c r="F26" s="16"/>
      <c r="G26" s="28">
        <v>0</v>
      </c>
      <c r="H26" s="28">
        <v>230</v>
      </c>
      <c r="I26" s="4">
        <f t="shared" si="0"/>
        <v>-4287915.79</v>
      </c>
    </row>
    <row r="27" spans="1:9" x14ac:dyDescent="0.3">
      <c r="A27" s="16" t="s">
        <v>816</v>
      </c>
      <c r="B27" s="16" t="s">
        <v>817</v>
      </c>
      <c r="C27" s="25">
        <v>45691</v>
      </c>
      <c r="D27" s="16" t="s">
        <v>305</v>
      </c>
      <c r="E27" s="16" t="s">
        <v>306</v>
      </c>
      <c r="F27" s="16" t="s">
        <v>836</v>
      </c>
      <c r="G27" s="28">
        <v>0</v>
      </c>
      <c r="H27" s="28">
        <v>2178.27</v>
      </c>
      <c r="I27" s="4">
        <f t="shared" si="0"/>
        <v>-4290094.0599999996</v>
      </c>
    </row>
    <row r="28" spans="1:9" x14ac:dyDescent="0.3">
      <c r="A28" s="16" t="s">
        <v>816</v>
      </c>
      <c r="B28" s="16" t="s">
        <v>817</v>
      </c>
      <c r="C28" s="25">
        <v>45692</v>
      </c>
      <c r="D28" s="16" t="s">
        <v>305</v>
      </c>
      <c r="E28" s="16" t="s">
        <v>311</v>
      </c>
      <c r="F28" s="16"/>
      <c r="G28" s="28">
        <v>0</v>
      </c>
      <c r="H28" s="28">
        <v>1200</v>
      </c>
      <c r="I28" s="4">
        <f t="shared" si="0"/>
        <v>-4291294.0599999996</v>
      </c>
    </row>
    <row r="29" spans="1:9" x14ac:dyDescent="0.3">
      <c r="A29" s="16" t="s">
        <v>816</v>
      </c>
      <c r="B29" s="16" t="s">
        <v>817</v>
      </c>
      <c r="C29" s="25">
        <v>45692</v>
      </c>
      <c r="D29" s="16" t="s">
        <v>305</v>
      </c>
      <c r="E29" s="16" t="s">
        <v>311</v>
      </c>
      <c r="F29" s="16"/>
      <c r="G29" s="28">
        <v>0</v>
      </c>
      <c r="H29" s="28">
        <v>509</v>
      </c>
      <c r="I29" s="4">
        <f t="shared" si="0"/>
        <v>-4291803.0599999996</v>
      </c>
    </row>
    <row r="30" spans="1:9" x14ac:dyDescent="0.3">
      <c r="A30" s="16" t="s">
        <v>816</v>
      </c>
      <c r="B30" s="16" t="s">
        <v>817</v>
      </c>
      <c r="C30" s="25">
        <v>45692</v>
      </c>
      <c r="D30" s="16" t="s">
        <v>305</v>
      </c>
      <c r="E30" s="16" t="s">
        <v>311</v>
      </c>
      <c r="F30" s="16"/>
      <c r="G30" s="28">
        <v>0</v>
      </c>
      <c r="H30" s="28">
        <v>58</v>
      </c>
      <c r="I30" s="4">
        <f t="shared" si="0"/>
        <v>-4291861.0599999996</v>
      </c>
    </row>
    <row r="31" spans="1:9" x14ac:dyDescent="0.3">
      <c r="A31" s="16" t="s">
        <v>816</v>
      </c>
      <c r="B31" s="16" t="s">
        <v>817</v>
      </c>
      <c r="C31" s="25">
        <v>45692</v>
      </c>
      <c r="D31" s="16" t="s">
        <v>305</v>
      </c>
      <c r="E31" s="16" t="s">
        <v>306</v>
      </c>
      <c r="F31" s="16" t="s">
        <v>837</v>
      </c>
      <c r="G31" s="28">
        <v>0</v>
      </c>
      <c r="H31" s="28">
        <v>19975.41</v>
      </c>
      <c r="I31" s="4">
        <f t="shared" si="0"/>
        <v>-4311836.47</v>
      </c>
    </row>
    <row r="32" spans="1:9" x14ac:dyDescent="0.3">
      <c r="A32" s="16" t="s">
        <v>816</v>
      </c>
      <c r="B32" s="16" t="s">
        <v>817</v>
      </c>
      <c r="C32" s="25">
        <v>45692</v>
      </c>
      <c r="D32" s="16" t="s">
        <v>305</v>
      </c>
      <c r="E32" s="16" t="s">
        <v>306</v>
      </c>
      <c r="F32" s="16" t="s">
        <v>838</v>
      </c>
      <c r="G32" s="28">
        <v>0</v>
      </c>
      <c r="H32" s="28">
        <v>1549131.09</v>
      </c>
      <c r="I32" s="4">
        <f t="shared" si="0"/>
        <v>-5860967.5599999996</v>
      </c>
    </row>
    <row r="33" spans="1:9" x14ac:dyDescent="0.3">
      <c r="A33" s="16" t="s">
        <v>816</v>
      </c>
      <c r="B33" s="16" t="s">
        <v>817</v>
      </c>
      <c r="C33" s="25">
        <v>45692</v>
      </c>
      <c r="D33" s="16" t="s">
        <v>305</v>
      </c>
      <c r="E33" s="16" t="s">
        <v>306</v>
      </c>
      <c r="F33" s="16" t="s">
        <v>839</v>
      </c>
      <c r="G33" s="28">
        <v>0</v>
      </c>
      <c r="H33" s="28">
        <v>13754.5</v>
      </c>
      <c r="I33" s="4">
        <f t="shared" si="0"/>
        <v>-5874722.0599999996</v>
      </c>
    </row>
    <row r="34" spans="1:9" x14ac:dyDescent="0.3">
      <c r="A34" s="16" t="s">
        <v>816</v>
      </c>
      <c r="B34" s="16" t="s">
        <v>817</v>
      </c>
      <c r="C34" s="25">
        <v>45692</v>
      </c>
      <c r="D34" s="16" t="s">
        <v>305</v>
      </c>
      <c r="E34" s="16" t="s">
        <v>306</v>
      </c>
      <c r="F34" s="16" t="s">
        <v>840</v>
      </c>
      <c r="G34" s="28">
        <v>0</v>
      </c>
      <c r="H34" s="28">
        <v>47389.279999999999</v>
      </c>
      <c r="I34" s="4">
        <f t="shared" si="0"/>
        <v>-5922111.3399999999</v>
      </c>
    </row>
    <row r="35" spans="1:9" x14ac:dyDescent="0.3">
      <c r="A35" s="16" t="s">
        <v>816</v>
      </c>
      <c r="B35" s="16" t="s">
        <v>817</v>
      </c>
      <c r="C35" s="25">
        <v>45693</v>
      </c>
      <c r="D35" s="16" t="s">
        <v>308</v>
      </c>
      <c r="E35" s="16" t="s">
        <v>824</v>
      </c>
      <c r="F35" s="16" t="s">
        <v>841</v>
      </c>
      <c r="G35" s="28">
        <v>3652188</v>
      </c>
      <c r="H35" s="28">
        <v>0</v>
      </c>
      <c r="I35" s="4">
        <f t="shared" si="0"/>
        <v>-2269923.34</v>
      </c>
    </row>
    <row r="36" spans="1:9" x14ac:dyDescent="0.3">
      <c r="A36" s="16" t="s">
        <v>816</v>
      </c>
      <c r="B36" s="16" t="s">
        <v>817</v>
      </c>
      <c r="C36" s="25">
        <v>45693</v>
      </c>
      <c r="D36" s="16" t="s">
        <v>305</v>
      </c>
      <c r="E36" s="16" t="s">
        <v>311</v>
      </c>
      <c r="F36" s="16"/>
      <c r="G36" s="28">
        <v>0</v>
      </c>
      <c r="H36" s="28">
        <v>345</v>
      </c>
      <c r="I36" s="4">
        <f t="shared" si="0"/>
        <v>-2270268.34</v>
      </c>
    </row>
    <row r="37" spans="1:9" x14ac:dyDescent="0.3">
      <c r="A37" s="16" t="s">
        <v>816</v>
      </c>
      <c r="B37" s="16" t="s">
        <v>817</v>
      </c>
      <c r="C37" s="25">
        <v>45693</v>
      </c>
      <c r="D37" s="16" t="s">
        <v>305</v>
      </c>
      <c r="E37" s="16" t="s">
        <v>311</v>
      </c>
      <c r="F37" s="16"/>
      <c r="G37" s="28">
        <v>0</v>
      </c>
      <c r="H37" s="28">
        <v>288</v>
      </c>
      <c r="I37" s="4">
        <f t="shared" si="0"/>
        <v>-2270556.34</v>
      </c>
    </row>
    <row r="38" spans="1:9" x14ac:dyDescent="0.3">
      <c r="A38" s="16" t="s">
        <v>816</v>
      </c>
      <c r="B38" s="16" t="s">
        <v>817</v>
      </c>
      <c r="C38" s="25">
        <v>45693</v>
      </c>
      <c r="D38" s="16" t="s">
        <v>305</v>
      </c>
      <c r="E38" s="16" t="s">
        <v>311</v>
      </c>
      <c r="F38" s="16"/>
      <c r="G38" s="28">
        <v>0</v>
      </c>
      <c r="H38" s="28">
        <v>39082</v>
      </c>
      <c r="I38" s="4">
        <f t="shared" si="0"/>
        <v>-2309638.34</v>
      </c>
    </row>
    <row r="39" spans="1:9" x14ac:dyDescent="0.3">
      <c r="A39" s="16" t="s">
        <v>816</v>
      </c>
      <c r="B39" s="16" t="s">
        <v>817</v>
      </c>
      <c r="C39" s="25">
        <v>45693</v>
      </c>
      <c r="D39" s="16" t="s">
        <v>305</v>
      </c>
      <c r="E39" s="16" t="s">
        <v>306</v>
      </c>
      <c r="F39" s="16" t="s">
        <v>842</v>
      </c>
      <c r="G39" s="28">
        <v>0</v>
      </c>
      <c r="H39" s="28">
        <v>11252.81</v>
      </c>
      <c r="I39" s="4">
        <f t="shared" si="0"/>
        <v>-2320891.15</v>
      </c>
    </row>
    <row r="40" spans="1:9" x14ac:dyDescent="0.3">
      <c r="A40" s="16" t="s">
        <v>816</v>
      </c>
      <c r="B40" s="16" t="s">
        <v>817</v>
      </c>
      <c r="C40" s="25">
        <v>45693</v>
      </c>
      <c r="D40" s="16" t="s">
        <v>305</v>
      </c>
      <c r="E40" s="16" t="s">
        <v>306</v>
      </c>
      <c r="F40" s="16" t="s">
        <v>843</v>
      </c>
      <c r="G40" s="28">
        <v>0</v>
      </c>
      <c r="H40" s="28">
        <v>13611.82</v>
      </c>
      <c r="I40" s="4">
        <f t="shared" si="0"/>
        <v>-2334502.9699999997</v>
      </c>
    </row>
    <row r="41" spans="1:9" x14ac:dyDescent="0.3">
      <c r="A41" s="16" t="s">
        <v>816</v>
      </c>
      <c r="B41" s="16" t="s">
        <v>817</v>
      </c>
      <c r="C41" s="25">
        <v>45694</v>
      </c>
      <c r="D41" s="16" t="s">
        <v>305</v>
      </c>
      <c r="E41" s="16" t="s">
        <v>311</v>
      </c>
      <c r="F41" s="16"/>
      <c r="G41" s="28">
        <v>0</v>
      </c>
      <c r="H41" s="28">
        <v>346</v>
      </c>
      <c r="I41" s="4">
        <f t="shared" si="0"/>
        <v>-2334848.9699999997</v>
      </c>
    </row>
    <row r="42" spans="1:9" x14ac:dyDescent="0.3">
      <c r="A42" s="16" t="s">
        <v>816</v>
      </c>
      <c r="B42" s="16" t="s">
        <v>817</v>
      </c>
      <c r="C42" s="25">
        <v>45694</v>
      </c>
      <c r="D42" s="16" t="s">
        <v>305</v>
      </c>
      <c r="E42" s="16" t="s">
        <v>311</v>
      </c>
      <c r="F42" s="16"/>
      <c r="G42" s="28">
        <v>0</v>
      </c>
      <c r="H42" s="28">
        <v>346</v>
      </c>
      <c r="I42" s="4">
        <f t="shared" si="0"/>
        <v>-2335194.9699999997</v>
      </c>
    </row>
    <row r="43" spans="1:9" x14ac:dyDescent="0.3">
      <c r="A43" s="16" t="s">
        <v>816</v>
      </c>
      <c r="B43" s="16" t="s">
        <v>817</v>
      </c>
      <c r="C43" s="25">
        <v>45694</v>
      </c>
      <c r="D43" s="16" t="s">
        <v>305</v>
      </c>
      <c r="E43" s="16" t="s">
        <v>306</v>
      </c>
      <c r="F43" s="16" t="s">
        <v>842</v>
      </c>
      <c r="G43" s="28">
        <v>0</v>
      </c>
      <c r="H43" s="28">
        <v>13754.5</v>
      </c>
      <c r="I43" s="4">
        <f t="shared" si="0"/>
        <v>-2348949.4699999997</v>
      </c>
    </row>
    <row r="44" spans="1:9" x14ac:dyDescent="0.3">
      <c r="A44" s="16" t="s">
        <v>816</v>
      </c>
      <c r="B44" s="16" t="s">
        <v>817</v>
      </c>
      <c r="C44" s="25">
        <v>45695</v>
      </c>
      <c r="D44" s="16" t="s">
        <v>305</v>
      </c>
      <c r="E44" s="16" t="s">
        <v>311</v>
      </c>
      <c r="F44" s="16"/>
      <c r="G44" s="28">
        <v>0</v>
      </c>
      <c r="H44" s="28">
        <v>470</v>
      </c>
      <c r="I44" s="4">
        <f t="shared" si="0"/>
        <v>-2349419.4699999997</v>
      </c>
    </row>
    <row r="45" spans="1:9" x14ac:dyDescent="0.3">
      <c r="A45" s="16" t="s">
        <v>816</v>
      </c>
      <c r="B45" s="16" t="s">
        <v>817</v>
      </c>
      <c r="C45" s="25">
        <v>45695</v>
      </c>
      <c r="D45" s="16" t="s">
        <v>305</v>
      </c>
      <c r="E45" s="16" t="s">
        <v>306</v>
      </c>
      <c r="F45" s="16" t="s">
        <v>844</v>
      </c>
      <c r="G45" s="28">
        <v>0</v>
      </c>
      <c r="H45" s="28">
        <v>18615.18</v>
      </c>
      <c r="I45" s="4">
        <f t="shared" si="0"/>
        <v>-2368034.65</v>
      </c>
    </row>
    <row r="46" spans="1:9" x14ac:dyDescent="0.3">
      <c r="A46" s="16" t="s">
        <v>816</v>
      </c>
      <c r="B46" s="16" t="s">
        <v>817</v>
      </c>
      <c r="C46" s="25">
        <v>45695</v>
      </c>
      <c r="D46" s="16" t="s">
        <v>305</v>
      </c>
      <c r="E46" s="16" t="s">
        <v>417</v>
      </c>
      <c r="F46" s="16"/>
      <c r="G46" s="28">
        <v>0</v>
      </c>
      <c r="H46" s="28">
        <v>20393.939999999999</v>
      </c>
      <c r="I46" s="4">
        <f t="shared" si="0"/>
        <v>-2388428.59</v>
      </c>
    </row>
    <row r="47" spans="1:9" x14ac:dyDescent="0.3">
      <c r="A47" s="16" t="s">
        <v>816</v>
      </c>
      <c r="B47" s="16" t="s">
        <v>817</v>
      </c>
      <c r="C47" s="25">
        <v>45698</v>
      </c>
      <c r="D47" s="16" t="s">
        <v>305</v>
      </c>
      <c r="E47" s="16" t="s">
        <v>311</v>
      </c>
      <c r="F47" s="16"/>
      <c r="G47" s="28">
        <v>0</v>
      </c>
      <c r="H47" s="28">
        <v>230</v>
      </c>
      <c r="I47" s="4">
        <f t="shared" si="0"/>
        <v>-2388658.59</v>
      </c>
    </row>
    <row r="48" spans="1:9" x14ac:dyDescent="0.3">
      <c r="A48" s="16" t="s">
        <v>816</v>
      </c>
      <c r="B48" s="16" t="s">
        <v>817</v>
      </c>
      <c r="C48" s="25">
        <v>45698</v>
      </c>
      <c r="D48" s="16" t="s">
        <v>305</v>
      </c>
      <c r="E48" s="16" t="s">
        <v>306</v>
      </c>
      <c r="F48" s="16" t="s">
        <v>843</v>
      </c>
      <c r="G48" s="28">
        <v>0</v>
      </c>
      <c r="H48" s="28">
        <v>15828.13</v>
      </c>
      <c r="I48" s="4">
        <f t="shared" si="0"/>
        <v>-2404486.7199999997</v>
      </c>
    </row>
    <row r="49" spans="1:9" x14ac:dyDescent="0.3">
      <c r="A49" s="16" t="s">
        <v>816</v>
      </c>
      <c r="B49" s="16" t="s">
        <v>817</v>
      </c>
      <c r="C49" s="25">
        <v>45698</v>
      </c>
      <c r="D49" s="16" t="s">
        <v>305</v>
      </c>
      <c r="E49" s="16" t="s">
        <v>306</v>
      </c>
      <c r="F49" s="16" t="s">
        <v>837</v>
      </c>
      <c r="G49" s="28">
        <v>0</v>
      </c>
      <c r="H49" s="28">
        <v>9103.08</v>
      </c>
      <c r="I49" s="4">
        <f t="shared" si="0"/>
        <v>-2413589.7999999998</v>
      </c>
    </row>
    <row r="50" spans="1:9" x14ac:dyDescent="0.3">
      <c r="A50" s="16" t="s">
        <v>816</v>
      </c>
      <c r="B50" s="16" t="s">
        <v>817</v>
      </c>
      <c r="C50" s="25">
        <v>45699</v>
      </c>
      <c r="D50" s="16" t="s">
        <v>305</v>
      </c>
      <c r="E50" s="16" t="s">
        <v>311</v>
      </c>
      <c r="F50" s="16"/>
      <c r="G50" s="28">
        <v>0</v>
      </c>
      <c r="H50" s="28">
        <v>403</v>
      </c>
      <c r="I50" s="4">
        <f t="shared" si="0"/>
        <v>-2413992.7999999998</v>
      </c>
    </row>
    <row r="51" spans="1:9" x14ac:dyDescent="0.3">
      <c r="A51" s="16" t="s">
        <v>816</v>
      </c>
      <c r="B51" s="16" t="s">
        <v>817</v>
      </c>
      <c r="C51" s="25">
        <v>45700</v>
      </c>
      <c r="D51" s="16" t="s">
        <v>305</v>
      </c>
      <c r="E51" s="16" t="s">
        <v>311</v>
      </c>
      <c r="F51" s="16"/>
      <c r="G51" s="28">
        <v>0</v>
      </c>
      <c r="H51" s="28">
        <v>48</v>
      </c>
      <c r="I51" s="4">
        <f t="shared" si="0"/>
        <v>-2414040.7999999998</v>
      </c>
    </row>
    <row r="52" spans="1:9" x14ac:dyDescent="0.3">
      <c r="A52" s="16" t="s">
        <v>816</v>
      </c>
      <c r="B52" s="16" t="s">
        <v>817</v>
      </c>
      <c r="C52" s="25">
        <v>45700</v>
      </c>
      <c r="D52" s="16" t="s">
        <v>305</v>
      </c>
      <c r="E52" s="16" t="s">
        <v>311</v>
      </c>
      <c r="F52" s="16"/>
      <c r="G52" s="28">
        <v>0</v>
      </c>
      <c r="H52" s="28">
        <v>269</v>
      </c>
      <c r="I52" s="4">
        <f t="shared" si="0"/>
        <v>-2414309.7999999998</v>
      </c>
    </row>
    <row r="53" spans="1:9" x14ac:dyDescent="0.3">
      <c r="A53" s="16" t="s">
        <v>816</v>
      </c>
      <c r="B53" s="16" t="s">
        <v>817</v>
      </c>
      <c r="C53" s="25">
        <v>45700</v>
      </c>
      <c r="D53" s="16" t="s">
        <v>305</v>
      </c>
      <c r="E53" s="16" t="s">
        <v>306</v>
      </c>
      <c r="F53" s="16" t="s">
        <v>845</v>
      </c>
      <c r="G53" s="28">
        <v>0</v>
      </c>
      <c r="H53" s="28">
        <v>2720.46</v>
      </c>
      <c r="I53" s="4">
        <f t="shared" si="0"/>
        <v>-2417030.2599999998</v>
      </c>
    </row>
    <row r="54" spans="1:9" x14ac:dyDescent="0.3">
      <c r="A54" s="16" t="s">
        <v>816</v>
      </c>
      <c r="B54" s="16" t="s">
        <v>817</v>
      </c>
      <c r="C54" s="25">
        <v>45700</v>
      </c>
      <c r="D54" s="16" t="s">
        <v>305</v>
      </c>
      <c r="E54" s="16" t="s">
        <v>306</v>
      </c>
      <c r="F54" s="16" t="s">
        <v>383</v>
      </c>
      <c r="G54" s="28">
        <v>0</v>
      </c>
      <c r="H54" s="28">
        <v>1816.81</v>
      </c>
      <c r="I54" s="4">
        <f t="shared" si="0"/>
        <v>-2418847.0699999998</v>
      </c>
    </row>
    <row r="55" spans="1:9" x14ac:dyDescent="0.3">
      <c r="A55" s="16" t="s">
        <v>816</v>
      </c>
      <c r="B55" s="16" t="s">
        <v>817</v>
      </c>
      <c r="C55" s="25">
        <v>45700</v>
      </c>
      <c r="D55" s="16" t="s">
        <v>305</v>
      </c>
      <c r="E55" s="16" t="s">
        <v>306</v>
      </c>
      <c r="F55" s="16" t="s">
        <v>837</v>
      </c>
      <c r="G55" s="28">
        <v>0</v>
      </c>
      <c r="H55" s="28">
        <v>10767.7</v>
      </c>
      <c r="I55" s="4">
        <f t="shared" si="0"/>
        <v>-2429614.77</v>
      </c>
    </row>
    <row r="56" spans="1:9" x14ac:dyDescent="0.3">
      <c r="A56" s="16" t="s">
        <v>816</v>
      </c>
      <c r="B56" s="16" t="s">
        <v>817</v>
      </c>
      <c r="C56" s="25">
        <v>45701</v>
      </c>
      <c r="D56" s="16" t="s">
        <v>305</v>
      </c>
      <c r="E56" s="16" t="s">
        <v>311</v>
      </c>
      <c r="F56" s="16"/>
      <c r="G56" s="28">
        <v>0</v>
      </c>
      <c r="H56" s="28">
        <v>787</v>
      </c>
      <c r="I56" s="4">
        <f t="shared" si="0"/>
        <v>-2430401.77</v>
      </c>
    </row>
    <row r="57" spans="1:9" x14ac:dyDescent="0.3">
      <c r="A57" s="16" t="s">
        <v>816</v>
      </c>
      <c r="B57" s="16" t="s">
        <v>817</v>
      </c>
      <c r="C57" s="25">
        <v>45701</v>
      </c>
      <c r="D57" s="16" t="s">
        <v>305</v>
      </c>
      <c r="E57" s="16" t="s">
        <v>311</v>
      </c>
      <c r="F57" s="16"/>
      <c r="G57" s="28">
        <v>0</v>
      </c>
      <c r="H57" s="28">
        <v>518</v>
      </c>
      <c r="I57" s="4">
        <f t="shared" si="0"/>
        <v>-2430919.77</v>
      </c>
    </row>
    <row r="58" spans="1:9" x14ac:dyDescent="0.3">
      <c r="A58" s="16" t="s">
        <v>816</v>
      </c>
      <c r="B58" s="16" t="s">
        <v>817</v>
      </c>
      <c r="C58" s="25">
        <v>45701</v>
      </c>
      <c r="D58" s="16" t="s">
        <v>305</v>
      </c>
      <c r="E58" s="16" t="s">
        <v>311</v>
      </c>
      <c r="F58" s="16"/>
      <c r="G58" s="28">
        <v>0</v>
      </c>
      <c r="H58" s="28">
        <v>106</v>
      </c>
      <c r="I58" s="4">
        <f t="shared" si="0"/>
        <v>-2431025.77</v>
      </c>
    </row>
    <row r="59" spans="1:9" x14ac:dyDescent="0.3">
      <c r="A59" s="16" t="s">
        <v>816</v>
      </c>
      <c r="B59" s="16" t="s">
        <v>817</v>
      </c>
      <c r="C59" s="25">
        <v>45701</v>
      </c>
      <c r="D59" s="16" t="s">
        <v>305</v>
      </c>
      <c r="E59" s="16" t="s">
        <v>306</v>
      </c>
      <c r="F59" s="16" t="s">
        <v>833</v>
      </c>
      <c r="G59" s="28">
        <v>0</v>
      </c>
      <c r="H59" s="28">
        <v>4052.15</v>
      </c>
      <c r="I59" s="4">
        <f t="shared" si="0"/>
        <v>-2435077.92</v>
      </c>
    </row>
    <row r="60" spans="1:9" x14ac:dyDescent="0.3">
      <c r="A60" s="16" t="s">
        <v>816</v>
      </c>
      <c r="B60" s="16" t="s">
        <v>817</v>
      </c>
      <c r="C60" s="25">
        <v>45701</v>
      </c>
      <c r="D60" s="16" t="s">
        <v>305</v>
      </c>
      <c r="E60" s="16" t="s">
        <v>306</v>
      </c>
      <c r="F60" s="16" t="s">
        <v>846</v>
      </c>
      <c r="G60" s="28">
        <v>0</v>
      </c>
      <c r="H60" s="28">
        <v>31029.06</v>
      </c>
      <c r="I60" s="4">
        <f t="shared" si="0"/>
        <v>-2466106.98</v>
      </c>
    </row>
    <row r="61" spans="1:9" x14ac:dyDescent="0.3">
      <c r="A61" s="16" t="s">
        <v>816</v>
      </c>
      <c r="B61" s="16" t="s">
        <v>817</v>
      </c>
      <c r="C61" s="25">
        <v>45701</v>
      </c>
      <c r="D61" s="16" t="s">
        <v>305</v>
      </c>
      <c r="E61" s="16" t="s">
        <v>306</v>
      </c>
      <c r="F61" s="16" t="s">
        <v>847</v>
      </c>
      <c r="G61" s="28">
        <v>0</v>
      </c>
      <c r="H61" s="28">
        <v>29000</v>
      </c>
      <c r="I61" s="4">
        <f t="shared" si="0"/>
        <v>-2495106.98</v>
      </c>
    </row>
    <row r="62" spans="1:9" x14ac:dyDescent="0.3">
      <c r="A62" s="16" t="s">
        <v>816</v>
      </c>
      <c r="B62" s="16" t="s">
        <v>817</v>
      </c>
      <c r="C62" s="25">
        <v>45702</v>
      </c>
      <c r="D62" s="16" t="s">
        <v>305</v>
      </c>
      <c r="E62" s="16" t="s">
        <v>311</v>
      </c>
      <c r="F62" s="16"/>
      <c r="G62" s="28">
        <v>0</v>
      </c>
      <c r="H62" s="28">
        <v>67</v>
      </c>
      <c r="I62" s="4">
        <f t="shared" si="0"/>
        <v>-2495173.98</v>
      </c>
    </row>
    <row r="63" spans="1:9" x14ac:dyDescent="0.3">
      <c r="A63" s="16" t="s">
        <v>816</v>
      </c>
      <c r="B63" s="16" t="s">
        <v>817</v>
      </c>
      <c r="C63" s="25">
        <v>45714</v>
      </c>
      <c r="D63" s="16" t="s">
        <v>305</v>
      </c>
      <c r="E63" s="16" t="s">
        <v>311</v>
      </c>
      <c r="F63" s="16"/>
      <c r="G63" s="28">
        <v>0</v>
      </c>
      <c r="H63" s="28">
        <v>32</v>
      </c>
      <c r="I63" s="4">
        <f t="shared" si="0"/>
        <v>-2495205.98</v>
      </c>
    </row>
    <row r="64" spans="1:9" x14ac:dyDescent="0.3">
      <c r="A64" s="16" t="s">
        <v>816</v>
      </c>
      <c r="B64" s="16" t="s">
        <v>817</v>
      </c>
      <c r="C64" s="25">
        <v>45714</v>
      </c>
      <c r="D64" s="16" t="s">
        <v>305</v>
      </c>
      <c r="E64" s="16" t="s">
        <v>311</v>
      </c>
      <c r="F64" s="16"/>
      <c r="G64" s="28">
        <v>0</v>
      </c>
      <c r="H64" s="28">
        <v>3862</v>
      </c>
      <c r="I64" s="4">
        <f t="shared" si="0"/>
        <v>-2499067.98</v>
      </c>
    </row>
    <row r="65" spans="1:9" x14ac:dyDescent="0.3">
      <c r="A65" s="16" t="s">
        <v>816</v>
      </c>
      <c r="B65" s="16" t="s">
        <v>817</v>
      </c>
      <c r="C65" s="25">
        <v>45714</v>
      </c>
      <c r="D65" s="16" t="s">
        <v>305</v>
      </c>
      <c r="E65" s="16" t="s">
        <v>311</v>
      </c>
      <c r="F65" s="16"/>
      <c r="G65" s="28">
        <v>0</v>
      </c>
      <c r="H65" s="28">
        <v>1212</v>
      </c>
      <c r="I65" s="4">
        <f t="shared" si="0"/>
        <v>-2500279.98</v>
      </c>
    </row>
    <row r="66" spans="1:9" x14ac:dyDescent="0.3">
      <c r="A66" s="16" t="s">
        <v>816</v>
      </c>
      <c r="B66" s="16" t="s">
        <v>817</v>
      </c>
      <c r="C66" s="25">
        <v>45716</v>
      </c>
      <c r="D66" s="16" t="s">
        <v>337</v>
      </c>
      <c r="E66" s="16" t="s">
        <v>311</v>
      </c>
      <c r="F66" s="16"/>
      <c r="G66" s="28">
        <v>612.9</v>
      </c>
      <c r="H66" s="28">
        <v>0</v>
      </c>
      <c r="I66" s="4">
        <f t="shared" si="0"/>
        <v>-2499667.08</v>
      </c>
    </row>
    <row r="67" spans="1:9" x14ac:dyDescent="0.3">
      <c r="A67" s="16" t="s">
        <v>816</v>
      </c>
      <c r="B67" s="16" t="s">
        <v>817</v>
      </c>
      <c r="C67" s="25">
        <v>45717</v>
      </c>
      <c r="D67" s="16" t="s">
        <v>305</v>
      </c>
      <c r="E67" s="16" t="s">
        <v>306</v>
      </c>
      <c r="F67" s="16" t="s">
        <v>848</v>
      </c>
      <c r="G67" s="28">
        <v>0</v>
      </c>
      <c r="H67" s="28">
        <v>168986</v>
      </c>
      <c r="I67" s="4">
        <f t="shared" si="0"/>
        <v>-2668653.08</v>
      </c>
    </row>
    <row r="68" spans="1:9" x14ac:dyDescent="0.3">
      <c r="A68" s="16" t="s">
        <v>816</v>
      </c>
      <c r="B68" s="16" t="s">
        <v>817</v>
      </c>
      <c r="C68" s="25">
        <v>45723</v>
      </c>
      <c r="D68" s="16" t="s">
        <v>308</v>
      </c>
      <c r="E68" s="16" t="s">
        <v>824</v>
      </c>
      <c r="F68" s="16" t="s">
        <v>849</v>
      </c>
      <c r="G68" s="28">
        <v>884397</v>
      </c>
      <c r="H68" s="28">
        <v>0</v>
      </c>
      <c r="I68" s="4">
        <f t="shared" ref="I68:I131" si="1">I67+G68-H68</f>
        <v>-1784256.08</v>
      </c>
    </row>
    <row r="69" spans="1:9" x14ac:dyDescent="0.3">
      <c r="A69" s="16" t="s">
        <v>816</v>
      </c>
      <c r="B69" s="16" t="s">
        <v>817</v>
      </c>
      <c r="C69" s="25">
        <v>45729</v>
      </c>
      <c r="D69" s="16" t="s">
        <v>305</v>
      </c>
      <c r="E69" s="16" t="s">
        <v>306</v>
      </c>
      <c r="F69" s="16" t="s">
        <v>850</v>
      </c>
      <c r="G69" s="28">
        <v>0</v>
      </c>
      <c r="H69" s="28">
        <v>571890</v>
      </c>
      <c r="I69" s="4">
        <f t="shared" si="1"/>
        <v>-2356146.08</v>
      </c>
    </row>
    <row r="70" spans="1:9" x14ac:dyDescent="0.3">
      <c r="A70" s="16" t="s">
        <v>816</v>
      </c>
      <c r="B70" s="16" t="s">
        <v>817</v>
      </c>
      <c r="C70" s="25">
        <v>45729</v>
      </c>
      <c r="D70" s="16" t="s">
        <v>305</v>
      </c>
      <c r="E70" s="16" t="s">
        <v>306</v>
      </c>
      <c r="F70" s="16" t="s">
        <v>851</v>
      </c>
      <c r="G70" s="28">
        <v>0</v>
      </c>
      <c r="H70" s="28">
        <v>37021</v>
      </c>
      <c r="I70" s="4">
        <f t="shared" si="1"/>
        <v>-2393167.08</v>
      </c>
    </row>
    <row r="71" spans="1:9" x14ac:dyDescent="0.3">
      <c r="A71" s="16" t="s">
        <v>816</v>
      </c>
      <c r="B71" s="16" t="s">
        <v>817</v>
      </c>
      <c r="C71" s="25">
        <v>45731</v>
      </c>
      <c r="D71" s="16" t="s">
        <v>305</v>
      </c>
      <c r="E71" s="16" t="s">
        <v>306</v>
      </c>
      <c r="F71" s="16" t="s">
        <v>832</v>
      </c>
      <c r="G71" s="28">
        <v>0</v>
      </c>
      <c r="H71" s="28">
        <v>28764</v>
      </c>
      <c r="I71" s="4">
        <f t="shared" si="1"/>
        <v>-2421931.08</v>
      </c>
    </row>
    <row r="72" spans="1:9" x14ac:dyDescent="0.3">
      <c r="A72" s="16" t="s">
        <v>816</v>
      </c>
      <c r="B72" s="16" t="s">
        <v>817</v>
      </c>
      <c r="C72" s="25">
        <v>45732</v>
      </c>
      <c r="D72" s="16" t="s">
        <v>305</v>
      </c>
      <c r="E72" s="16" t="s">
        <v>306</v>
      </c>
      <c r="F72" s="16" t="s">
        <v>852</v>
      </c>
      <c r="G72" s="28">
        <v>0</v>
      </c>
      <c r="H72" s="28">
        <v>2195</v>
      </c>
      <c r="I72" s="4">
        <f t="shared" si="1"/>
        <v>-2424126.08</v>
      </c>
    </row>
    <row r="73" spans="1:9" x14ac:dyDescent="0.3">
      <c r="A73" s="16" t="s">
        <v>816</v>
      </c>
      <c r="B73" s="16" t="s">
        <v>817</v>
      </c>
      <c r="C73" s="25">
        <v>45733</v>
      </c>
      <c r="D73" s="16" t="s">
        <v>305</v>
      </c>
      <c r="E73" s="16" t="s">
        <v>311</v>
      </c>
      <c r="F73" s="16"/>
      <c r="G73" s="28">
        <v>0</v>
      </c>
      <c r="H73" s="28">
        <v>459</v>
      </c>
      <c r="I73" s="4">
        <f t="shared" si="1"/>
        <v>-2424585.08</v>
      </c>
    </row>
    <row r="74" spans="1:9" x14ac:dyDescent="0.3">
      <c r="A74" s="16" t="s">
        <v>816</v>
      </c>
      <c r="B74" s="16" t="s">
        <v>817</v>
      </c>
      <c r="C74" s="25">
        <v>45733</v>
      </c>
      <c r="D74" s="16" t="s">
        <v>305</v>
      </c>
      <c r="E74" s="16" t="s">
        <v>311</v>
      </c>
      <c r="F74" s="16"/>
      <c r="G74" s="28">
        <v>0</v>
      </c>
      <c r="H74" s="28">
        <v>1808</v>
      </c>
      <c r="I74" s="4">
        <f t="shared" si="1"/>
        <v>-2426393.08</v>
      </c>
    </row>
    <row r="75" spans="1:9" x14ac:dyDescent="0.3">
      <c r="A75" s="16" t="s">
        <v>816</v>
      </c>
      <c r="B75" s="16" t="s">
        <v>817</v>
      </c>
      <c r="C75" s="25">
        <v>45733</v>
      </c>
      <c r="D75" s="16" t="s">
        <v>305</v>
      </c>
      <c r="E75" s="16" t="s">
        <v>311</v>
      </c>
      <c r="F75" s="16"/>
      <c r="G75" s="28">
        <v>0</v>
      </c>
      <c r="H75" s="28">
        <v>56</v>
      </c>
      <c r="I75" s="4">
        <f t="shared" si="1"/>
        <v>-2426449.08</v>
      </c>
    </row>
    <row r="76" spans="1:9" x14ac:dyDescent="0.3">
      <c r="A76" s="16" t="s">
        <v>816</v>
      </c>
      <c r="B76" s="16" t="s">
        <v>817</v>
      </c>
      <c r="C76" s="25">
        <v>45733</v>
      </c>
      <c r="D76" s="16" t="s">
        <v>305</v>
      </c>
      <c r="E76" s="16" t="s">
        <v>306</v>
      </c>
      <c r="F76" s="16" t="s">
        <v>853</v>
      </c>
      <c r="G76" s="28">
        <v>0</v>
      </c>
      <c r="H76" s="28">
        <v>43180</v>
      </c>
      <c r="I76" s="4">
        <f t="shared" si="1"/>
        <v>-2469629.08</v>
      </c>
    </row>
    <row r="77" spans="1:9" x14ac:dyDescent="0.3">
      <c r="A77" s="16" t="s">
        <v>816</v>
      </c>
      <c r="B77" s="16" t="s">
        <v>817</v>
      </c>
      <c r="C77" s="25">
        <v>45733</v>
      </c>
      <c r="D77" s="16" t="s">
        <v>305</v>
      </c>
      <c r="E77" s="16" t="s">
        <v>306</v>
      </c>
      <c r="F77" s="16" t="s">
        <v>854</v>
      </c>
      <c r="G77" s="28">
        <v>0</v>
      </c>
      <c r="H77" s="28">
        <v>18383</v>
      </c>
      <c r="I77" s="4">
        <f t="shared" si="1"/>
        <v>-2488012.08</v>
      </c>
    </row>
    <row r="78" spans="1:9" x14ac:dyDescent="0.3">
      <c r="A78" s="16" t="s">
        <v>816</v>
      </c>
      <c r="B78" s="16" t="s">
        <v>817</v>
      </c>
      <c r="C78" s="25">
        <v>45733</v>
      </c>
      <c r="D78" s="16" t="s">
        <v>305</v>
      </c>
      <c r="E78" s="16" t="s">
        <v>306</v>
      </c>
      <c r="F78" s="16" t="s">
        <v>855</v>
      </c>
      <c r="G78" s="28">
        <v>0</v>
      </c>
      <c r="H78" s="28">
        <v>73048</v>
      </c>
      <c r="I78" s="4">
        <f t="shared" si="1"/>
        <v>-2561060.08</v>
      </c>
    </row>
    <row r="79" spans="1:9" x14ac:dyDescent="0.3">
      <c r="A79" s="16" t="s">
        <v>816</v>
      </c>
      <c r="B79" s="16" t="s">
        <v>817</v>
      </c>
      <c r="C79" s="25">
        <v>45734</v>
      </c>
      <c r="D79" s="16" t="s">
        <v>305</v>
      </c>
      <c r="E79" s="16" t="s">
        <v>311</v>
      </c>
      <c r="F79" s="16"/>
      <c r="G79" s="28">
        <v>0</v>
      </c>
      <c r="H79" s="28">
        <v>1068</v>
      </c>
      <c r="I79" s="4">
        <f t="shared" si="1"/>
        <v>-2562128.08</v>
      </c>
    </row>
    <row r="80" spans="1:9" x14ac:dyDescent="0.3">
      <c r="A80" s="16" t="s">
        <v>816</v>
      </c>
      <c r="B80" s="16" t="s">
        <v>817</v>
      </c>
      <c r="C80" s="25">
        <v>45735</v>
      </c>
      <c r="D80" s="16" t="s">
        <v>305</v>
      </c>
      <c r="E80" s="16" t="s">
        <v>311</v>
      </c>
      <c r="F80" s="16"/>
      <c r="G80" s="28">
        <v>0</v>
      </c>
      <c r="H80" s="28">
        <v>94</v>
      </c>
      <c r="I80" s="4">
        <f t="shared" si="1"/>
        <v>-2562222.0800000001</v>
      </c>
    </row>
    <row r="81" spans="1:9" x14ac:dyDescent="0.3">
      <c r="A81" s="16" t="s">
        <v>816</v>
      </c>
      <c r="B81" s="16" t="s">
        <v>817</v>
      </c>
      <c r="C81" s="25">
        <v>45735</v>
      </c>
      <c r="D81" s="16" t="s">
        <v>305</v>
      </c>
      <c r="E81" s="16" t="s">
        <v>306</v>
      </c>
      <c r="F81" s="16" t="s">
        <v>856</v>
      </c>
      <c r="G81" s="28">
        <v>0</v>
      </c>
      <c r="H81" s="28">
        <v>3718</v>
      </c>
      <c r="I81" s="4">
        <f t="shared" si="1"/>
        <v>-2565940.08</v>
      </c>
    </row>
    <row r="82" spans="1:9" x14ac:dyDescent="0.3">
      <c r="A82" s="16" t="s">
        <v>816</v>
      </c>
      <c r="B82" s="16" t="s">
        <v>817</v>
      </c>
      <c r="C82" s="25">
        <v>45736</v>
      </c>
      <c r="D82" s="16" t="s">
        <v>305</v>
      </c>
      <c r="E82" s="16" t="s">
        <v>311</v>
      </c>
      <c r="F82" s="16"/>
      <c r="G82" s="28">
        <v>0</v>
      </c>
      <c r="H82" s="28">
        <v>993</v>
      </c>
      <c r="I82" s="4">
        <f t="shared" si="1"/>
        <v>-2566933.08</v>
      </c>
    </row>
    <row r="83" spans="1:9" x14ac:dyDescent="0.3">
      <c r="A83" s="16" t="s">
        <v>816</v>
      </c>
      <c r="B83" s="16" t="s">
        <v>817</v>
      </c>
      <c r="C83" s="25">
        <v>45736</v>
      </c>
      <c r="D83" s="16" t="s">
        <v>305</v>
      </c>
      <c r="E83" s="16" t="s">
        <v>311</v>
      </c>
      <c r="F83" s="16"/>
      <c r="G83" s="28">
        <v>0</v>
      </c>
      <c r="H83" s="28">
        <v>3055</v>
      </c>
      <c r="I83" s="4">
        <f t="shared" si="1"/>
        <v>-2569988.08</v>
      </c>
    </row>
    <row r="84" spans="1:9" x14ac:dyDescent="0.3">
      <c r="A84" s="16" t="s">
        <v>816</v>
      </c>
      <c r="B84" s="16" t="s">
        <v>817</v>
      </c>
      <c r="C84" s="25">
        <v>45736</v>
      </c>
      <c r="D84" s="16" t="s">
        <v>305</v>
      </c>
      <c r="E84" s="16" t="s">
        <v>311</v>
      </c>
      <c r="F84" s="16"/>
      <c r="G84" s="28">
        <v>0</v>
      </c>
      <c r="H84" s="28">
        <v>19883</v>
      </c>
      <c r="I84" s="4">
        <f t="shared" si="1"/>
        <v>-2589871.08</v>
      </c>
    </row>
    <row r="85" spans="1:9" x14ac:dyDescent="0.3">
      <c r="A85" s="16" t="s">
        <v>816</v>
      </c>
      <c r="B85" s="16" t="s">
        <v>817</v>
      </c>
      <c r="C85" s="25">
        <v>45736</v>
      </c>
      <c r="D85" s="16" t="s">
        <v>305</v>
      </c>
      <c r="E85" s="16" t="s">
        <v>306</v>
      </c>
      <c r="F85" s="16" t="s">
        <v>857</v>
      </c>
      <c r="G85" s="28">
        <v>0</v>
      </c>
      <c r="H85" s="28">
        <v>40115</v>
      </c>
      <c r="I85" s="4">
        <f t="shared" si="1"/>
        <v>-2629986.08</v>
      </c>
    </row>
    <row r="86" spans="1:9" x14ac:dyDescent="0.3">
      <c r="A86" s="16" t="s">
        <v>816</v>
      </c>
      <c r="B86" s="16" t="s">
        <v>817</v>
      </c>
      <c r="C86" s="25">
        <v>45736</v>
      </c>
      <c r="D86" s="16" t="s">
        <v>305</v>
      </c>
      <c r="E86" s="16" t="s">
        <v>306</v>
      </c>
      <c r="F86" s="16" t="s">
        <v>858</v>
      </c>
      <c r="G86" s="28">
        <v>0</v>
      </c>
      <c r="H86" s="28">
        <v>123230</v>
      </c>
      <c r="I86" s="4">
        <f t="shared" si="1"/>
        <v>-2753216.08</v>
      </c>
    </row>
    <row r="87" spans="1:9" x14ac:dyDescent="0.3">
      <c r="A87" s="16" t="s">
        <v>816</v>
      </c>
      <c r="B87" s="16" t="s">
        <v>817</v>
      </c>
      <c r="C87" s="25">
        <v>45737</v>
      </c>
      <c r="D87" s="16" t="s">
        <v>305</v>
      </c>
      <c r="E87" s="16" t="s">
        <v>311</v>
      </c>
      <c r="F87" s="16"/>
      <c r="G87" s="28">
        <v>0</v>
      </c>
      <c r="H87" s="28">
        <v>319</v>
      </c>
      <c r="I87" s="4">
        <f t="shared" si="1"/>
        <v>-2753535.08</v>
      </c>
    </row>
    <row r="88" spans="1:9" x14ac:dyDescent="0.3">
      <c r="A88" s="16" t="s">
        <v>816</v>
      </c>
      <c r="B88" s="16" t="s">
        <v>817</v>
      </c>
      <c r="C88" s="25">
        <v>45737</v>
      </c>
      <c r="D88" s="16" t="s">
        <v>305</v>
      </c>
      <c r="E88" s="16" t="s">
        <v>306</v>
      </c>
      <c r="F88" s="16" t="s">
        <v>859</v>
      </c>
      <c r="G88" s="28">
        <v>0</v>
      </c>
      <c r="H88" s="28">
        <v>12886</v>
      </c>
      <c r="I88" s="4">
        <f t="shared" si="1"/>
        <v>-2766421.08</v>
      </c>
    </row>
    <row r="89" spans="1:9" x14ac:dyDescent="0.3">
      <c r="A89" s="16" t="s">
        <v>816</v>
      </c>
      <c r="B89" s="16" t="s">
        <v>817</v>
      </c>
      <c r="C89" s="25">
        <v>45738</v>
      </c>
      <c r="D89" s="16" t="s">
        <v>305</v>
      </c>
      <c r="E89" s="16" t="s">
        <v>306</v>
      </c>
      <c r="F89" s="16" t="s">
        <v>860</v>
      </c>
      <c r="G89" s="28">
        <v>0</v>
      </c>
      <c r="H89" s="28">
        <v>29000</v>
      </c>
      <c r="I89" s="4">
        <f t="shared" si="1"/>
        <v>-2795421.08</v>
      </c>
    </row>
    <row r="90" spans="1:9" x14ac:dyDescent="0.3">
      <c r="A90" s="16" t="s">
        <v>816</v>
      </c>
      <c r="B90" s="16" t="s">
        <v>817</v>
      </c>
      <c r="C90" s="25">
        <v>45738</v>
      </c>
      <c r="D90" s="16" t="s">
        <v>305</v>
      </c>
      <c r="E90" s="16" t="s">
        <v>306</v>
      </c>
      <c r="F90" s="16" t="s">
        <v>838</v>
      </c>
      <c r="G90" s="28">
        <v>0</v>
      </c>
      <c r="H90" s="28">
        <v>803097</v>
      </c>
      <c r="I90" s="4">
        <f t="shared" si="1"/>
        <v>-3598518.08</v>
      </c>
    </row>
    <row r="91" spans="1:9" x14ac:dyDescent="0.3">
      <c r="A91" s="16" t="s">
        <v>816</v>
      </c>
      <c r="B91" s="16" t="s">
        <v>817</v>
      </c>
      <c r="C91" s="25">
        <v>45738</v>
      </c>
      <c r="D91" s="16" t="s">
        <v>305</v>
      </c>
      <c r="E91" s="16" t="s">
        <v>306</v>
      </c>
      <c r="F91" s="16" t="s">
        <v>861</v>
      </c>
      <c r="G91" s="28">
        <v>0</v>
      </c>
      <c r="H91" s="28">
        <v>33009</v>
      </c>
      <c r="I91" s="4">
        <f t="shared" si="1"/>
        <v>-3631527.08</v>
      </c>
    </row>
    <row r="92" spans="1:9" x14ac:dyDescent="0.3">
      <c r="A92" s="16" t="s">
        <v>816</v>
      </c>
      <c r="B92" s="16" t="s">
        <v>817</v>
      </c>
      <c r="C92" s="25">
        <v>45738</v>
      </c>
      <c r="D92" s="16" t="s">
        <v>305</v>
      </c>
      <c r="E92" s="16" t="s">
        <v>306</v>
      </c>
      <c r="F92" s="16" t="s">
        <v>862</v>
      </c>
      <c r="G92" s="28">
        <v>0</v>
      </c>
      <c r="H92" s="28">
        <v>9168</v>
      </c>
      <c r="I92" s="4">
        <f t="shared" si="1"/>
        <v>-3640695.08</v>
      </c>
    </row>
    <row r="93" spans="1:9" x14ac:dyDescent="0.3">
      <c r="A93" s="16" t="s">
        <v>816</v>
      </c>
      <c r="B93" s="16" t="s">
        <v>817</v>
      </c>
      <c r="C93" s="25">
        <v>45738</v>
      </c>
      <c r="D93" s="16" t="s">
        <v>305</v>
      </c>
      <c r="E93" s="16" t="s">
        <v>306</v>
      </c>
      <c r="F93" s="16" t="s">
        <v>863</v>
      </c>
      <c r="G93" s="28">
        <v>0</v>
      </c>
      <c r="H93" s="28">
        <v>11571</v>
      </c>
      <c r="I93" s="4">
        <f t="shared" si="1"/>
        <v>-3652266.08</v>
      </c>
    </row>
    <row r="94" spans="1:9" x14ac:dyDescent="0.3">
      <c r="A94" s="16" t="s">
        <v>816</v>
      </c>
      <c r="B94" s="16" t="s">
        <v>817</v>
      </c>
      <c r="C94" s="25">
        <v>45738</v>
      </c>
      <c r="D94" s="16" t="s">
        <v>305</v>
      </c>
      <c r="E94" s="16" t="s">
        <v>306</v>
      </c>
      <c r="F94" s="16" t="s">
        <v>864</v>
      </c>
      <c r="G94" s="28">
        <v>0</v>
      </c>
      <c r="H94" s="28">
        <v>11864</v>
      </c>
      <c r="I94" s="4">
        <f t="shared" si="1"/>
        <v>-3664130.08</v>
      </c>
    </row>
    <row r="95" spans="1:9" x14ac:dyDescent="0.3">
      <c r="A95" s="16" t="s">
        <v>816</v>
      </c>
      <c r="B95" s="16" t="s">
        <v>817</v>
      </c>
      <c r="C95" s="25">
        <v>45738</v>
      </c>
      <c r="D95" s="16" t="s">
        <v>305</v>
      </c>
      <c r="E95" s="16" t="s">
        <v>306</v>
      </c>
      <c r="F95" s="16"/>
      <c r="G95" s="28">
        <v>0</v>
      </c>
      <c r="H95" s="28">
        <v>158491</v>
      </c>
      <c r="I95" s="4">
        <f t="shared" si="1"/>
        <v>-3822621.08</v>
      </c>
    </row>
    <row r="96" spans="1:9" x14ac:dyDescent="0.3">
      <c r="A96" s="16" t="s">
        <v>816</v>
      </c>
      <c r="B96" s="16" t="s">
        <v>817</v>
      </c>
      <c r="C96" s="25">
        <v>45740</v>
      </c>
      <c r="D96" s="16" t="s">
        <v>305</v>
      </c>
      <c r="E96" s="16" t="s">
        <v>311</v>
      </c>
      <c r="F96" s="16"/>
      <c r="G96" s="28">
        <v>0</v>
      </c>
      <c r="H96" s="28">
        <v>290</v>
      </c>
      <c r="I96" s="4">
        <f t="shared" si="1"/>
        <v>-3822911.08</v>
      </c>
    </row>
    <row r="97" spans="1:9" x14ac:dyDescent="0.3">
      <c r="A97" s="16" t="s">
        <v>816</v>
      </c>
      <c r="B97" s="16" t="s">
        <v>817</v>
      </c>
      <c r="C97" s="25">
        <v>45740</v>
      </c>
      <c r="D97" s="16" t="s">
        <v>305</v>
      </c>
      <c r="E97" s="16" t="s">
        <v>311</v>
      </c>
      <c r="F97" s="16"/>
      <c r="G97" s="28">
        <v>0</v>
      </c>
      <c r="H97" s="28">
        <v>225</v>
      </c>
      <c r="I97" s="4">
        <f t="shared" si="1"/>
        <v>-3823136.08</v>
      </c>
    </row>
    <row r="98" spans="1:9" x14ac:dyDescent="0.3">
      <c r="A98" s="16" t="s">
        <v>816</v>
      </c>
      <c r="B98" s="16" t="s">
        <v>817</v>
      </c>
      <c r="C98" s="25">
        <v>45740</v>
      </c>
      <c r="D98" s="16" t="s">
        <v>305</v>
      </c>
      <c r="E98" s="16" t="s">
        <v>311</v>
      </c>
      <c r="F98" s="16"/>
      <c r="G98" s="28">
        <v>0</v>
      </c>
      <c r="H98" s="28">
        <v>816</v>
      </c>
      <c r="I98" s="4">
        <f t="shared" si="1"/>
        <v>-3823952.08</v>
      </c>
    </row>
    <row r="99" spans="1:9" x14ac:dyDescent="0.3">
      <c r="A99" s="16" t="s">
        <v>816</v>
      </c>
      <c r="B99" s="16" t="s">
        <v>817</v>
      </c>
      <c r="C99" s="25">
        <v>45740</v>
      </c>
      <c r="D99" s="16" t="s">
        <v>305</v>
      </c>
      <c r="E99" s="16" t="s">
        <v>311</v>
      </c>
      <c r="F99" s="16"/>
      <c r="G99" s="28">
        <v>0</v>
      </c>
      <c r="H99" s="28">
        <v>3926</v>
      </c>
      <c r="I99" s="4">
        <f t="shared" si="1"/>
        <v>-3827878.08</v>
      </c>
    </row>
    <row r="100" spans="1:9" x14ac:dyDescent="0.3">
      <c r="A100" s="16" t="s">
        <v>816</v>
      </c>
      <c r="B100" s="16" t="s">
        <v>817</v>
      </c>
      <c r="C100" s="25">
        <v>45741</v>
      </c>
      <c r="D100" s="16" t="s">
        <v>305</v>
      </c>
      <c r="E100" s="16" t="s">
        <v>306</v>
      </c>
      <c r="F100" s="16" t="s">
        <v>865</v>
      </c>
      <c r="G100" s="28">
        <v>0</v>
      </c>
      <c r="H100" s="28">
        <v>58212</v>
      </c>
      <c r="I100" s="4">
        <f t="shared" si="1"/>
        <v>-3886090.08</v>
      </c>
    </row>
    <row r="101" spans="1:9" x14ac:dyDescent="0.3">
      <c r="A101" s="16" t="s">
        <v>816</v>
      </c>
      <c r="B101" s="16" t="s">
        <v>817</v>
      </c>
      <c r="C101" s="25">
        <v>45741</v>
      </c>
      <c r="D101" s="16" t="s">
        <v>305</v>
      </c>
      <c r="E101" s="16" t="s">
        <v>311</v>
      </c>
      <c r="F101" s="16"/>
      <c r="G101" s="28">
        <v>0</v>
      </c>
      <c r="H101" s="28">
        <v>290</v>
      </c>
      <c r="I101" s="4">
        <f t="shared" si="1"/>
        <v>-3886380.08</v>
      </c>
    </row>
    <row r="102" spans="1:9" x14ac:dyDescent="0.3">
      <c r="A102" s="16" t="s">
        <v>816</v>
      </c>
      <c r="B102" s="16" t="s">
        <v>817</v>
      </c>
      <c r="C102" s="25">
        <v>45743</v>
      </c>
      <c r="D102" s="16" t="s">
        <v>305</v>
      </c>
      <c r="E102" s="16" t="s">
        <v>311</v>
      </c>
      <c r="F102" s="16"/>
      <c r="G102" s="28">
        <v>0</v>
      </c>
      <c r="H102" s="28">
        <v>1084</v>
      </c>
      <c r="I102" s="4">
        <f t="shared" si="1"/>
        <v>-3887464.08</v>
      </c>
    </row>
    <row r="103" spans="1:9" x14ac:dyDescent="0.3">
      <c r="A103" s="16" t="s">
        <v>816</v>
      </c>
      <c r="B103" s="16" t="s">
        <v>817</v>
      </c>
      <c r="C103" s="25">
        <v>45743</v>
      </c>
      <c r="D103" s="16" t="s">
        <v>305</v>
      </c>
      <c r="E103" s="16" t="s">
        <v>311</v>
      </c>
      <c r="F103" s="16"/>
      <c r="G103" s="28">
        <v>0</v>
      </c>
      <c r="H103" s="28">
        <v>3887</v>
      </c>
      <c r="I103" s="4">
        <f t="shared" si="1"/>
        <v>-3891351.08</v>
      </c>
    </row>
    <row r="104" spans="1:9" x14ac:dyDescent="0.3">
      <c r="A104" s="16" t="s">
        <v>816</v>
      </c>
      <c r="B104" s="16" t="s">
        <v>817</v>
      </c>
      <c r="C104" s="25">
        <v>45743</v>
      </c>
      <c r="D104" s="16" t="s">
        <v>305</v>
      </c>
      <c r="E104" s="16" t="s">
        <v>311</v>
      </c>
      <c r="F104" s="16"/>
      <c r="G104" s="28">
        <v>0</v>
      </c>
      <c r="H104" s="28">
        <v>49148</v>
      </c>
      <c r="I104" s="4">
        <f t="shared" si="1"/>
        <v>-3940499.08</v>
      </c>
    </row>
    <row r="105" spans="1:9" x14ac:dyDescent="0.3">
      <c r="A105" s="16" t="s">
        <v>816</v>
      </c>
      <c r="B105" s="16" t="s">
        <v>817</v>
      </c>
      <c r="C105" s="25">
        <v>45747</v>
      </c>
      <c r="D105" s="16" t="s">
        <v>305</v>
      </c>
      <c r="E105" s="16" t="s">
        <v>311</v>
      </c>
      <c r="F105" s="16"/>
      <c r="G105" s="28">
        <v>0</v>
      </c>
      <c r="H105" s="28">
        <v>16583.89</v>
      </c>
      <c r="I105" s="4">
        <f t="shared" si="1"/>
        <v>-3957082.97</v>
      </c>
    </row>
    <row r="106" spans="1:9" x14ac:dyDescent="0.3">
      <c r="A106" s="16" t="s">
        <v>816</v>
      </c>
      <c r="B106" s="16" t="s">
        <v>817</v>
      </c>
      <c r="C106" s="25">
        <v>45748</v>
      </c>
      <c r="D106" s="16" t="s">
        <v>305</v>
      </c>
      <c r="E106" s="16" t="s">
        <v>306</v>
      </c>
      <c r="F106" s="16" t="s">
        <v>866</v>
      </c>
      <c r="G106" s="28">
        <v>0</v>
      </c>
      <c r="H106" s="28">
        <v>17977</v>
      </c>
      <c r="I106" s="4">
        <f t="shared" si="1"/>
        <v>-3975059.97</v>
      </c>
    </row>
    <row r="107" spans="1:9" x14ac:dyDescent="0.3">
      <c r="A107" s="16" t="s">
        <v>816</v>
      </c>
      <c r="B107" s="16" t="s">
        <v>817</v>
      </c>
      <c r="C107" s="25">
        <v>45751</v>
      </c>
      <c r="D107" s="16" t="s">
        <v>305</v>
      </c>
      <c r="E107" s="16" t="s">
        <v>306</v>
      </c>
      <c r="F107" s="16" t="s">
        <v>867</v>
      </c>
      <c r="G107" s="28">
        <v>0</v>
      </c>
      <c r="H107" s="28">
        <v>51210</v>
      </c>
      <c r="I107" s="4">
        <f t="shared" si="1"/>
        <v>-4026269.97</v>
      </c>
    </row>
    <row r="108" spans="1:9" x14ac:dyDescent="0.3">
      <c r="A108" s="16" t="s">
        <v>816</v>
      </c>
      <c r="B108" s="16" t="s">
        <v>817</v>
      </c>
      <c r="C108" s="25">
        <v>45762</v>
      </c>
      <c r="D108" s="16" t="s">
        <v>308</v>
      </c>
      <c r="E108" s="16" t="s">
        <v>824</v>
      </c>
      <c r="F108" s="16" t="s">
        <v>868</v>
      </c>
      <c r="G108" s="28">
        <v>2623654</v>
      </c>
      <c r="H108" s="28">
        <v>0</v>
      </c>
      <c r="I108" s="4">
        <f t="shared" si="1"/>
        <v>-1402615.9700000002</v>
      </c>
    </row>
    <row r="109" spans="1:9" x14ac:dyDescent="0.3">
      <c r="A109" s="16" t="s">
        <v>816</v>
      </c>
      <c r="B109" s="16" t="s">
        <v>817</v>
      </c>
      <c r="C109" s="25">
        <v>45769</v>
      </c>
      <c r="D109" s="16" t="s">
        <v>305</v>
      </c>
      <c r="E109" s="16" t="s">
        <v>306</v>
      </c>
      <c r="F109" s="16" t="s">
        <v>869</v>
      </c>
      <c r="G109" s="28">
        <v>0</v>
      </c>
      <c r="H109" s="28">
        <v>325710</v>
      </c>
      <c r="I109" s="4">
        <f t="shared" si="1"/>
        <v>-1728325.9700000002</v>
      </c>
    </row>
    <row r="110" spans="1:9" x14ac:dyDescent="0.3">
      <c r="A110" s="16" t="s">
        <v>816</v>
      </c>
      <c r="B110" s="16" t="s">
        <v>817</v>
      </c>
      <c r="C110" s="25">
        <v>45770</v>
      </c>
      <c r="D110" s="16" t="s">
        <v>305</v>
      </c>
      <c r="E110" s="16" t="s">
        <v>306</v>
      </c>
      <c r="F110" s="16" t="s">
        <v>869</v>
      </c>
      <c r="G110" s="28">
        <v>0</v>
      </c>
      <c r="H110" s="28">
        <v>58410</v>
      </c>
      <c r="I110" s="4">
        <f t="shared" si="1"/>
        <v>-1786735.9700000002</v>
      </c>
    </row>
    <row r="111" spans="1:9" x14ac:dyDescent="0.3">
      <c r="A111" s="16" t="s">
        <v>816</v>
      </c>
      <c r="B111" s="16" t="s">
        <v>817</v>
      </c>
      <c r="C111" s="25">
        <v>45772</v>
      </c>
      <c r="D111" s="16" t="s">
        <v>305</v>
      </c>
      <c r="E111" s="16" t="s">
        <v>311</v>
      </c>
      <c r="F111" s="16"/>
      <c r="G111" s="28">
        <v>0</v>
      </c>
      <c r="H111" s="28">
        <v>928</v>
      </c>
      <c r="I111" s="4">
        <f t="shared" si="1"/>
        <v>-1787663.9700000002</v>
      </c>
    </row>
    <row r="112" spans="1:9" x14ac:dyDescent="0.3">
      <c r="A112" s="16" t="s">
        <v>816</v>
      </c>
      <c r="B112" s="16" t="s">
        <v>817</v>
      </c>
      <c r="C112" s="25">
        <v>45772</v>
      </c>
      <c r="D112" s="16" t="s">
        <v>305</v>
      </c>
      <c r="E112" s="16" t="s">
        <v>311</v>
      </c>
      <c r="F112" s="16"/>
      <c r="G112" s="28">
        <v>0</v>
      </c>
      <c r="H112" s="28">
        <v>3904</v>
      </c>
      <c r="I112" s="4">
        <f t="shared" si="1"/>
        <v>-1791567.9700000002</v>
      </c>
    </row>
    <row r="113" spans="1:9" x14ac:dyDescent="0.3">
      <c r="A113" s="16" t="s">
        <v>816</v>
      </c>
      <c r="B113" s="16" t="s">
        <v>817</v>
      </c>
      <c r="C113" s="25">
        <v>45772</v>
      </c>
      <c r="D113" s="16" t="s">
        <v>305</v>
      </c>
      <c r="E113" s="16" t="s">
        <v>311</v>
      </c>
      <c r="F113" s="16"/>
      <c r="G113" s="28">
        <v>0</v>
      </c>
      <c r="H113" s="28">
        <v>36564</v>
      </c>
      <c r="I113" s="4">
        <f t="shared" si="1"/>
        <v>-1828131.9700000002</v>
      </c>
    </row>
    <row r="114" spans="1:9" x14ac:dyDescent="0.3">
      <c r="A114" s="16" t="s">
        <v>816</v>
      </c>
      <c r="B114" s="16" t="s">
        <v>817</v>
      </c>
      <c r="C114" s="25">
        <v>45777</v>
      </c>
      <c r="D114" s="16" t="s">
        <v>305</v>
      </c>
      <c r="E114" s="16" t="s">
        <v>311</v>
      </c>
      <c r="F114" s="16"/>
      <c r="G114" s="28">
        <v>0</v>
      </c>
      <c r="H114" s="28">
        <v>62361.03</v>
      </c>
      <c r="I114" s="4">
        <f t="shared" si="1"/>
        <v>-1890493.0000000002</v>
      </c>
    </row>
    <row r="115" spans="1:9" x14ac:dyDescent="0.3">
      <c r="A115" s="16" t="s">
        <v>816</v>
      </c>
      <c r="B115" s="16" t="s">
        <v>817</v>
      </c>
      <c r="C115" s="25">
        <v>45781</v>
      </c>
      <c r="D115" s="16" t="s">
        <v>305</v>
      </c>
      <c r="E115" s="16" t="s">
        <v>306</v>
      </c>
      <c r="F115" s="16" t="s">
        <v>870</v>
      </c>
      <c r="G115" s="28">
        <v>0</v>
      </c>
      <c r="H115" s="28">
        <v>29793</v>
      </c>
      <c r="I115" s="4">
        <f t="shared" si="1"/>
        <v>-1920286.0000000002</v>
      </c>
    </row>
    <row r="116" spans="1:9" x14ac:dyDescent="0.3">
      <c r="A116" s="16" t="s">
        <v>816</v>
      </c>
      <c r="B116" s="16" t="s">
        <v>817</v>
      </c>
      <c r="C116" s="25">
        <v>45781</v>
      </c>
      <c r="D116" s="16" t="s">
        <v>305</v>
      </c>
      <c r="E116" s="16" t="s">
        <v>306</v>
      </c>
      <c r="F116" s="16" t="s">
        <v>871</v>
      </c>
      <c r="G116" s="28">
        <v>0</v>
      </c>
      <c r="H116" s="28">
        <v>3600</v>
      </c>
      <c r="I116" s="4">
        <f t="shared" si="1"/>
        <v>-1923886.0000000002</v>
      </c>
    </row>
    <row r="117" spans="1:9" x14ac:dyDescent="0.3">
      <c r="A117" s="16" t="s">
        <v>816</v>
      </c>
      <c r="B117" s="16" t="s">
        <v>817</v>
      </c>
      <c r="C117" s="25">
        <v>45783</v>
      </c>
      <c r="D117" s="16" t="s">
        <v>305</v>
      </c>
      <c r="E117" s="16" t="s">
        <v>306</v>
      </c>
      <c r="F117" s="16" t="s">
        <v>872</v>
      </c>
      <c r="G117" s="28">
        <v>0</v>
      </c>
      <c r="H117" s="28">
        <v>8000</v>
      </c>
      <c r="I117" s="4">
        <f t="shared" si="1"/>
        <v>-1931886.0000000002</v>
      </c>
    </row>
    <row r="118" spans="1:9" x14ac:dyDescent="0.3">
      <c r="A118" s="16" t="s">
        <v>816</v>
      </c>
      <c r="B118" s="16" t="s">
        <v>817</v>
      </c>
      <c r="C118" s="25">
        <v>45783</v>
      </c>
      <c r="D118" s="16" t="s">
        <v>305</v>
      </c>
      <c r="E118" s="16" t="s">
        <v>306</v>
      </c>
      <c r="F118" s="16" t="s">
        <v>873</v>
      </c>
      <c r="G118" s="28">
        <v>0</v>
      </c>
      <c r="H118" s="28">
        <v>29000</v>
      </c>
      <c r="I118" s="4">
        <f t="shared" si="1"/>
        <v>-1960886.0000000002</v>
      </c>
    </row>
    <row r="119" spans="1:9" x14ac:dyDescent="0.3">
      <c r="A119" s="16" t="s">
        <v>816</v>
      </c>
      <c r="B119" s="16" t="s">
        <v>817</v>
      </c>
      <c r="C119" s="25">
        <v>45792</v>
      </c>
      <c r="D119" s="16" t="s">
        <v>308</v>
      </c>
      <c r="E119" s="16" t="s">
        <v>824</v>
      </c>
      <c r="F119" s="16" t="s">
        <v>874</v>
      </c>
      <c r="G119" s="28">
        <v>1901018</v>
      </c>
      <c r="H119" s="28">
        <v>0</v>
      </c>
      <c r="I119" s="4">
        <f t="shared" si="1"/>
        <v>-59868.000000000233</v>
      </c>
    </row>
    <row r="120" spans="1:9" x14ac:dyDescent="0.3">
      <c r="A120" s="16" t="s">
        <v>816</v>
      </c>
      <c r="B120" s="16" t="s">
        <v>817</v>
      </c>
      <c r="C120" s="25">
        <v>45802</v>
      </c>
      <c r="D120" s="16" t="s">
        <v>305</v>
      </c>
      <c r="E120" s="16" t="s">
        <v>306</v>
      </c>
      <c r="F120" s="16" t="s">
        <v>875</v>
      </c>
      <c r="G120" s="28">
        <v>0</v>
      </c>
      <c r="H120" s="28">
        <v>30558.26</v>
      </c>
      <c r="I120" s="4">
        <f t="shared" si="1"/>
        <v>-90426.260000000228</v>
      </c>
    </row>
    <row r="121" spans="1:9" x14ac:dyDescent="0.3">
      <c r="A121" s="16" t="s">
        <v>816</v>
      </c>
      <c r="B121" s="16" t="s">
        <v>817</v>
      </c>
      <c r="C121" s="25">
        <v>45802</v>
      </c>
      <c r="D121" s="16" t="s">
        <v>305</v>
      </c>
      <c r="E121" s="16" t="s">
        <v>306</v>
      </c>
      <c r="F121" s="16" t="s">
        <v>876</v>
      </c>
      <c r="G121" s="28">
        <v>0</v>
      </c>
      <c r="H121" s="28">
        <v>3600</v>
      </c>
      <c r="I121" s="4">
        <f t="shared" si="1"/>
        <v>-94026.260000000228</v>
      </c>
    </row>
    <row r="122" spans="1:9" x14ac:dyDescent="0.3">
      <c r="A122" s="16" t="s">
        <v>816</v>
      </c>
      <c r="B122" s="16" t="s">
        <v>817</v>
      </c>
      <c r="C122" s="25">
        <v>45803</v>
      </c>
      <c r="D122" s="16" t="s">
        <v>305</v>
      </c>
      <c r="E122" s="16" t="s">
        <v>311</v>
      </c>
      <c r="F122" s="16"/>
      <c r="G122" s="28">
        <v>0</v>
      </c>
      <c r="H122" s="28">
        <v>785</v>
      </c>
      <c r="I122" s="4">
        <f t="shared" si="1"/>
        <v>-94811.260000000228</v>
      </c>
    </row>
    <row r="123" spans="1:9" x14ac:dyDescent="0.3">
      <c r="A123" s="16" t="s">
        <v>816</v>
      </c>
      <c r="B123" s="16" t="s">
        <v>817</v>
      </c>
      <c r="C123" s="25">
        <v>45803</v>
      </c>
      <c r="D123" s="16" t="s">
        <v>305</v>
      </c>
      <c r="E123" s="16" t="s">
        <v>306</v>
      </c>
      <c r="F123" s="16" t="s">
        <v>877</v>
      </c>
      <c r="G123" s="28">
        <v>0</v>
      </c>
      <c r="H123" s="28">
        <v>6870.92</v>
      </c>
      <c r="I123" s="4">
        <f t="shared" si="1"/>
        <v>-101682.18000000023</v>
      </c>
    </row>
    <row r="124" spans="1:9" x14ac:dyDescent="0.3">
      <c r="A124" s="16" t="s">
        <v>816</v>
      </c>
      <c r="B124" s="16" t="s">
        <v>817</v>
      </c>
      <c r="C124" s="25">
        <v>45803</v>
      </c>
      <c r="D124" s="16" t="s">
        <v>305</v>
      </c>
      <c r="E124" s="16" t="s">
        <v>306</v>
      </c>
      <c r="F124" s="16" t="s">
        <v>878</v>
      </c>
      <c r="G124" s="28">
        <v>0</v>
      </c>
      <c r="H124" s="28">
        <v>6074.16</v>
      </c>
      <c r="I124" s="4">
        <f t="shared" si="1"/>
        <v>-107756.34000000023</v>
      </c>
    </row>
    <row r="125" spans="1:9" x14ac:dyDescent="0.3">
      <c r="A125" s="16" t="s">
        <v>816</v>
      </c>
      <c r="B125" s="16" t="s">
        <v>817</v>
      </c>
      <c r="C125" s="25">
        <v>45804</v>
      </c>
      <c r="D125" s="16" t="s">
        <v>305</v>
      </c>
      <c r="E125" s="16" t="s">
        <v>311</v>
      </c>
      <c r="F125" s="16"/>
      <c r="G125" s="28">
        <v>0</v>
      </c>
      <c r="H125" s="28">
        <v>172</v>
      </c>
      <c r="I125" s="4">
        <f t="shared" si="1"/>
        <v>-107928.34000000023</v>
      </c>
    </row>
    <row r="126" spans="1:9" x14ac:dyDescent="0.3">
      <c r="A126" s="16" t="s">
        <v>816</v>
      </c>
      <c r="B126" s="16" t="s">
        <v>817</v>
      </c>
      <c r="C126" s="25">
        <v>45804</v>
      </c>
      <c r="D126" s="16" t="s">
        <v>305</v>
      </c>
      <c r="E126" s="16" t="s">
        <v>311</v>
      </c>
      <c r="F126" s="16"/>
      <c r="G126" s="28">
        <v>0</v>
      </c>
      <c r="H126" s="28">
        <v>153</v>
      </c>
      <c r="I126" s="4">
        <f t="shared" si="1"/>
        <v>-108081.34000000023</v>
      </c>
    </row>
    <row r="127" spans="1:9" x14ac:dyDescent="0.3">
      <c r="A127" s="16" t="s">
        <v>816</v>
      </c>
      <c r="B127" s="16" t="s">
        <v>817</v>
      </c>
      <c r="C127" s="25">
        <v>45804</v>
      </c>
      <c r="D127" s="16" t="s">
        <v>305</v>
      </c>
      <c r="E127" s="16" t="s">
        <v>311</v>
      </c>
      <c r="F127" s="16"/>
      <c r="G127" s="28">
        <v>0</v>
      </c>
      <c r="H127" s="28">
        <v>3918</v>
      </c>
      <c r="I127" s="4">
        <f t="shared" si="1"/>
        <v>-111999.34000000023</v>
      </c>
    </row>
    <row r="128" spans="1:9" x14ac:dyDescent="0.3">
      <c r="A128" s="16" t="s">
        <v>816</v>
      </c>
      <c r="B128" s="16" t="s">
        <v>817</v>
      </c>
      <c r="C128" s="25">
        <v>45805</v>
      </c>
      <c r="D128" s="16" t="s">
        <v>305</v>
      </c>
      <c r="E128" s="16" t="s">
        <v>306</v>
      </c>
      <c r="F128" s="16" t="s">
        <v>879</v>
      </c>
      <c r="G128" s="28">
        <v>0</v>
      </c>
      <c r="H128" s="28">
        <v>4192.3999999999996</v>
      </c>
      <c r="I128" s="4">
        <f t="shared" si="1"/>
        <v>-116191.74000000022</v>
      </c>
    </row>
    <row r="129" spans="1:9" x14ac:dyDescent="0.3">
      <c r="A129" s="16" t="s">
        <v>816</v>
      </c>
      <c r="B129" s="16" t="s">
        <v>817</v>
      </c>
      <c r="C129" s="25">
        <v>45809</v>
      </c>
      <c r="D129" s="16" t="s">
        <v>305</v>
      </c>
      <c r="E129" s="16" t="s">
        <v>311</v>
      </c>
      <c r="F129" s="16"/>
      <c r="G129" s="28">
        <v>0</v>
      </c>
      <c r="H129" s="28">
        <v>105</v>
      </c>
      <c r="I129" s="4">
        <f t="shared" si="1"/>
        <v>-116296.74000000022</v>
      </c>
    </row>
    <row r="130" spans="1:9" x14ac:dyDescent="0.3">
      <c r="A130" s="16" t="s">
        <v>816</v>
      </c>
      <c r="B130" s="16" t="s">
        <v>817</v>
      </c>
      <c r="C130" s="25">
        <v>45809</v>
      </c>
      <c r="D130" s="16" t="s">
        <v>305</v>
      </c>
      <c r="E130" s="16" t="s">
        <v>339</v>
      </c>
      <c r="F130" s="16"/>
      <c r="G130" s="28">
        <v>0</v>
      </c>
      <c r="H130" s="28">
        <v>29000</v>
      </c>
      <c r="I130" s="4">
        <f t="shared" si="1"/>
        <v>-145296.74000000022</v>
      </c>
    </row>
    <row r="131" spans="1:9" x14ac:dyDescent="0.3">
      <c r="A131" s="16" t="s">
        <v>816</v>
      </c>
      <c r="B131" s="16" t="s">
        <v>817</v>
      </c>
      <c r="C131" s="25">
        <v>45819</v>
      </c>
      <c r="D131" s="16" t="s">
        <v>305</v>
      </c>
      <c r="E131" s="16" t="s">
        <v>339</v>
      </c>
      <c r="F131" s="16"/>
      <c r="G131" s="28">
        <v>0</v>
      </c>
      <c r="H131" s="28">
        <v>9397</v>
      </c>
      <c r="I131" s="4">
        <f t="shared" si="1"/>
        <v>-154693.74000000022</v>
      </c>
    </row>
    <row r="132" spans="1:9" x14ac:dyDescent="0.3">
      <c r="A132" s="16" t="s">
        <v>816</v>
      </c>
      <c r="B132" s="16" t="s">
        <v>817</v>
      </c>
      <c r="C132" s="25">
        <v>45820</v>
      </c>
      <c r="D132" s="16" t="s">
        <v>308</v>
      </c>
      <c r="E132" s="16" t="s">
        <v>824</v>
      </c>
      <c r="F132" s="16" t="s">
        <v>880</v>
      </c>
      <c r="G132" s="28">
        <v>79021</v>
      </c>
      <c r="H132" s="28">
        <v>0</v>
      </c>
      <c r="I132" s="4">
        <f t="shared" ref="I132:I195" si="2">I131+G132-H132</f>
        <v>-75672.740000000224</v>
      </c>
    </row>
    <row r="133" spans="1:9" x14ac:dyDescent="0.3">
      <c r="A133" s="16" t="s">
        <v>816</v>
      </c>
      <c r="B133" s="16" t="s">
        <v>817</v>
      </c>
      <c r="C133" s="25">
        <v>45834</v>
      </c>
      <c r="D133" s="16" t="s">
        <v>305</v>
      </c>
      <c r="E133" s="16" t="s">
        <v>311</v>
      </c>
      <c r="F133" s="16"/>
      <c r="G133" s="28">
        <v>0</v>
      </c>
      <c r="H133" s="28">
        <v>29</v>
      </c>
      <c r="I133" s="4">
        <f t="shared" si="2"/>
        <v>-75701.740000000224</v>
      </c>
    </row>
    <row r="134" spans="1:9" x14ac:dyDescent="0.3">
      <c r="A134" s="16" t="s">
        <v>816</v>
      </c>
      <c r="B134" s="16" t="s">
        <v>817</v>
      </c>
      <c r="C134" s="25">
        <v>45834</v>
      </c>
      <c r="D134" s="16" t="s">
        <v>305</v>
      </c>
      <c r="E134" s="16" t="s">
        <v>311</v>
      </c>
      <c r="F134" s="16"/>
      <c r="G134" s="28">
        <v>0</v>
      </c>
      <c r="H134" s="28">
        <v>3926</v>
      </c>
      <c r="I134" s="4">
        <f t="shared" si="2"/>
        <v>-79627.740000000224</v>
      </c>
    </row>
    <row r="135" spans="1:9" x14ac:dyDescent="0.3">
      <c r="A135" s="16" t="s">
        <v>816</v>
      </c>
      <c r="B135" s="16" t="s">
        <v>817</v>
      </c>
      <c r="C135" s="25">
        <v>45834</v>
      </c>
      <c r="D135" s="16" t="s">
        <v>305</v>
      </c>
      <c r="E135" s="16" t="s">
        <v>311</v>
      </c>
      <c r="F135" s="16"/>
      <c r="G135" s="28">
        <v>0</v>
      </c>
      <c r="H135" s="28">
        <v>1070</v>
      </c>
      <c r="I135" s="4">
        <f t="shared" si="2"/>
        <v>-80697.740000000224</v>
      </c>
    </row>
    <row r="136" spans="1:9" x14ac:dyDescent="0.3">
      <c r="A136" s="16" t="s">
        <v>816</v>
      </c>
      <c r="B136" s="16" t="s">
        <v>817</v>
      </c>
      <c r="C136" s="25">
        <v>45838</v>
      </c>
      <c r="D136" s="16" t="s">
        <v>305</v>
      </c>
      <c r="E136" s="16" t="s">
        <v>311</v>
      </c>
      <c r="F136" s="16"/>
      <c r="G136" s="28">
        <v>0</v>
      </c>
      <c r="H136" s="28">
        <v>586.66</v>
      </c>
      <c r="I136" s="4">
        <f t="shared" si="2"/>
        <v>-81284.400000000227</v>
      </c>
    </row>
    <row r="137" spans="1:9" x14ac:dyDescent="0.3">
      <c r="A137" s="16" t="s">
        <v>816</v>
      </c>
      <c r="B137" s="16" t="s">
        <v>817</v>
      </c>
      <c r="C137" s="25">
        <v>45839</v>
      </c>
      <c r="D137" s="16" t="s">
        <v>305</v>
      </c>
      <c r="E137" s="16" t="s">
        <v>339</v>
      </c>
      <c r="F137" s="16"/>
      <c r="G137" s="28">
        <v>9397</v>
      </c>
      <c r="H137" s="28">
        <v>0</v>
      </c>
      <c r="I137" s="4">
        <f t="shared" si="2"/>
        <v>-71887.400000000227</v>
      </c>
    </row>
    <row r="138" spans="1:9" x14ac:dyDescent="0.3">
      <c r="A138" s="16" t="s">
        <v>816</v>
      </c>
      <c r="B138" s="16" t="s">
        <v>817</v>
      </c>
      <c r="C138" s="25">
        <v>45839</v>
      </c>
      <c r="D138" s="16" t="s">
        <v>305</v>
      </c>
      <c r="E138" s="16" t="s">
        <v>306</v>
      </c>
      <c r="F138" s="16" t="s">
        <v>881</v>
      </c>
      <c r="G138" s="28">
        <v>0</v>
      </c>
      <c r="H138" s="28">
        <v>9397</v>
      </c>
      <c r="I138" s="4">
        <f t="shared" si="2"/>
        <v>-81284.400000000227</v>
      </c>
    </row>
    <row r="139" spans="1:9" x14ac:dyDescent="0.3">
      <c r="A139" s="16" t="s">
        <v>816</v>
      </c>
      <c r="B139" s="16" t="s">
        <v>817</v>
      </c>
      <c r="C139" s="25">
        <v>45839</v>
      </c>
      <c r="D139" s="16" t="s">
        <v>305</v>
      </c>
      <c r="E139" s="16" t="s">
        <v>306</v>
      </c>
      <c r="F139" s="16" t="s">
        <v>860</v>
      </c>
      <c r="G139" s="28">
        <v>0</v>
      </c>
      <c r="H139" s="28">
        <v>29000</v>
      </c>
      <c r="I139" s="4">
        <f t="shared" si="2"/>
        <v>-110284.40000000023</v>
      </c>
    </row>
    <row r="140" spans="1:9" x14ac:dyDescent="0.3">
      <c r="A140" s="16" t="s">
        <v>816</v>
      </c>
      <c r="B140" s="16" t="s">
        <v>817</v>
      </c>
      <c r="C140" s="25">
        <v>45848</v>
      </c>
      <c r="D140" s="16" t="s">
        <v>308</v>
      </c>
      <c r="E140" s="16" t="s">
        <v>824</v>
      </c>
      <c r="F140" s="16" t="s">
        <v>874</v>
      </c>
      <c r="G140" s="28">
        <v>87617</v>
      </c>
      <c r="H140" s="28">
        <v>0</v>
      </c>
      <c r="I140" s="4">
        <f t="shared" si="2"/>
        <v>-22667.400000000227</v>
      </c>
    </row>
    <row r="141" spans="1:9" x14ac:dyDescent="0.3">
      <c r="A141" s="16" t="s">
        <v>816</v>
      </c>
      <c r="B141" s="16" t="s">
        <v>817</v>
      </c>
      <c r="C141" s="25">
        <v>45848</v>
      </c>
      <c r="D141" s="16" t="s">
        <v>305</v>
      </c>
      <c r="E141" s="16" t="s">
        <v>311</v>
      </c>
      <c r="F141" s="16"/>
      <c r="G141" s="28">
        <v>0</v>
      </c>
      <c r="H141" s="28">
        <v>162.6</v>
      </c>
      <c r="I141" s="4">
        <f t="shared" si="2"/>
        <v>-22830.000000000226</v>
      </c>
    </row>
    <row r="142" spans="1:9" x14ac:dyDescent="0.3">
      <c r="A142" s="16" t="s">
        <v>816</v>
      </c>
      <c r="B142" s="16" t="s">
        <v>817</v>
      </c>
      <c r="C142" s="25">
        <v>45867</v>
      </c>
      <c r="D142" s="16" t="s">
        <v>305</v>
      </c>
      <c r="E142" s="16" t="s">
        <v>311</v>
      </c>
      <c r="F142" s="16"/>
      <c r="G142" s="28">
        <v>0</v>
      </c>
      <c r="H142" s="28">
        <v>3919</v>
      </c>
      <c r="I142" s="4">
        <f t="shared" si="2"/>
        <v>-26749.000000000226</v>
      </c>
    </row>
    <row r="143" spans="1:9" x14ac:dyDescent="0.3">
      <c r="A143" s="16" t="s">
        <v>816</v>
      </c>
      <c r="B143" s="16" t="s">
        <v>817</v>
      </c>
      <c r="C143" s="25">
        <v>45867</v>
      </c>
      <c r="D143" s="16" t="s">
        <v>305</v>
      </c>
      <c r="E143" s="16" t="s">
        <v>311</v>
      </c>
      <c r="F143" s="16"/>
      <c r="G143" s="28">
        <v>0</v>
      </c>
      <c r="H143" s="28">
        <v>129</v>
      </c>
      <c r="I143" s="4">
        <f t="shared" si="2"/>
        <v>-26878.000000000226</v>
      </c>
    </row>
    <row r="144" spans="1:9" x14ac:dyDescent="0.3">
      <c r="A144" s="16" t="s">
        <v>816</v>
      </c>
      <c r="B144" s="16" t="s">
        <v>817</v>
      </c>
      <c r="C144" s="25">
        <v>45867</v>
      </c>
      <c r="D144" s="16" t="s">
        <v>305</v>
      </c>
      <c r="E144" s="16" t="s">
        <v>311</v>
      </c>
      <c r="F144" s="16"/>
      <c r="G144" s="28">
        <v>0</v>
      </c>
      <c r="H144" s="28">
        <v>3</v>
      </c>
      <c r="I144" s="4">
        <f t="shared" si="2"/>
        <v>-26881.000000000226</v>
      </c>
    </row>
    <row r="145" spans="1:9" x14ac:dyDescent="0.3">
      <c r="A145" s="16" t="s">
        <v>816</v>
      </c>
      <c r="B145" s="16" t="s">
        <v>817</v>
      </c>
      <c r="C145" s="25">
        <v>45868</v>
      </c>
      <c r="D145" s="16" t="s">
        <v>305</v>
      </c>
      <c r="E145" s="16" t="s">
        <v>339</v>
      </c>
      <c r="F145" s="16"/>
      <c r="G145" s="28">
        <v>29000</v>
      </c>
      <c r="H145" s="28">
        <v>0</v>
      </c>
      <c r="I145" s="4">
        <f t="shared" si="2"/>
        <v>2118.9999999997744</v>
      </c>
    </row>
    <row r="146" spans="1:9" x14ac:dyDescent="0.3">
      <c r="A146" s="16" t="s">
        <v>816</v>
      </c>
      <c r="B146" s="16" t="s">
        <v>817</v>
      </c>
      <c r="C146" s="25">
        <v>45882</v>
      </c>
      <c r="D146" s="16" t="s">
        <v>308</v>
      </c>
      <c r="E146" s="16" t="s">
        <v>824</v>
      </c>
      <c r="F146" s="16" t="s">
        <v>868</v>
      </c>
      <c r="G146" s="28">
        <v>8406</v>
      </c>
      <c r="H146" s="28">
        <v>0</v>
      </c>
      <c r="I146" s="4">
        <f t="shared" si="2"/>
        <v>10524.999999999774</v>
      </c>
    </row>
    <row r="147" spans="1:9" x14ac:dyDescent="0.3">
      <c r="A147" s="16" t="s">
        <v>816</v>
      </c>
      <c r="B147" s="16" t="s">
        <v>817</v>
      </c>
      <c r="C147" s="25">
        <v>45931</v>
      </c>
      <c r="D147" s="16" t="s">
        <v>305</v>
      </c>
      <c r="E147" s="16" t="s">
        <v>311</v>
      </c>
      <c r="F147" s="16"/>
      <c r="G147" s="28">
        <v>0</v>
      </c>
      <c r="H147" s="28">
        <v>512</v>
      </c>
      <c r="I147" s="4">
        <f t="shared" si="2"/>
        <v>10012.999999999774</v>
      </c>
    </row>
    <row r="148" spans="1:9" x14ac:dyDescent="0.3">
      <c r="A148" s="16" t="s">
        <v>816</v>
      </c>
      <c r="B148" s="16" t="s">
        <v>817</v>
      </c>
      <c r="C148" s="25">
        <v>45931</v>
      </c>
      <c r="D148" s="16" t="s">
        <v>305</v>
      </c>
      <c r="E148" s="16" t="s">
        <v>339</v>
      </c>
      <c r="F148" s="16"/>
      <c r="G148" s="28">
        <v>0</v>
      </c>
      <c r="H148" s="28">
        <v>29000</v>
      </c>
      <c r="I148" s="4">
        <f t="shared" si="2"/>
        <v>-18987.000000000226</v>
      </c>
    </row>
    <row r="149" spans="1:9" x14ac:dyDescent="0.3">
      <c r="A149" s="16" t="s">
        <v>816</v>
      </c>
      <c r="B149" s="16" t="s">
        <v>817</v>
      </c>
      <c r="C149" s="25">
        <v>45931</v>
      </c>
      <c r="D149" s="16" t="s">
        <v>305</v>
      </c>
      <c r="E149" s="16" t="s">
        <v>339</v>
      </c>
      <c r="F149" s="16"/>
      <c r="G149" s="28">
        <v>0</v>
      </c>
      <c r="H149" s="28">
        <v>19861.48</v>
      </c>
      <c r="I149" s="4">
        <f t="shared" si="2"/>
        <v>-38848.480000000229</v>
      </c>
    </row>
    <row r="150" spans="1:9" x14ac:dyDescent="0.3">
      <c r="A150" s="16" t="s">
        <v>816</v>
      </c>
      <c r="B150" s="16" t="s">
        <v>817</v>
      </c>
      <c r="C150" s="25">
        <v>45932</v>
      </c>
      <c r="D150" s="16" t="s">
        <v>305</v>
      </c>
      <c r="E150" s="16" t="s">
        <v>311</v>
      </c>
      <c r="F150" s="16"/>
      <c r="G150" s="28">
        <v>0</v>
      </c>
      <c r="H150" s="28">
        <v>135</v>
      </c>
      <c r="I150" s="4">
        <f t="shared" si="2"/>
        <v>-38983.480000000229</v>
      </c>
    </row>
    <row r="151" spans="1:9" x14ac:dyDescent="0.3">
      <c r="A151" s="16" t="s">
        <v>816</v>
      </c>
      <c r="B151" s="16" t="s">
        <v>817</v>
      </c>
      <c r="C151" s="25">
        <v>45932</v>
      </c>
      <c r="D151" s="16" t="s">
        <v>305</v>
      </c>
      <c r="E151" s="16" t="s">
        <v>339</v>
      </c>
      <c r="F151" s="16"/>
      <c r="G151" s="28">
        <v>0</v>
      </c>
      <c r="H151" s="28">
        <v>5113.1400000000003</v>
      </c>
      <c r="I151" s="4">
        <f t="shared" si="2"/>
        <v>-44096.620000000228</v>
      </c>
    </row>
    <row r="152" spans="1:9" x14ac:dyDescent="0.3">
      <c r="A152" s="16" t="s">
        <v>816</v>
      </c>
      <c r="B152" s="16" t="s">
        <v>817</v>
      </c>
      <c r="C152" s="25">
        <v>45932</v>
      </c>
      <c r="D152" s="16" t="s">
        <v>305</v>
      </c>
      <c r="E152" s="16" t="s">
        <v>339</v>
      </c>
      <c r="F152" s="16"/>
      <c r="G152" s="28">
        <v>0</v>
      </c>
      <c r="H152" s="28">
        <v>3743.38</v>
      </c>
      <c r="I152" s="4">
        <f t="shared" si="2"/>
        <v>-47840.000000000226</v>
      </c>
    </row>
    <row r="153" spans="1:9" x14ac:dyDescent="0.3">
      <c r="A153" s="16" t="s">
        <v>816</v>
      </c>
      <c r="B153" s="16" t="s">
        <v>817</v>
      </c>
      <c r="C153" s="25">
        <v>45933</v>
      </c>
      <c r="D153" s="16" t="s">
        <v>305</v>
      </c>
      <c r="E153" s="16" t="s">
        <v>311</v>
      </c>
      <c r="F153" s="16"/>
      <c r="G153" s="28">
        <v>0</v>
      </c>
      <c r="H153" s="28">
        <v>97</v>
      </c>
      <c r="I153" s="4">
        <f t="shared" si="2"/>
        <v>-47937.000000000226</v>
      </c>
    </row>
    <row r="154" spans="1:9" x14ac:dyDescent="0.3">
      <c r="A154" s="16" t="s">
        <v>816</v>
      </c>
      <c r="B154" s="16" t="s">
        <v>817</v>
      </c>
      <c r="C154" s="25">
        <v>45933</v>
      </c>
      <c r="D154" s="16" t="s">
        <v>305</v>
      </c>
      <c r="E154" s="16" t="s">
        <v>311</v>
      </c>
      <c r="F154" s="16"/>
      <c r="G154" s="28">
        <v>0</v>
      </c>
      <c r="H154" s="28">
        <v>106</v>
      </c>
      <c r="I154" s="4">
        <f t="shared" si="2"/>
        <v>-48043.000000000226</v>
      </c>
    </row>
    <row r="155" spans="1:9" x14ac:dyDescent="0.3">
      <c r="A155" s="16" t="s">
        <v>816</v>
      </c>
      <c r="B155" s="16" t="s">
        <v>817</v>
      </c>
      <c r="C155" s="25">
        <v>45933</v>
      </c>
      <c r="D155" s="16" t="s">
        <v>305</v>
      </c>
      <c r="E155" s="16" t="s">
        <v>339</v>
      </c>
      <c r="F155" s="16"/>
      <c r="G155" s="28">
        <v>0</v>
      </c>
      <c r="H155" s="28">
        <v>35163.360000000001</v>
      </c>
      <c r="I155" s="4">
        <f t="shared" si="2"/>
        <v>-83206.360000000219</v>
      </c>
    </row>
    <row r="156" spans="1:9" x14ac:dyDescent="0.3">
      <c r="A156" s="16" t="s">
        <v>816</v>
      </c>
      <c r="B156" s="16" t="s">
        <v>817</v>
      </c>
      <c r="C156" s="25">
        <v>45933</v>
      </c>
      <c r="D156" s="16" t="s">
        <v>305</v>
      </c>
      <c r="E156" s="16" t="s">
        <v>339</v>
      </c>
      <c r="F156" s="16"/>
      <c r="G156" s="28">
        <v>0</v>
      </c>
      <c r="H156" s="28">
        <v>12196.47</v>
      </c>
      <c r="I156" s="4">
        <f t="shared" si="2"/>
        <v>-95402.83000000022</v>
      </c>
    </row>
    <row r="157" spans="1:9" x14ac:dyDescent="0.3">
      <c r="A157" s="16" t="s">
        <v>816</v>
      </c>
      <c r="B157" s="16" t="s">
        <v>817</v>
      </c>
      <c r="C157" s="25">
        <v>45933</v>
      </c>
      <c r="D157" s="16" t="s">
        <v>305</v>
      </c>
      <c r="E157" s="16" t="s">
        <v>339</v>
      </c>
      <c r="F157" s="16"/>
      <c r="G157" s="28">
        <v>0</v>
      </c>
      <c r="H157" s="28">
        <v>24421.09</v>
      </c>
      <c r="I157" s="4">
        <f t="shared" si="2"/>
        <v>-119823.92000000022</v>
      </c>
    </row>
    <row r="158" spans="1:9" x14ac:dyDescent="0.3">
      <c r="A158" s="16" t="s">
        <v>816</v>
      </c>
      <c r="B158" s="16" t="s">
        <v>817</v>
      </c>
      <c r="C158" s="25">
        <v>45933</v>
      </c>
      <c r="D158" s="16" t="s">
        <v>305</v>
      </c>
      <c r="E158" s="16" t="s">
        <v>339</v>
      </c>
      <c r="F158" s="16"/>
      <c r="G158" s="28">
        <v>0</v>
      </c>
      <c r="H158" s="28">
        <v>4081.13</v>
      </c>
      <c r="I158" s="4">
        <f t="shared" si="2"/>
        <v>-123905.05000000022</v>
      </c>
    </row>
    <row r="159" spans="1:9" x14ac:dyDescent="0.3">
      <c r="A159" s="16" t="s">
        <v>816</v>
      </c>
      <c r="B159" s="16" t="s">
        <v>817</v>
      </c>
      <c r="C159" s="25">
        <v>45936</v>
      </c>
      <c r="D159" s="16" t="s">
        <v>305</v>
      </c>
      <c r="E159" s="16" t="s">
        <v>311</v>
      </c>
      <c r="F159" s="16"/>
      <c r="G159" s="28">
        <v>0</v>
      </c>
      <c r="H159" s="28">
        <v>907</v>
      </c>
      <c r="I159" s="4">
        <f t="shared" si="2"/>
        <v>-124812.05000000022</v>
      </c>
    </row>
    <row r="160" spans="1:9" x14ac:dyDescent="0.3">
      <c r="A160" s="16" t="s">
        <v>816</v>
      </c>
      <c r="B160" s="16" t="s">
        <v>817</v>
      </c>
      <c r="C160" s="25">
        <v>45936</v>
      </c>
      <c r="D160" s="16" t="s">
        <v>305</v>
      </c>
      <c r="E160" s="16" t="s">
        <v>311</v>
      </c>
      <c r="F160" s="16"/>
      <c r="G160" s="28">
        <v>0</v>
      </c>
      <c r="H160" s="28">
        <v>627</v>
      </c>
      <c r="I160" s="4">
        <f t="shared" si="2"/>
        <v>-125439.05000000022</v>
      </c>
    </row>
    <row r="161" spans="1:9" x14ac:dyDescent="0.3">
      <c r="A161" s="16" t="s">
        <v>816</v>
      </c>
      <c r="B161" s="16" t="s">
        <v>817</v>
      </c>
      <c r="C161" s="25">
        <v>45936</v>
      </c>
      <c r="D161" s="16" t="s">
        <v>305</v>
      </c>
      <c r="E161" s="16" t="s">
        <v>311</v>
      </c>
      <c r="F161" s="16"/>
      <c r="G161" s="28">
        <v>0</v>
      </c>
      <c r="H161" s="28">
        <v>318</v>
      </c>
      <c r="I161" s="4">
        <f t="shared" si="2"/>
        <v>-125757.05000000022</v>
      </c>
    </row>
    <row r="162" spans="1:9" x14ac:dyDescent="0.3">
      <c r="A162" s="16" t="s">
        <v>816</v>
      </c>
      <c r="B162" s="16" t="s">
        <v>817</v>
      </c>
      <c r="C162" s="25">
        <v>45955</v>
      </c>
      <c r="D162" s="16" t="s">
        <v>305</v>
      </c>
      <c r="E162" s="16" t="s">
        <v>339</v>
      </c>
      <c r="F162" s="16"/>
      <c r="G162" s="28">
        <v>0</v>
      </c>
      <c r="H162" s="28">
        <v>10835</v>
      </c>
      <c r="I162" s="4">
        <f t="shared" si="2"/>
        <v>-136592.05000000022</v>
      </c>
    </row>
    <row r="163" spans="1:9" x14ac:dyDescent="0.3">
      <c r="A163" s="16" t="s">
        <v>816</v>
      </c>
      <c r="B163" s="16" t="s">
        <v>817</v>
      </c>
      <c r="C163" s="25">
        <v>45958</v>
      </c>
      <c r="D163" s="16" t="s">
        <v>305</v>
      </c>
      <c r="E163" s="16" t="s">
        <v>311</v>
      </c>
      <c r="F163" s="16"/>
      <c r="G163" s="28">
        <v>0</v>
      </c>
      <c r="H163" s="28">
        <v>3958</v>
      </c>
      <c r="I163" s="4">
        <f t="shared" si="2"/>
        <v>-140550.05000000022</v>
      </c>
    </row>
    <row r="164" spans="1:9" x14ac:dyDescent="0.3">
      <c r="A164" s="16" t="s">
        <v>816</v>
      </c>
      <c r="B164" s="16" t="s">
        <v>817</v>
      </c>
      <c r="C164" s="25">
        <v>45962</v>
      </c>
      <c r="D164" s="16" t="s">
        <v>305</v>
      </c>
      <c r="E164" s="16" t="s">
        <v>306</v>
      </c>
      <c r="F164" s="16" t="s">
        <v>882</v>
      </c>
      <c r="G164" s="28">
        <v>0</v>
      </c>
      <c r="H164" s="28">
        <v>35292.29</v>
      </c>
      <c r="I164" s="4">
        <f t="shared" si="2"/>
        <v>-175842.34000000023</v>
      </c>
    </row>
    <row r="165" spans="1:9" x14ac:dyDescent="0.3">
      <c r="A165" s="16" t="s">
        <v>816</v>
      </c>
      <c r="B165" s="16" t="s">
        <v>817</v>
      </c>
      <c r="C165" s="25">
        <v>45962</v>
      </c>
      <c r="D165" s="16" t="s">
        <v>305</v>
      </c>
      <c r="E165" s="16" t="s">
        <v>306</v>
      </c>
      <c r="F165" s="16" t="s">
        <v>883</v>
      </c>
      <c r="G165" s="28">
        <v>0</v>
      </c>
      <c r="H165" s="28">
        <v>12241.19</v>
      </c>
      <c r="I165" s="4">
        <f t="shared" si="2"/>
        <v>-188083.53000000023</v>
      </c>
    </row>
    <row r="166" spans="1:9" x14ac:dyDescent="0.3">
      <c r="A166" s="16" t="s">
        <v>816</v>
      </c>
      <c r="B166" s="16" t="s">
        <v>817</v>
      </c>
      <c r="C166" s="25">
        <v>45962</v>
      </c>
      <c r="D166" s="16" t="s">
        <v>305</v>
      </c>
      <c r="E166" s="16" t="s">
        <v>339</v>
      </c>
      <c r="F166" s="16"/>
      <c r="G166" s="28">
        <v>10835</v>
      </c>
      <c r="H166" s="28">
        <v>0</v>
      </c>
      <c r="I166" s="4">
        <f t="shared" si="2"/>
        <v>-177248.53000000023</v>
      </c>
    </row>
    <row r="167" spans="1:9" x14ac:dyDescent="0.3">
      <c r="A167" s="16" t="s">
        <v>816</v>
      </c>
      <c r="B167" s="16" t="s">
        <v>817</v>
      </c>
      <c r="C167" s="25">
        <v>45962</v>
      </c>
      <c r="D167" s="16" t="s">
        <v>305</v>
      </c>
      <c r="E167" s="16" t="s">
        <v>339</v>
      </c>
      <c r="F167" s="16"/>
      <c r="G167" s="28">
        <v>35163.360000000001</v>
      </c>
      <c r="H167" s="28">
        <v>0</v>
      </c>
      <c r="I167" s="4">
        <f t="shared" si="2"/>
        <v>-142085.17000000022</v>
      </c>
    </row>
    <row r="168" spans="1:9" x14ac:dyDescent="0.3">
      <c r="A168" s="16" t="s">
        <v>816</v>
      </c>
      <c r="B168" s="16" t="s">
        <v>817</v>
      </c>
      <c r="C168" s="25">
        <v>45962</v>
      </c>
      <c r="D168" s="16" t="s">
        <v>305</v>
      </c>
      <c r="E168" s="16" t="s">
        <v>339</v>
      </c>
      <c r="F168" s="16"/>
      <c r="G168" s="28">
        <v>4081.13</v>
      </c>
      <c r="H168" s="28">
        <v>0</v>
      </c>
      <c r="I168" s="4">
        <f t="shared" si="2"/>
        <v>-138004.04000000021</v>
      </c>
    </row>
    <row r="169" spans="1:9" x14ac:dyDescent="0.3">
      <c r="A169" s="16" t="s">
        <v>816</v>
      </c>
      <c r="B169" s="16" t="s">
        <v>817</v>
      </c>
      <c r="C169" s="25">
        <v>45962</v>
      </c>
      <c r="D169" s="16" t="s">
        <v>305</v>
      </c>
      <c r="E169" s="16" t="s">
        <v>339</v>
      </c>
      <c r="F169" s="16"/>
      <c r="G169" s="28">
        <v>5113.1400000000003</v>
      </c>
      <c r="H169" s="28">
        <v>0</v>
      </c>
      <c r="I169" s="4">
        <f t="shared" si="2"/>
        <v>-132890.9000000002</v>
      </c>
    </row>
    <row r="170" spans="1:9" x14ac:dyDescent="0.3">
      <c r="A170" s="16" t="s">
        <v>816</v>
      </c>
      <c r="B170" s="16" t="s">
        <v>817</v>
      </c>
      <c r="C170" s="25">
        <v>45962</v>
      </c>
      <c r="D170" s="16" t="s">
        <v>305</v>
      </c>
      <c r="E170" s="16" t="s">
        <v>339</v>
      </c>
      <c r="F170" s="16"/>
      <c r="G170" s="28">
        <v>19861.48</v>
      </c>
      <c r="H170" s="28">
        <v>0</v>
      </c>
      <c r="I170" s="4">
        <f t="shared" si="2"/>
        <v>-113029.4200000002</v>
      </c>
    </row>
    <row r="171" spans="1:9" x14ac:dyDescent="0.3">
      <c r="A171" s="16" t="s">
        <v>816</v>
      </c>
      <c r="B171" s="16" t="s">
        <v>817</v>
      </c>
      <c r="C171" s="25">
        <v>45962</v>
      </c>
      <c r="D171" s="16" t="s">
        <v>318</v>
      </c>
      <c r="E171" s="16" t="s">
        <v>319</v>
      </c>
      <c r="F171" s="16"/>
      <c r="G171" s="28">
        <v>72.819999999999993</v>
      </c>
      <c r="H171" s="28">
        <v>0</v>
      </c>
      <c r="I171" s="4">
        <f t="shared" si="2"/>
        <v>-112956.60000000019</v>
      </c>
    </row>
    <row r="172" spans="1:9" x14ac:dyDescent="0.3">
      <c r="A172" s="16" t="s">
        <v>816</v>
      </c>
      <c r="B172" s="16" t="s">
        <v>817</v>
      </c>
      <c r="C172" s="25">
        <v>45962</v>
      </c>
      <c r="D172" s="16" t="s">
        <v>318</v>
      </c>
      <c r="E172" s="16" t="s">
        <v>319</v>
      </c>
      <c r="F172" s="16"/>
      <c r="G172" s="28">
        <v>18.739999999999998</v>
      </c>
      <c r="H172" s="28">
        <v>0</v>
      </c>
      <c r="I172" s="4">
        <f t="shared" si="2"/>
        <v>-112937.86000000019</v>
      </c>
    </row>
    <row r="173" spans="1:9" x14ac:dyDescent="0.3">
      <c r="A173" s="16" t="s">
        <v>816</v>
      </c>
      <c r="B173" s="16" t="s">
        <v>817</v>
      </c>
      <c r="C173" s="25">
        <v>45962</v>
      </c>
      <c r="D173" s="16" t="s">
        <v>318</v>
      </c>
      <c r="E173" s="16" t="s">
        <v>319</v>
      </c>
      <c r="F173" s="16"/>
      <c r="G173" s="28">
        <v>14.96</v>
      </c>
      <c r="H173" s="28">
        <v>0</v>
      </c>
      <c r="I173" s="4">
        <f t="shared" si="2"/>
        <v>-112922.90000000018</v>
      </c>
    </row>
    <row r="174" spans="1:9" x14ac:dyDescent="0.3">
      <c r="A174" s="16" t="s">
        <v>816</v>
      </c>
      <c r="B174" s="16" t="s">
        <v>817</v>
      </c>
      <c r="C174" s="25">
        <v>45962</v>
      </c>
      <c r="D174" s="16" t="s">
        <v>318</v>
      </c>
      <c r="E174" s="16" t="s">
        <v>319</v>
      </c>
      <c r="F174" s="16"/>
      <c r="G174" s="28">
        <v>128.93</v>
      </c>
      <c r="H174" s="28">
        <v>0</v>
      </c>
      <c r="I174" s="4">
        <f t="shared" si="2"/>
        <v>-112793.97000000019</v>
      </c>
    </row>
    <row r="175" spans="1:9" x14ac:dyDescent="0.3">
      <c r="A175" s="16" t="s">
        <v>816</v>
      </c>
      <c r="B175" s="16" t="s">
        <v>817</v>
      </c>
      <c r="C175" s="25">
        <v>45962</v>
      </c>
      <c r="D175" s="16" t="s">
        <v>305</v>
      </c>
      <c r="E175" s="16" t="s">
        <v>339</v>
      </c>
      <c r="F175" s="16"/>
      <c r="G175" s="28">
        <v>12196.47</v>
      </c>
      <c r="H175" s="28">
        <v>0</v>
      </c>
      <c r="I175" s="4">
        <f t="shared" si="2"/>
        <v>-100597.50000000019</v>
      </c>
    </row>
    <row r="176" spans="1:9" x14ac:dyDescent="0.3">
      <c r="A176" s="16" t="s">
        <v>816</v>
      </c>
      <c r="B176" s="16" t="s">
        <v>817</v>
      </c>
      <c r="C176" s="25">
        <v>45962</v>
      </c>
      <c r="D176" s="16" t="s">
        <v>318</v>
      </c>
      <c r="E176" s="16" t="s">
        <v>319</v>
      </c>
      <c r="F176" s="16"/>
      <c r="G176" s="28">
        <v>44.72</v>
      </c>
      <c r="H176" s="28">
        <v>0</v>
      </c>
      <c r="I176" s="4">
        <f t="shared" si="2"/>
        <v>-100552.78000000019</v>
      </c>
    </row>
    <row r="177" spans="1:9" x14ac:dyDescent="0.3">
      <c r="A177" s="16" t="s">
        <v>816</v>
      </c>
      <c r="B177" s="16" t="s">
        <v>817</v>
      </c>
      <c r="C177" s="25">
        <v>45962</v>
      </c>
      <c r="D177" s="16" t="s">
        <v>305</v>
      </c>
      <c r="E177" s="16" t="s">
        <v>306</v>
      </c>
      <c r="F177" s="16" t="s">
        <v>884</v>
      </c>
      <c r="G177" s="28">
        <v>0</v>
      </c>
      <c r="H177" s="28">
        <v>10835</v>
      </c>
      <c r="I177" s="4">
        <f t="shared" si="2"/>
        <v>-111387.78000000019</v>
      </c>
    </row>
    <row r="178" spans="1:9" x14ac:dyDescent="0.3">
      <c r="A178" s="16" t="s">
        <v>816</v>
      </c>
      <c r="B178" s="16" t="s">
        <v>817</v>
      </c>
      <c r="C178" s="25">
        <v>45962</v>
      </c>
      <c r="D178" s="16" t="s">
        <v>305</v>
      </c>
      <c r="E178" s="16" t="s">
        <v>306</v>
      </c>
      <c r="F178" s="16" t="s">
        <v>873</v>
      </c>
      <c r="G178" s="28">
        <v>0</v>
      </c>
      <c r="H178" s="28">
        <v>29000</v>
      </c>
      <c r="I178" s="4">
        <f t="shared" si="2"/>
        <v>-140387.7800000002</v>
      </c>
    </row>
    <row r="179" spans="1:9" x14ac:dyDescent="0.3">
      <c r="A179" s="16" t="s">
        <v>816</v>
      </c>
      <c r="B179" s="16" t="s">
        <v>817</v>
      </c>
      <c r="C179" s="25">
        <v>45962</v>
      </c>
      <c r="D179" s="16" t="s">
        <v>305</v>
      </c>
      <c r="E179" s="16" t="s">
        <v>306</v>
      </c>
      <c r="F179" s="16" t="s">
        <v>885</v>
      </c>
      <c r="G179" s="28">
        <v>0</v>
      </c>
      <c r="H179" s="28">
        <v>19934.3</v>
      </c>
      <c r="I179" s="4">
        <f t="shared" si="2"/>
        <v>-160322.08000000019</v>
      </c>
    </row>
    <row r="180" spans="1:9" x14ac:dyDescent="0.3">
      <c r="A180" s="16" t="s">
        <v>816</v>
      </c>
      <c r="B180" s="16" t="s">
        <v>817</v>
      </c>
      <c r="C180" s="25">
        <v>45962</v>
      </c>
      <c r="D180" s="16" t="s">
        <v>305</v>
      </c>
      <c r="E180" s="16" t="s">
        <v>306</v>
      </c>
      <c r="F180" s="16" t="s">
        <v>886</v>
      </c>
      <c r="G180" s="28">
        <v>0</v>
      </c>
      <c r="H180" s="28">
        <v>5131.88</v>
      </c>
      <c r="I180" s="4">
        <f t="shared" si="2"/>
        <v>-165453.9600000002</v>
      </c>
    </row>
    <row r="181" spans="1:9" x14ac:dyDescent="0.3">
      <c r="A181" s="16" t="s">
        <v>816</v>
      </c>
      <c r="B181" s="16" t="s">
        <v>817</v>
      </c>
      <c r="C181" s="25">
        <v>45962</v>
      </c>
      <c r="D181" s="16" t="s">
        <v>305</v>
      </c>
      <c r="E181" s="16" t="s">
        <v>306</v>
      </c>
      <c r="F181" s="16" t="s">
        <v>886</v>
      </c>
      <c r="G181" s="28">
        <v>0</v>
      </c>
      <c r="H181" s="28">
        <v>4096.09</v>
      </c>
      <c r="I181" s="4">
        <f t="shared" si="2"/>
        <v>-169550.05000000019</v>
      </c>
    </row>
    <row r="182" spans="1:9" x14ac:dyDescent="0.3">
      <c r="A182" s="16" t="s">
        <v>816</v>
      </c>
      <c r="B182" s="16" t="s">
        <v>817</v>
      </c>
      <c r="C182" s="25">
        <v>45964</v>
      </c>
      <c r="D182" s="16" t="s">
        <v>305</v>
      </c>
      <c r="E182" s="16" t="s">
        <v>339</v>
      </c>
      <c r="F182" s="16"/>
      <c r="G182" s="28">
        <v>0</v>
      </c>
      <c r="H182" s="28">
        <v>16500</v>
      </c>
      <c r="I182" s="4">
        <f t="shared" si="2"/>
        <v>-186050.05000000019</v>
      </c>
    </row>
    <row r="183" spans="1:9" x14ac:dyDescent="0.3">
      <c r="A183" s="16" t="s">
        <v>816</v>
      </c>
      <c r="B183" s="16" t="s">
        <v>817</v>
      </c>
      <c r="C183" s="25">
        <v>45966</v>
      </c>
      <c r="D183" s="16" t="s">
        <v>305</v>
      </c>
      <c r="E183" s="16" t="s">
        <v>339</v>
      </c>
      <c r="F183" s="16"/>
      <c r="G183" s="28">
        <v>0</v>
      </c>
      <c r="H183" s="28">
        <v>23400</v>
      </c>
      <c r="I183" s="4">
        <f t="shared" si="2"/>
        <v>-209450.05000000019</v>
      </c>
    </row>
    <row r="184" spans="1:9" x14ac:dyDescent="0.3">
      <c r="A184" s="16" t="s">
        <v>816</v>
      </c>
      <c r="B184" s="16" t="s">
        <v>817</v>
      </c>
      <c r="C184" s="25">
        <v>45967</v>
      </c>
      <c r="D184" s="16" t="s">
        <v>305</v>
      </c>
      <c r="E184" s="16" t="s">
        <v>339</v>
      </c>
      <c r="F184" s="16"/>
      <c r="G184" s="28">
        <v>0</v>
      </c>
      <c r="H184" s="28">
        <v>139700</v>
      </c>
      <c r="I184" s="4">
        <f t="shared" si="2"/>
        <v>-349150.05000000016</v>
      </c>
    </row>
    <row r="185" spans="1:9" x14ac:dyDescent="0.3">
      <c r="A185" s="16" t="s">
        <v>816</v>
      </c>
      <c r="B185" s="16" t="s">
        <v>817</v>
      </c>
      <c r="C185" s="25">
        <v>45972</v>
      </c>
      <c r="D185" s="16" t="s">
        <v>305</v>
      </c>
      <c r="E185" s="16" t="s">
        <v>339</v>
      </c>
      <c r="F185" s="16"/>
      <c r="G185" s="28">
        <v>0</v>
      </c>
      <c r="H185" s="28">
        <v>115170</v>
      </c>
      <c r="I185" s="4">
        <f t="shared" si="2"/>
        <v>-464320.05000000016</v>
      </c>
    </row>
    <row r="186" spans="1:9" x14ac:dyDescent="0.3">
      <c r="A186" s="16" t="s">
        <v>816</v>
      </c>
      <c r="B186" s="16" t="s">
        <v>817</v>
      </c>
      <c r="C186" s="25">
        <v>45972</v>
      </c>
      <c r="D186" s="16" t="s">
        <v>305</v>
      </c>
      <c r="E186" s="16" t="s">
        <v>339</v>
      </c>
      <c r="F186" s="16"/>
      <c r="G186" s="28">
        <v>0</v>
      </c>
      <c r="H186" s="28">
        <v>13600</v>
      </c>
      <c r="I186" s="4">
        <f t="shared" si="2"/>
        <v>-477920.05000000016</v>
      </c>
    </row>
    <row r="187" spans="1:9" x14ac:dyDescent="0.3">
      <c r="A187" s="16" t="s">
        <v>816</v>
      </c>
      <c r="B187" s="16" t="s">
        <v>817</v>
      </c>
      <c r="C187" s="25">
        <v>45972</v>
      </c>
      <c r="D187" s="16" t="s">
        <v>305</v>
      </c>
      <c r="E187" s="16" t="s">
        <v>339</v>
      </c>
      <c r="F187" s="16"/>
      <c r="G187" s="28">
        <v>0</v>
      </c>
      <c r="H187" s="28">
        <v>3600</v>
      </c>
      <c r="I187" s="4">
        <f t="shared" si="2"/>
        <v>-481520.05000000016</v>
      </c>
    </row>
    <row r="188" spans="1:9" x14ac:dyDescent="0.3">
      <c r="A188" s="16" t="s">
        <v>816</v>
      </c>
      <c r="B188" s="16" t="s">
        <v>817</v>
      </c>
      <c r="C188" s="25">
        <v>45974</v>
      </c>
      <c r="D188" s="16" t="s">
        <v>308</v>
      </c>
      <c r="E188" s="16" t="s">
        <v>824</v>
      </c>
      <c r="F188" s="16" t="s">
        <v>887</v>
      </c>
      <c r="G188" s="28">
        <v>46495</v>
      </c>
      <c r="H188" s="28">
        <v>0</v>
      </c>
      <c r="I188" s="4">
        <f t="shared" si="2"/>
        <v>-435025.05000000016</v>
      </c>
    </row>
    <row r="189" spans="1:9" x14ac:dyDescent="0.3">
      <c r="A189" s="16" t="s">
        <v>816</v>
      </c>
      <c r="B189" s="16" t="s">
        <v>817</v>
      </c>
      <c r="C189" s="25">
        <v>45974</v>
      </c>
      <c r="D189" s="16" t="s">
        <v>305</v>
      </c>
      <c r="E189" s="16" t="s">
        <v>339</v>
      </c>
      <c r="F189" s="16"/>
      <c r="G189" s="28">
        <v>0</v>
      </c>
      <c r="H189" s="28">
        <v>24200</v>
      </c>
      <c r="I189" s="4">
        <f t="shared" si="2"/>
        <v>-459225.05000000016</v>
      </c>
    </row>
    <row r="190" spans="1:9" x14ac:dyDescent="0.3">
      <c r="A190" s="16" t="s">
        <v>816</v>
      </c>
      <c r="B190" s="16" t="s">
        <v>817</v>
      </c>
      <c r="C190" s="25">
        <v>45974</v>
      </c>
      <c r="D190" s="16" t="s">
        <v>305</v>
      </c>
      <c r="E190" s="16" t="s">
        <v>339</v>
      </c>
      <c r="F190" s="16"/>
      <c r="G190" s="28">
        <v>0</v>
      </c>
      <c r="H190" s="28">
        <v>2600</v>
      </c>
      <c r="I190" s="4">
        <f t="shared" si="2"/>
        <v>-461825.05000000016</v>
      </c>
    </row>
    <row r="191" spans="1:9" x14ac:dyDescent="0.3">
      <c r="A191" s="16" t="s">
        <v>816</v>
      </c>
      <c r="B191" s="16" t="s">
        <v>817</v>
      </c>
      <c r="C191" s="25">
        <v>45974</v>
      </c>
      <c r="D191" s="16" t="s">
        <v>305</v>
      </c>
      <c r="E191" s="16" t="s">
        <v>339</v>
      </c>
      <c r="F191" s="16"/>
      <c r="G191" s="28">
        <v>0</v>
      </c>
      <c r="H191" s="28">
        <v>8400</v>
      </c>
      <c r="I191" s="4">
        <f t="shared" si="2"/>
        <v>-470225.05000000016</v>
      </c>
    </row>
    <row r="192" spans="1:9" x14ac:dyDescent="0.3">
      <c r="A192" s="16" t="s">
        <v>816</v>
      </c>
      <c r="B192" s="16" t="s">
        <v>817</v>
      </c>
      <c r="C192" s="25">
        <v>45974</v>
      </c>
      <c r="D192" s="16" t="s">
        <v>305</v>
      </c>
      <c r="E192" s="16" t="s">
        <v>339</v>
      </c>
      <c r="F192" s="16"/>
      <c r="G192" s="28">
        <v>0</v>
      </c>
      <c r="H192" s="28">
        <v>2600</v>
      </c>
      <c r="I192" s="4">
        <f t="shared" si="2"/>
        <v>-472825.05000000016</v>
      </c>
    </row>
    <row r="193" spans="1:9" x14ac:dyDescent="0.3">
      <c r="A193" s="16" t="s">
        <v>816</v>
      </c>
      <c r="B193" s="16" t="s">
        <v>817</v>
      </c>
      <c r="C193" s="25">
        <v>45974</v>
      </c>
      <c r="D193" s="16" t="s">
        <v>305</v>
      </c>
      <c r="E193" s="16" t="s">
        <v>339</v>
      </c>
      <c r="F193" s="16"/>
      <c r="G193" s="28">
        <v>0</v>
      </c>
      <c r="H193" s="28">
        <v>29000</v>
      </c>
      <c r="I193" s="4">
        <f t="shared" si="2"/>
        <v>-501825.05000000016</v>
      </c>
    </row>
    <row r="194" spans="1:9" x14ac:dyDescent="0.3">
      <c r="A194" s="16" t="s">
        <v>816</v>
      </c>
      <c r="B194" s="16" t="s">
        <v>817</v>
      </c>
      <c r="C194" s="25">
        <v>45974</v>
      </c>
      <c r="D194" s="16" t="s">
        <v>305</v>
      </c>
      <c r="E194" s="16" t="s">
        <v>311</v>
      </c>
      <c r="F194" s="16"/>
      <c r="G194" s="28">
        <v>0</v>
      </c>
      <c r="H194" s="28">
        <v>1985</v>
      </c>
      <c r="I194" s="4">
        <f t="shared" si="2"/>
        <v>-503810.05000000016</v>
      </c>
    </row>
    <row r="195" spans="1:9" x14ac:dyDescent="0.3">
      <c r="A195" s="16" t="s">
        <v>816</v>
      </c>
      <c r="B195" s="16" t="s">
        <v>817</v>
      </c>
      <c r="C195" s="25">
        <v>45987</v>
      </c>
      <c r="D195" s="16" t="s">
        <v>305</v>
      </c>
      <c r="E195" s="16" t="s">
        <v>311</v>
      </c>
      <c r="F195" s="16"/>
      <c r="G195" s="28">
        <v>0</v>
      </c>
      <c r="H195" s="28">
        <v>2979</v>
      </c>
      <c r="I195" s="4">
        <f t="shared" si="2"/>
        <v>-506789.05000000016</v>
      </c>
    </row>
    <row r="196" spans="1:9" x14ac:dyDescent="0.3">
      <c r="A196" s="16" t="s">
        <v>816</v>
      </c>
      <c r="B196" s="16" t="s">
        <v>817</v>
      </c>
      <c r="C196" s="25">
        <v>45987</v>
      </c>
      <c r="D196" s="16" t="s">
        <v>305</v>
      </c>
      <c r="E196" s="16" t="s">
        <v>311</v>
      </c>
      <c r="F196" s="16"/>
      <c r="G196" s="28">
        <v>0</v>
      </c>
      <c r="H196" s="28">
        <v>3964</v>
      </c>
      <c r="I196" s="4">
        <f t="shared" ref="I196:I234" si="3">I195+G196-H196</f>
        <v>-510753.05000000016</v>
      </c>
    </row>
    <row r="197" spans="1:9" x14ac:dyDescent="0.3">
      <c r="A197" s="16" t="s">
        <v>816</v>
      </c>
      <c r="B197" s="16" t="s">
        <v>817</v>
      </c>
      <c r="C197" s="25">
        <v>45987</v>
      </c>
      <c r="D197" s="16" t="s">
        <v>305</v>
      </c>
      <c r="E197" s="16" t="s">
        <v>311</v>
      </c>
      <c r="F197" s="16"/>
      <c r="G197" s="28">
        <v>0</v>
      </c>
      <c r="H197" s="28">
        <v>71</v>
      </c>
      <c r="I197" s="4">
        <f t="shared" si="3"/>
        <v>-510824.05000000016</v>
      </c>
    </row>
    <row r="198" spans="1:9" x14ac:dyDescent="0.3">
      <c r="A198" s="16" t="s">
        <v>816</v>
      </c>
      <c r="B198" s="16" t="s">
        <v>817</v>
      </c>
      <c r="C198" s="25">
        <v>45992</v>
      </c>
      <c r="D198" s="16" t="s">
        <v>305</v>
      </c>
      <c r="E198" s="16" t="s">
        <v>339</v>
      </c>
      <c r="F198" s="16"/>
      <c r="G198" s="28">
        <v>0</v>
      </c>
      <c r="H198" s="28">
        <v>33605</v>
      </c>
      <c r="I198" s="4">
        <f t="shared" si="3"/>
        <v>-544429.05000000016</v>
      </c>
    </row>
    <row r="199" spans="1:9" x14ac:dyDescent="0.3">
      <c r="A199" s="16" t="s">
        <v>816</v>
      </c>
      <c r="B199" s="16" t="s">
        <v>817</v>
      </c>
      <c r="C199" s="25">
        <v>45992</v>
      </c>
      <c r="D199" s="16" t="s">
        <v>305</v>
      </c>
      <c r="E199" s="16" t="s">
        <v>339</v>
      </c>
      <c r="F199" s="16"/>
      <c r="G199" s="28">
        <v>0</v>
      </c>
      <c r="H199" s="28">
        <v>12082</v>
      </c>
      <c r="I199" s="4">
        <f t="shared" si="3"/>
        <v>-556511.05000000016</v>
      </c>
    </row>
    <row r="200" spans="1:9" x14ac:dyDescent="0.3">
      <c r="A200" s="16" t="s">
        <v>816</v>
      </c>
      <c r="B200" s="16" t="s">
        <v>817</v>
      </c>
      <c r="C200" s="25">
        <v>45992</v>
      </c>
      <c r="D200" s="16" t="s">
        <v>305</v>
      </c>
      <c r="E200" s="16" t="s">
        <v>339</v>
      </c>
      <c r="F200" s="16"/>
      <c r="G200" s="28">
        <v>0</v>
      </c>
      <c r="H200" s="28">
        <v>2906</v>
      </c>
      <c r="I200" s="4">
        <f t="shared" si="3"/>
        <v>-559417.05000000016</v>
      </c>
    </row>
    <row r="201" spans="1:9" x14ac:dyDescent="0.3">
      <c r="A201" s="16" t="s">
        <v>816</v>
      </c>
      <c r="B201" s="16" t="s">
        <v>817</v>
      </c>
      <c r="C201" s="25">
        <v>45992</v>
      </c>
      <c r="D201" s="16" t="s">
        <v>305</v>
      </c>
      <c r="E201" s="16" t="s">
        <v>311</v>
      </c>
      <c r="F201" s="16"/>
      <c r="G201" s="28">
        <v>0</v>
      </c>
      <c r="H201" s="28">
        <v>860</v>
      </c>
      <c r="I201" s="4">
        <f t="shared" si="3"/>
        <v>-560277.05000000016</v>
      </c>
    </row>
    <row r="202" spans="1:9" x14ac:dyDescent="0.3">
      <c r="A202" s="16" t="s">
        <v>816</v>
      </c>
      <c r="B202" s="16" t="s">
        <v>817</v>
      </c>
      <c r="C202" s="25">
        <v>45992</v>
      </c>
      <c r="D202" s="16" t="s">
        <v>305</v>
      </c>
      <c r="E202" s="16" t="s">
        <v>339</v>
      </c>
      <c r="F202" s="16"/>
      <c r="G202" s="28">
        <v>0</v>
      </c>
      <c r="H202" s="28">
        <v>4860.0600000000004</v>
      </c>
      <c r="I202" s="4">
        <f t="shared" si="3"/>
        <v>-565137.11000000022</v>
      </c>
    </row>
    <row r="203" spans="1:9" x14ac:dyDescent="0.3">
      <c r="A203" s="16" t="s">
        <v>816</v>
      </c>
      <c r="B203" s="16" t="s">
        <v>817</v>
      </c>
      <c r="C203" s="25">
        <v>45992</v>
      </c>
      <c r="D203" s="16" t="s">
        <v>305</v>
      </c>
      <c r="E203" s="16" t="s">
        <v>339</v>
      </c>
      <c r="F203" s="16"/>
      <c r="G203" s="28">
        <v>0</v>
      </c>
      <c r="H203" s="28">
        <v>33667.49</v>
      </c>
      <c r="I203" s="4">
        <f t="shared" si="3"/>
        <v>-598804.60000000021</v>
      </c>
    </row>
    <row r="204" spans="1:9" x14ac:dyDescent="0.3">
      <c r="A204" s="16" t="s">
        <v>816</v>
      </c>
      <c r="B204" s="16" t="s">
        <v>817</v>
      </c>
      <c r="C204" s="25">
        <v>45993</v>
      </c>
      <c r="D204" s="16" t="s">
        <v>305</v>
      </c>
      <c r="E204" s="16" t="s">
        <v>311</v>
      </c>
      <c r="F204" s="16"/>
      <c r="G204" s="28">
        <v>0</v>
      </c>
      <c r="H204" s="28">
        <v>120</v>
      </c>
      <c r="I204" s="4">
        <f t="shared" si="3"/>
        <v>-598924.60000000021</v>
      </c>
    </row>
    <row r="205" spans="1:9" x14ac:dyDescent="0.3">
      <c r="A205" s="16" t="s">
        <v>816</v>
      </c>
      <c r="B205" s="16" t="s">
        <v>817</v>
      </c>
      <c r="C205" s="25">
        <v>45993</v>
      </c>
      <c r="D205" s="16" t="s">
        <v>305</v>
      </c>
      <c r="E205" s="16" t="s">
        <v>339</v>
      </c>
      <c r="F205" s="16"/>
      <c r="G205" s="28">
        <v>0</v>
      </c>
      <c r="H205" s="28">
        <v>6833.05</v>
      </c>
      <c r="I205" s="4">
        <f t="shared" si="3"/>
        <v>-605757.65000000026</v>
      </c>
    </row>
    <row r="206" spans="1:9" x14ac:dyDescent="0.3">
      <c r="A206" s="16" t="s">
        <v>816</v>
      </c>
      <c r="B206" s="16" t="s">
        <v>817</v>
      </c>
      <c r="C206" s="25">
        <v>45993</v>
      </c>
      <c r="D206" s="16" t="s">
        <v>305</v>
      </c>
      <c r="E206" s="16" t="s">
        <v>339</v>
      </c>
      <c r="F206" s="16"/>
      <c r="G206" s="28">
        <v>0</v>
      </c>
      <c r="H206" s="28">
        <v>5285.43</v>
      </c>
      <c r="I206" s="4">
        <f t="shared" si="3"/>
        <v>-611043.08000000031</v>
      </c>
    </row>
    <row r="207" spans="1:9" x14ac:dyDescent="0.3">
      <c r="A207" s="16" t="s">
        <v>816</v>
      </c>
      <c r="B207" s="16" t="s">
        <v>817</v>
      </c>
      <c r="C207" s="25">
        <v>45993</v>
      </c>
      <c r="D207" s="16" t="s">
        <v>305</v>
      </c>
      <c r="E207" s="16" t="s">
        <v>339</v>
      </c>
      <c r="F207" s="16"/>
      <c r="G207" s="28">
        <v>0</v>
      </c>
      <c r="H207" s="28">
        <v>4190.33</v>
      </c>
      <c r="I207" s="4">
        <f t="shared" si="3"/>
        <v>-615233.41000000027</v>
      </c>
    </row>
    <row r="208" spans="1:9" x14ac:dyDescent="0.3">
      <c r="A208" s="16" t="s">
        <v>816</v>
      </c>
      <c r="B208" s="16" t="s">
        <v>817</v>
      </c>
      <c r="C208" s="25">
        <v>45994</v>
      </c>
      <c r="D208" s="16" t="s">
        <v>305</v>
      </c>
      <c r="E208" s="16" t="s">
        <v>311</v>
      </c>
      <c r="F208" s="16"/>
      <c r="G208" s="28">
        <v>0</v>
      </c>
      <c r="H208" s="28">
        <v>176</v>
      </c>
      <c r="I208" s="4">
        <f t="shared" si="3"/>
        <v>-615409.41000000027</v>
      </c>
    </row>
    <row r="209" spans="1:9" x14ac:dyDescent="0.3">
      <c r="A209" s="16" t="s">
        <v>816</v>
      </c>
      <c r="B209" s="16" t="s">
        <v>817</v>
      </c>
      <c r="C209" s="25">
        <v>45994</v>
      </c>
      <c r="D209" s="16" t="s">
        <v>305</v>
      </c>
      <c r="E209" s="16" t="s">
        <v>311</v>
      </c>
      <c r="F209" s="16"/>
      <c r="G209" s="28">
        <v>0</v>
      </c>
      <c r="H209" s="28">
        <v>139</v>
      </c>
      <c r="I209" s="4">
        <f t="shared" si="3"/>
        <v>-615548.41000000027</v>
      </c>
    </row>
    <row r="210" spans="1:9" x14ac:dyDescent="0.3">
      <c r="A210" s="16" t="s">
        <v>816</v>
      </c>
      <c r="B210" s="16" t="s">
        <v>817</v>
      </c>
      <c r="C210" s="25">
        <v>45994</v>
      </c>
      <c r="D210" s="16" t="s">
        <v>305</v>
      </c>
      <c r="E210" s="16" t="s">
        <v>311</v>
      </c>
      <c r="F210" s="16"/>
      <c r="G210" s="28">
        <v>0</v>
      </c>
      <c r="H210" s="28">
        <v>111</v>
      </c>
      <c r="I210" s="4">
        <f t="shared" si="3"/>
        <v>-615659.41000000027</v>
      </c>
    </row>
    <row r="211" spans="1:9" x14ac:dyDescent="0.3">
      <c r="A211" s="16" t="s">
        <v>816</v>
      </c>
      <c r="B211" s="16" t="s">
        <v>817</v>
      </c>
      <c r="C211" s="25">
        <v>45994</v>
      </c>
      <c r="D211" s="16" t="s">
        <v>305</v>
      </c>
      <c r="E211" s="16" t="s">
        <v>339</v>
      </c>
      <c r="F211" s="16"/>
      <c r="G211" s="28">
        <v>0</v>
      </c>
      <c r="H211" s="28">
        <v>5638.4</v>
      </c>
      <c r="I211" s="4">
        <f t="shared" si="3"/>
        <v>-621297.81000000029</v>
      </c>
    </row>
    <row r="212" spans="1:9" x14ac:dyDescent="0.3">
      <c r="A212" s="16" t="s">
        <v>816</v>
      </c>
      <c r="B212" s="16" t="s">
        <v>817</v>
      </c>
      <c r="C212" s="25">
        <v>45994</v>
      </c>
      <c r="D212" s="16" t="s">
        <v>305</v>
      </c>
      <c r="E212" s="16" t="s">
        <v>339</v>
      </c>
      <c r="F212" s="16"/>
      <c r="G212" s="28">
        <v>0</v>
      </c>
      <c r="H212" s="28">
        <v>7294.62</v>
      </c>
      <c r="I212" s="4">
        <f t="shared" si="3"/>
        <v>-628592.43000000028</v>
      </c>
    </row>
    <row r="213" spans="1:9" x14ac:dyDescent="0.3">
      <c r="A213" s="16" t="s">
        <v>816</v>
      </c>
      <c r="B213" s="16" t="s">
        <v>817</v>
      </c>
      <c r="C213" s="25">
        <v>45995</v>
      </c>
      <c r="D213" s="16" t="s">
        <v>305</v>
      </c>
      <c r="E213" s="16" t="s">
        <v>311</v>
      </c>
      <c r="F213" s="16"/>
      <c r="G213" s="28">
        <v>0</v>
      </c>
      <c r="H213" s="28">
        <v>185</v>
      </c>
      <c r="I213" s="4">
        <f t="shared" si="3"/>
        <v>-628777.43000000028</v>
      </c>
    </row>
    <row r="214" spans="1:9" x14ac:dyDescent="0.3">
      <c r="A214" s="16" t="s">
        <v>816</v>
      </c>
      <c r="B214" s="16" t="s">
        <v>817</v>
      </c>
      <c r="C214" s="25">
        <v>45995</v>
      </c>
      <c r="D214" s="16" t="s">
        <v>305</v>
      </c>
      <c r="E214" s="16" t="s">
        <v>339</v>
      </c>
      <c r="F214" s="16"/>
      <c r="G214" s="28">
        <v>0</v>
      </c>
      <c r="H214" s="28">
        <v>4362.29</v>
      </c>
      <c r="I214" s="4">
        <f t="shared" si="3"/>
        <v>-633139.72000000032</v>
      </c>
    </row>
    <row r="215" spans="1:9" x14ac:dyDescent="0.3">
      <c r="A215" s="16" t="s">
        <v>816</v>
      </c>
      <c r="B215" s="16" t="s">
        <v>817</v>
      </c>
      <c r="C215" s="25">
        <v>45996</v>
      </c>
      <c r="D215" s="16" t="s">
        <v>305</v>
      </c>
      <c r="E215" s="16" t="s">
        <v>311</v>
      </c>
      <c r="F215" s="16"/>
      <c r="G215" s="28">
        <v>0</v>
      </c>
      <c r="H215" s="28">
        <v>148</v>
      </c>
      <c r="I215" s="4">
        <f t="shared" si="3"/>
        <v>-633287.72000000032</v>
      </c>
    </row>
    <row r="216" spans="1:9" x14ac:dyDescent="0.3">
      <c r="A216" s="16" t="s">
        <v>816</v>
      </c>
      <c r="B216" s="16" t="s">
        <v>817</v>
      </c>
      <c r="C216" s="25">
        <v>45996</v>
      </c>
      <c r="D216" s="16" t="s">
        <v>305</v>
      </c>
      <c r="E216" s="16" t="s">
        <v>311</v>
      </c>
      <c r="F216" s="16"/>
      <c r="G216" s="28">
        <v>0</v>
      </c>
      <c r="H216" s="28">
        <v>111</v>
      </c>
      <c r="I216" s="4">
        <f t="shared" si="3"/>
        <v>-633398.72000000032</v>
      </c>
    </row>
    <row r="217" spans="1:9" x14ac:dyDescent="0.3">
      <c r="A217" s="16" t="s">
        <v>816</v>
      </c>
      <c r="B217" s="16" t="s">
        <v>817</v>
      </c>
      <c r="C217" s="25">
        <v>45996</v>
      </c>
      <c r="D217" s="16" t="s">
        <v>305</v>
      </c>
      <c r="E217" s="16" t="s">
        <v>339</v>
      </c>
      <c r="F217" s="16"/>
      <c r="G217" s="28">
        <v>0</v>
      </c>
      <c r="H217" s="28">
        <v>4887.22</v>
      </c>
      <c r="I217" s="4">
        <f t="shared" si="3"/>
        <v>-638285.94000000029</v>
      </c>
    </row>
    <row r="218" spans="1:9" x14ac:dyDescent="0.3">
      <c r="A218" s="16" t="s">
        <v>816</v>
      </c>
      <c r="B218" s="16" t="s">
        <v>817</v>
      </c>
      <c r="C218" s="25">
        <v>45996</v>
      </c>
      <c r="D218" s="16" t="s">
        <v>305</v>
      </c>
      <c r="E218" s="16" t="s">
        <v>339</v>
      </c>
      <c r="F218" s="16"/>
      <c r="G218" s="28">
        <v>0</v>
      </c>
      <c r="H218" s="28">
        <v>3547.76</v>
      </c>
      <c r="I218" s="4">
        <f t="shared" si="3"/>
        <v>-641833.7000000003</v>
      </c>
    </row>
    <row r="219" spans="1:9" x14ac:dyDescent="0.3">
      <c r="A219" s="16" t="s">
        <v>816</v>
      </c>
      <c r="B219" s="16" t="s">
        <v>817</v>
      </c>
      <c r="C219" s="25">
        <v>45997</v>
      </c>
      <c r="D219" s="16" t="s">
        <v>305</v>
      </c>
      <c r="E219" s="16" t="s">
        <v>339</v>
      </c>
      <c r="F219" s="16"/>
      <c r="G219" s="28">
        <v>0</v>
      </c>
      <c r="H219" s="28">
        <v>8968.9500000000007</v>
      </c>
      <c r="I219" s="4">
        <f t="shared" si="3"/>
        <v>-650802.65000000026</v>
      </c>
    </row>
    <row r="220" spans="1:9" x14ac:dyDescent="0.3">
      <c r="A220" s="16" t="s">
        <v>816</v>
      </c>
      <c r="B220" s="16" t="s">
        <v>817</v>
      </c>
      <c r="C220" s="25">
        <v>45998</v>
      </c>
      <c r="D220" s="16" t="s">
        <v>305</v>
      </c>
      <c r="E220" s="16" t="s">
        <v>306</v>
      </c>
      <c r="F220" s="16"/>
      <c r="G220" s="28">
        <v>0</v>
      </c>
      <c r="H220" s="28">
        <v>29000</v>
      </c>
      <c r="I220" s="4">
        <f t="shared" si="3"/>
        <v>-679802.65000000026</v>
      </c>
    </row>
    <row r="221" spans="1:9" x14ac:dyDescent="0.3">
      <c r="A221" s="16" t="s">
        <v>816</v>
      </c>
      <c r="B221" s="16" t="s">
        <v>817</v>
      </c>
      <c r="C221" s="25">
        <v>45998</v>
      </c>
      <c r="D221" s="16" t="s">
        <v>305</v>
      </c>
      <c r="E221" s="16" t="s">
        <v>339</v>
      </c>
      <c r="F221" s="16"/>
      <c r="G221" s="28">
        <v>0</v>
      </c>
      <c r="H221" s="28">
        <v>3755.92</v>
      </c>
      <c r="I221" s="4">
        <f t="shared" si="3"/>
        <v>-683558.5700000003</v>
      </c>
    </row>
    <row r="222" spans="1:9" x14ac:dyDescent="0.3">
      <c r="A222" s="16" t="s">
        <v>816</v>
      </c>
      <c r="B222" s="16" t="s">
        <v>817</v>
      </c>
      <c r="C222" s="25">
        <v>46000</v>
      </c>
      <c r="D222" s="16" t="s">
        <v>305</v>
      </c>
      <c r="E222" s="16" t="s">
        <v>311</v>
      </c>
      <c r="F222" s="16"/>
      <c r="G222" s="28">
        <v>0</v>
      </c>
      <c r="H222" s="28">
        <v>93</v>
      </c>
      <c r="I222" s="4">
        <f t="shared" si="3"/>
        <v>-683651.5700000003</v>
      </c>
    </row>
    <row r="223" spans="1:9" x14ac:dyDescent="0.3">
      <c r="A223" s="16" t="s">
        <v>816</v>
      </c>
      <c r="B223" s="16" t="s">
        <v>817</v>
      </c>
      <c r="C223" s="25">
        <v>46000</v>
      </c>
      <c r="D223" s="16" t="s">
        <v>305</v>
      </c>
      <c r="E223" s="16" t="s">
        <v>311</v>
      </c>
      <c r="F223" s="16"/>
      <c r="G223" s="28">
        <v>0</v>
      </c>
      <c r="H223" s="28">
        <v>232</v>
      </c>
      <c r="I223" s="4">
        <f t="shared" si="3"/>
        <v>-683883.5700000003</v>
      </c>
    </row>
    <row r="224" spans="1:9" x14ac:dyDescent="0.3">
      <c r="A224" s="16" t="s">
        <v>816</v>
      </c>
      <c r="B224" s="16" t="s">
        <v>817</v>
      </c>
      <c r="C224" s="25">
        <v>46000</v>
      </c>
      <c r="D224" s="16" t="s">
        <v>305</v>
      </c>
      <c r="E224" s="16" t="s">
        <v>311</v>
      </c>
      <c r="F224" s="16"/>
      <c r="G224" s="28">
        <v>0</v>
      </c>
      <c r="H224" s="28">
        <v>130</v>
      </c>
      <c r="I224" s="4">
        <f t="shared" si="3"/>
        <v>-684013.5700000003</v>
      </c>
    </row>
    <row r="225" spans="1:16" x14ac:dyDescent="0.3">
      <c r="A225" s="16" t="s">
        <v>816</v>
      </c>
      <c r="B225" s="16" t="s">
        <v>817</v>
      </c>
      <c r="C225" s="25">
        <v>46000</v>
      </c>
      <c r="D225" s="16" t="s">
        <v>305</v>
      </c>
      <c r="E225" s="16" t="s">
        <v>311</v>
      </c>
      <c r="F225" s="16"/>
      <c r="G225" s="28">
        <v>0</v>
      </c>
      <c r="H225" s="28">
        <v>93</v>
      </c>
      <c r="I225" s="4">
        <f t="shared" si="3"/>
        <v>-684106.5700000003</v>
      </c>
    </row>
    <row r="226" spans="1:16" x14ac:dyDescent="0.3">
      <c r="A226" s="16" t="s">
        <v>816</v>
      </c>
      <c r="B226" s="16" t="s">
        <v>817</v>
      </c>
      <c r="C226" s="25">
        <v>46006</v>
      </c>
      <c r="D226" s="16" t="s">
        <v>308</v>
      </c>
      <c r="E226" s="16" t="s">
        <v>824</v>
      </c>
      <c r="F226" s="16" t="s">
        <v>888</v>
      </c>
      <c r="G226" s="28">
        <v>521349</v>
      </c>
      <c r="H226" s="28">
        <v>0</v>
      </c>
      <c r="I226" s="4">
        <f t="shared" si="3"/>
        <v>-162757.5700000003</v>
      </c>
    </row>
    <row r="227" spans="1:16" x14ac:dyDescent="0.3">
      <c r="A227" s="16" t="s">
        <v>816</v>
      </c>
      <c r="B227" s="16" t="s">
        <v>817</v>
      </c>
      <c r="C227" s="25">
        <v>46007</v>
      </c>
      <c r="D227" s="16" t="s">
        <v>305</v>
      </c>
      <c r="E227" s="16" t="s">
        <v>339</v>
      </c>
      <c r="F227" s="16"/>
      <c r="G227" s="28">
        <v>0</v>
      </c>
      <c r="H227" s="28">
        <v>31519</v>
      </c>
      <c r="I227" s="4">
        <f t="shared" si="3"/>
        <v>-194276.5700000003</v>
      </c>
    </row>
    <row r="228" spans="1:16" x14ac:dyDescent="0.3">
      <c r="A228" s="16" t="s">
        <v>816</v>
      </c>
      <c r="B228" s="16" t="s">
        <v>817</v>
      </c>
      <c r="C228" s="25">
        <v>46007</v>
      </c>
      <c r="D228" s="16" t="s">
        <v>305</v>
      </c>
      <c r="E228" s="16" t="s">
        <v>306</v>
      </c>
      <c r="F228" s="16"/>
      <c r="G228" s="28">
        <v>0</v>
      </c>
      <c r="H228" s="28">
        <v>34000</v>
      </c>
      <c r="I228" s="4">
        <f t="shared" si="3"/>
        <v>-228276.5700000003</v>
      </c>
    </row>
    <row r="229" spans="1:16" x14ac:dyDescent="0.3">
      <c r="A229" s="16" t="s">
        <v>816</v>
      </c>
      <c r="B229" s="16" t="s">
        <v>817</v>
      </c>
      <c r="C229" s="25">
        <v>46007</v>
      </c>
      <c r="D229" s="16" t="s">
        <v>305</v>
      </c>
      <c r="E229" s="16" t="s">
        <v>339</v>
      </c>
      <c r="F229" s="16"/>
      <c r="G229" s="28">
        <v>0</v>
      </c>
      <c r="H229" s="28">
        <v>20000</v>
      </c>
      <c r="I229" s="4">
        <f t="shared" si="3"/>
        <v>-248276.5700000003</v>
      </c>
    </row>
    <row r="230" spans="1:16" x14ac:dyDescent="0.3">
      <c r="A230" s="16" t="s">
        <v>816</v>
      </c>
      <c r="B230" s="16" t="s">
        <v>817</v>
      </c>
      <c r="C230" s="25">
        <v>46007</v>
      </c>
      <c r="D230" s="16" t="s">
        <v>305</v>
      </c>
      <c r="E230" s="16" t="s">
        <v>339</v>
      </c>
      <c r="F230" s="16"/>
      <c r="G230" s="28">
        <v>0</v>
      </c>
      <c r="H230" s="28">
        <v>436931</v>
      </c>
      <c r="I230" s="4">
        <f t="shared" si="3"/>
        <v>-685207.5700000003</v>
      </c>
    </row>
    <row r="231" spans="1:16" x14ac:dyDescent="0.3">
      <c r="A231" s="16" t="s">
        <v>816</v>
      </c>
      <c r="B231" s="16" t="s">
        <v>817</v>
      </c>
      <c r="C231" s="25">
        <v>46007</v>
      </c>
      <c r="D231" s="16" t="s">
        <v>305</v>
      </c>
      <c r="E231" s="16" t="s">
        <v>339</v>
      </c>
      <c r="F231" s="16"/>
      <c r="G231" s="28">
        <v>0</v>
      </c>
      <c r="H231" s="28">
        <v>100650</v>
      </c>
      <c r="I231" s="4">
        <f t="shared" si="3"/>
        <v>-785857.5700000003</v>
      </c>
    </row>
    <row r="232" spans="1:16" x14ac:dyDescent="0.3">
      <c r="A232" s="16" t="s">
        <v>816</v>
      </c>
      <c r="B232" s="16" t="s">
        <v>817</v>
      </c>
      <c r="C232" s="25">
        <v>46008</v>
      </c>
      <c r="D232" s="16" t="s">
        <v>305</v>
      </c>
      <c r="E232" s="16" t="s">
        <v>339</v>
      </c>
      <c r="F232" s="16"/>
      <c r="G232" s="28">
        <v>0</v>
      </c>
      <c r="H232" s="28">
        <v>45727</v>
      </c>
      <c r="I232" s="4">
        <f t="shared" si="3"/>
        <v>-831584.5700000003</v>
      </c>
    </row>
    <row r="233" spans="1:16" x14ac:dyDescent="0.3">
      <c r="A233" s="16" t="s">
        <v>816</v>
      </c>
      <c r="B233" s="16" t="s">
        <v>817</v>
      </c>
      <c r="C233" s="25">
        <v>46017</v>
      </c>
      <c r="D233" s="16" t="s">
        <v>305</v>
      </c>
      <c r="E233" s="16" t="s">
        <v>311</v>
      </c>
      <c r="F233" s="16"/>
      <c r="G233" s="28">
        <v>0</v>
      </c>
      <c r="H233" s="28">
        <v>3971</v>
      </c>
      <c r="I233" s="4">
        <f t="shared" si="3"/>
        <v>-835555.5700000003</v>
      </c>
    </row>
    <row r="234" spans="1:16" x14ac:dyDescent="0.3">
      <c r="A234" s="16" t="s">
        <v>816</v>
      </c>
      <c r="B234" s="16" t="s">
        <v>817</v>
      </c>
      <c r="C234" s="25">
        <v>46022</v>
      </c>
      <c r="D234" s="16" t="s">
        <v>337</v>
      </c>
      <c r="E234" s="16" t="s">
        <v>311</v>
      </c>
      <c r="F234" s="16"/>
      <c r="G234" s="28">
        <v>0.05</v>
      </c>
      <c r="H234" s="28"/>
      <c r="I234" s="4">
        <f t="shared" si="3"/>
        <v>-835555.52000000025</v>
      </c>
      <c r="J234" s="31">
        <f>835556-846081</f>
        <v>-10525</v>
      </c>
      <c r="K234" s="32" t="s">
        <v>889</v>
      </c>
      <c r="O234" s="37">
        <f>+'9_x'!J401+'10_X'!J269+'11_X'!J72+'12_x'!J44+'13_x'!J107+'14_X'!J107+'15_x'!J16+'54_x'!J234</f>
        <v>-4007526</v>
      </c>
    </row>
    <row r="235" spans="1:16" x14ac:dyDescent="0.3">
      <c r="G235" s="38">
        <f>SUM(G1:G234)</f>
        <v>11716087.700000005</v>
      </c>
      <c r="H235" s="38">
        <f>SUM(H1:H234)</f>
        <v>12551643.220000003</v>
      </c>
      <c r="I235" s="38">
        <f>G235-H235</f>
        <v>-835555.51999999769</v>
      </c>
      <c r="M235" s="36" t="s">
        <v>895</v>
      </c>
      <c r="N235" s="37">
        <f>+G235+'15_x'!G16+'14_X'!G107+'13_x'!G108+'12_x'!G45+'11_X'!G73+'10_X'!G270+'9_x'!G402</f>
        <v>63919481.950000003</v>
      </c>
      <c r="O235" s="37">
        <f>+H235+'15_x'!H16+'14_X'!H107+'13_x'!H108+'12_x'!H45+'11_X'!H73+'10_X'!H270+'9_x'!H402</f>
        <v>64321697.930000007</v>
      </c>
      <c r="P235" s="37">
        <f>+I235+'15_x'!I16+'14_X'!I107+'13_x'!I108+'12_x'!I45+'11_X'!I73+'10_X'!I270+'9_x'!I402</f>
        <v>-402215.97999999858</v>
      </c>
    </row>
    <row r="237" spans="1:16" x14ac:dyDescent="0.3">
      <c r="K237" s="16" t="s">
        <v>126</v>
      </c>
      <c r="L237" s="26">
        <v>1200296.8500000001</v>
      </c>
    </row>
    <row r="238" spans="1:16" x14ac:dyDescent="0.3">
      <c r="K238" s="16" t="s">
        <v>128</v>
      </c>
      <c r="L238" s="26">
        <v>98103.16</v>
      </c>
    </row>
    <row r="239" spans="1:16" x14ac:dyDescent="0.3">
      <c r="K239" s="16" t="s">
        <v>132</v>
      </c>
      <c r="L239" s="26">
        <v>138028.93</v>
      </c>
    </row>
    <row r="240" spans="1:16" x14ac:dyDescent="0.3">
      <c r="K240" s="16" t="s">
        <v>133</v>
      </c>
      <c r="L240" s="26">
        <v>1327092.18</v>
      </c>
    </row>
    <row r="241" spans="10:13" x14ac:dyDescent="0.3">
      <c r="K241" s="16" t="s">
        <v>129</v>
      </c>
      <c r="L241" s="26">
        <v>800140.34</v>
      </c>
    </row>
    <row r="242" spans="10:13" x14ac:dyDescent="0.3">
      <c r="K242" s="16" t="s">
        <v>131</v>
      </c>
      <c r="L242" s="26">
        <v>846080.52</v>
      </c>
    </row>
    <row r="243" spans="10:13" x14ac:dyDescent="0.3">
      <c r="L243" s="39">
        <f>SUM(L237:L242)</f>
        <v>4409741.9800000004</v>
      </c>
      <c r="M243" s="36" t="s">
        <v>896</v>
      </c>
    </row>
    <row r="245" spans="10:13" x14ac:dyDescent="0.3">
      <c r="J245" s="33">
        <f>846081+'54'!K68</f>
        <v>-214.96039999998175</v>
      </c>
      <c r="K245" t="s">
        <v>891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TaxCatchAll xmlns="6a7ff2fa-cd4c-4111-a6ab-75351164d87f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A78EBEFC-57F8-482E-A1C7-42D78A526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3360E-4D88-4533-B12A-FAEF4D2F87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92389F-B414-499E-BA60-2D073C99850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a8ec313-c772-4af8-8363-8ff52de2e6b8"/>
    <ds:schemaRef ds:uri="6a7ff2fa-cd4c-4111-a6ab-75351164d87f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TDC</vt:lpstr>
      <vt:lpstr>06102025</vt:lpstr>
      <vt:lpstr>07102025</vt:lpstr>
      <vt:lpstr>a sep</vt:lpstr>
      <vt:lpstr>9</vt:lpstr>
      <vt:lpstr>9_x</vt:lpstr>
      <vt:lpstr>10</vt:lpstr>
      <vt:lpstr>10_X</vt:lpstr>
      <vt:lpstr>11</vt:lpstr>
      <vt:lpstr>11_X</vt:lpstr>
      <vt:lpstr>12</vt:lpstr>
      <vt:lpstr>12_x</vt:lpstr>
      <vt:lpstr>13</vt:lpstr>
      <vt:lpstr>13_x</vt:lpstr>
      <vt:lpstr>14</vt:lpstr>
      <vt:lpstr>14_X</vt:lpstr>
      <vt:lpstr>15</vt:lpstr>
      <vt:lpstr>15_x</vt:lpstr>
      <vt:lpstr>54</vt:lpstr>
      <vt:lpstr>54_x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2025-10-06T23:50:22Z</dcterms:created>
  <dcterms:modified xsi:type="dcterms:W3CDTF">2026-04-24T19:48:48Z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2025-10-06T23:50:22Z</vt:lpwstr>
  </property>
  <property fmtid="{D5CDD505-2E9C-101B-9397-08002B2CF9AE}" pid="4" name="MSIP_Label_88606789-7178-42ed-a2cb-2f310395f8e0_Method">
    <vt:lpwstr>Standard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e39e5c99-b1fb-43e0-bbd2-b5dc93cbc9f2</vt:lpwstr>
  </property>
  <property fmtid="{D5CDD505-2E9C-101B-9397-08002B2CF9AE}" pid="8" name="MSIP_Label_88606789-7178-42ed-a2cb-2f310395f8e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0x0101008C0FDD3EE9C26F4CA38A0CE1A876A831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