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rsmchilespa.sharepoint.com/sites/RSMContabilidadyProcesos/Documentos compartidos/RSM Contabilidad y Procesos/02_equipo_bpo/Yessenia Pino/22_Carolina_Cabrera/CCABRERA/EMPRESAS/05 DESWIK/TDC/MAR 26/"/>
    </mc:Choice>
  </mc:AlternateContent>
  <xr:revisionPtr revIDLastSave="106" documentId="8_{FED451F4-E43E-4389-8E2A-D75043EFCC3D}" xr6:coauthVersionLast="47" xr6:coauthVersionMax="47" xr10:uidLastSave="{685BBC53-ECC0-4DAE-AA3D-3B38B9F9E652}"/>
  <bookViews>
    <workbookView xWindow="-107" yWindow="-107" windowWidth="20847" windowHeight="11111" activeTab="1" xr2:uid="{21BBB7E3-BE8E-46BC-B45C-E92765C77BAD}"/>
  </bookViews>
  <sheets>
    <sheet name="MGMayorContableOF tdc clp" sheetId="1" r:id="rId1"/>
    <sheet name="mp" sheetId="8" r:id="rId2"/>
    <sheet name="jm" sheetId="7" r:id="rId3"/>
    <sheet name="cm" sheetId="6" r:id="rId4"/>
    <sheet name="cw" sheetId="5" r:id="rId5"/>
    <sheet name="fm" sheetId="4" r:id="rId6"/>
    <sheet name="sc" sheetId="3" r:id="rId7"/>
    <sheet name="ka" sheetId="2" r:id="rId8"/>
  </sheets>
  <definedNames>
    <definedName name="_xlnm._FilterDatabase" localSheetId="0" hidden="1">'MGMayorContableOF tdc clp'!$A$1:$I$71</definedName>
  </definedNames>
  <calcPr calcId="0"/>
</workbook>
</file>

<file path=xl/calcChain.xml><?xml version="1.0" encoding="utf-8"?>
<calcChain xmlns="http://schemas.openxmlformats.org/spreadsheetml/2006/main">
  <c r="J9" i="6" l="1"/>
  <c r="J28" i="5"/>
  <c r="J18" i="4"/>
  <c r="J19" i="3"/>
  <c r="J18" i="2"/>
  <c r="K20" i="8"/>
  <c r="I10" i="8"/>
  <c r="J20" i="8"/>
  <c r="J18" i="8"/>
  <c r="I14" i="8"/>
  <c r="I15" i="8"/>
  <c r="I16" i="8"/>
  <c r="I17" i="8" s="1"/>
  <c r="I18" i="8" s="1"/>
  <c r="I13" i="8"/>
  <c r="I12" i="8"/>
  <c r="I9" i="6"/>
  <c r="I8" i="6"/>
  <c r="I22" i="5"/>
  <c r="I23" i="5"/>
  <c r="I24" i="5"/>
  <c r="I25" i="5"/>
  <c r="I26" i="5" s="1"/>
  <c r="I27" i="5" s="1"/>
  <c r="I28" i="5" s="1"/>
  <c r="I21" i="5"/>
  <c r="I20" i="5"/>
  <c r="I13" i="4"/>
  <c r="I14" i="4" s="1"/>
  <c r="I15" i="4" s="1"/>
  <c r="I16" i="4" s="1"/>
  <c r="I17" i="4" s="1"/>
  <c r="I18" i="4" s="1"/>
  <c r="I12" i="4"/>
  <c r="I11" i="4"/>
  <c r="I15" i="3"/>
  <c r="I16" i="3"/>
  <c r="I17" i="3"/>
  <c r="I18" i="3" s="1"/>
  <c r="I19" i="3" s="1"/>
  <c r="I14" i="3"/>
  <c r="I13" i="3"/>
  <c r="I12" i="2"/>
  <c r="I13" i="2" s="1"/>
  <c r="I14" i="2" s="1"/>
  <c r="I15" i="2" s="1"/>
  <c r="I16" i="2" s="1"/>
  <c r="I17" i="2" s="1"/>
  <c r="I18" i="2" s="1"/>
  <c r="H3" i="8"/>
  <c r="H4" i="8" s="1"/>
  <c r="H5" i="8" s="1"/>
  <c r="H6" i="8" s="1"/>
  <c r="H7" i="8" s="1"/>
  <c r="I7" i="8" s="1"/>
  <c r="H2" i="8"/>
  <c r="H4" i="7"/>
  <c r="H5" i="7"/>
  <c r="H6" i="7"/>
  <c r="H7" i="7"/>
  <c r="H8" i="7" s="1"/>
  <c r="H9" i="7" s="1"/>
  <c r="H10" i="7" s="1"/>
  <c r="H11" i="7" s="1"/>
  <c r="H12" i="7" s="1"/>
  <c r="H3" i="7"/>
  <c r="H2" i="7"/>
  <c r="H4" i="6"/>
  <c r="H3" i="6"/>
  <c r="H2" i="6"/>
  <c r="H4" i="5"/>
  <c r="H5" i="5"/>
  <c r="H6" i="5"/>
  <c r="H7" i="5" s="1"/>
  <c r="H8" i="5" s="1"/>
  <c r="H9" i="5" s="1"/>
  <c r="H10" i="5" s="1"/>
  <c r="H11" i="5" s="1"/>
  <c r="H12" i="5" s="1"/>
  <c r="H13" i="5" s="1"/>
  <c r="H14" i="5" s="1"/>
  <c r="H15" i="5" s="1"/>
  <c r="H16" i="5" s="1"/>
  <c r="H17" i="5" s="1"/>
  <c r="H3" i="5"/>
  <c r="H2" i="5"/>
  <c r="H4" i="4"/>
  <c r="H5" i="4" s="1"/>
  <c r="H6" i="4" s="1"/>
  <c r="H7" i="4" s="1"/>
  <c r="H3" i="4"/>
  <c r="H2" i="4"/>
  <c r="H4" i="3"/>
  <c r="H5" i="3"/>
  <c r="H6" i="3"/>
  <c r="H7" i="3" s="1"/>
  <c r="H8" i="3" s="1"/>
  <c r="H3" i="3"/>
  <c r="H2" i="3"/>
  <c r="H2" i="2"/>
  <c r="H3" i="2" s="1"/>
  <c r="H4" i="2" s="1"/>
  <c r="H5" i="2" s="1"/>
  <c r="H6" i="2" s="1"/>
  <c r="H7" i="2" s="1"/>
  <c r="H8" i="2" s="1"/>
  <c r="I2" i="1"/>
  <c r="I3" i="1" s="1"/>
  <c r="I4" i="1" s="1"/>
  <c r="I5" i="1" s="1"/>
  <c r="I6" i="1" s="1"/>
  <c r="I7" i="1" s="1"/>
  <c r="I8" i="1" s="1"/>
  <c r="I9" i="1" s="1"/>
  <c r="I10" i="1" s="1"/>
  <c r="I11" i="1" s="1"/>
  <c r="I12" i="1" s="1"/>
  <c r="I13" i="1" s="1"/>
  <c r="I14" i="1" s="1"/>
  <c r="I15" i="1" s="1"/>
  <c r="I16" i="1" s="1"/>
  <c r="I17" i="1" s="1"/>
  <c r="I18" i="1" s="1"/>
  <c r="I19" i="1" s="1"/>
  <c r="I20" i="1" s="1"/>
  <c r="I21" i="1" s="1"/>
  <c r="I22" i="1" s="1"/>
  <c r="I23" i="1" s="1"/>
  <c r="I24" i="1" s="1"/>
  <c r="I25" i="1" s="1"/>
  <c r="I26" i="1" s="1"/>
  <c r="I27" i="1" s="1"/>
  <c r="I28" i="1" s="1"/>
  <c r="I29" i="1" s="1"/>
  <c r="I30" i="1" s="1"/>
  <c r="I31" i="1" s="1"/>
  <c r="I32" i="1" s="1"/>
  <c r="I33" i="1" s="1"/>
  <c r="I34" i="1" s="1"/>
  <c r="I35" i="1" s="1"/>
  <c r="I36" i="1" s="1"/>
  <c r="I37" i="1" s="1"/>
  <c r="I38" i="1" s="1"/>
  <c r="I39" i="1" s="1"/>
  <c r="I40" i="1" s="1"/>
  <c r="I41" i="1" s="1"/>
  <c r="I42" i="1" s="1"/>
  <c r="I43" i="1" s="1"/>
  <c r="I44" i="1" s="1"/>
  <c r="I45" i="1" s="1"/>
  <c r="I46" i="1" s="1"/>
  <c r="I47" i="1" s="1"/>
  <c r="I48" i="1" s="1"/>
  <c r="I49" i="1" s="1"/>
  <c r="I50" i="1" s="1"/>
  <c r="I51" i="1" s="1"/>
  <c r="I52" i="1" s="1"/>
  <c r="I53" i="1" s="1"/>
  <c r="I54" i="1" s="1"/>
  <c r="I55" i="1" s="1"/>
  <c r="I56" i="1" s="1"/>
  <c r="I57" i="1" s="1"/>
  <c r="I58" i="1" s="1"/>
  <c r="I59" i="1" s="1"/>
</calcChain>
</file>

<file path=xl/sharedStrings.xml><?xml version="1.0" encoding="utf-8"?>
<sst xmlns="http://schemas.openxmlformats.org/spreadsheetml/2006/main" count="426" uniqueCount="61">
  <si>
    <t>DESWIK CHILE SPA</t>
  </si>
  <si>
    <t>Comprobante</t>
  </si>
  <si>
    <t>Fec. Doc.</t>
  </si>
  <si>
    <t>Voucher</t>
  </si>
  <si>
    <t>Titular</t>
  </si>
  <si>
    <t>T.Doc/Nro</t>
  </si>
  <si>
    <t>Debe</t>
  </si>
  <si>
    <t>Haber</t>
  </si>
  <si>
    <t>Acumulado</t>
  </si>
  <si>
    <t>aape/5972</t>
  </si>
  <si>
    <t>DEMO MAGNUS ERP</t>
  </si>
  <si>
    <t>Glosa : Asiento de Apertura de Ejercicio</t>
  </si>
  <si>
    <t>MARCELO PENNA SANTOS</t>
  </si>
  <si>
    <t>Glosa : Credit Card payment MP</t>
  </si>
  <si>
    <t>JUAN SEBASTIAN CARVALLO JIMÉNEZ</t>
  </si>
  <si>
    <t>Glosa : Credit card payment SC</t>
  </si>
  <si>
    <t>FRANCISCO MIRANDA RIADI</t>
  </si>
  <si>
    <t>Glosa : Bank Transfer to CC Francisco Miranda.</t>
  </si>
  <si>
    <t>KATHERINNE SILVANA ALARCON ESCOBAR</t>
  </si>
  <si>
    <t>Glosa : Katherinnes credit card payment</t>
  </si>
  <si>
    <t>CESAR FELIPE MACHADO RIBEIRO LOPES</t>
  </si>
  <si>
    <t>Glosa : Credit Card payment CM</t>
  </si>
  <si>
    <t>CAITLIN JOY WHEAT</t>
  </si>
  <si>
    <t>Glosa : Credit card payment CW</t>
  </si>
  <si>
    <t>JORGE MORIS JORDÁN</t>
  </si>
  <si>
    <t>Glosa : CC Expense - Estacionamiento 27 enero</t>
  </si>
  <si>
    <t>Glosa : TDC CAITLYN WEAT</t>
  </si>
  <si>
    <t>Glosa : TDC CESAR MACHADO</t>
  </si>
  <si>
    <t>Glosa : TDC CLP/USD FRANCISCO MIRANDA</t>
  </si>
  <si>
    <t>Glosa : TDC CLP JUAN CARVALLO</t>
  </si>
  <si>
    <t>Glosa : TDC M. PENNA</t>
  </si>
  <si>
    <t>Glosa : TDC K. ALARCON</t>
  </si>
  <si>
    <t>Glosa : CC Expense - Oxxo - happy hour</t>
  </si>
  <si>
    <t>Glosa : CC Expense - Combustible semana 3</t>
  </si>
  <si>
    <t>Glosa : CC Expense - Cabify para volver a casa despues de dejar el auto arrendado</t>
  </si>
  <si>
    <t>Glosa : CC Expense - Flights Sebastian Carvallo - 16 Feb to 3 march 2026</t>
  </si>
  <si>
    <t>Glosa : TDC CLP/USD JORGE MORIS</t>
  </si>
  <si>
    <t>Glosa : Pago F1770256 Serpab en tdc</t>
  </si>
  <si>
    <t>Glosa : CC Expense - FX Sebastian flighq</t>
  </si>
  <si>
    <t>Glosa : Tarjeta credito caitlin</t>
  </si>
  <si>
    <t>Glosa : Tarjeta credito Marcelo Penna</t>
  </si>
  <si>
    <t>Glosa : Tarjeta de credito sebastian carballo</t>
  </si>
  <si>
    <t>Glosa : Tarjeeta credito Katherinne alarcon</t>
  </si>
  <si>
    <t>Glosa : Tarjeta credito Cesar Machado</t>
  </si>
  <si>
    <t>Glosa : Tarjeta credito francisco miranda</t>
  </si>
  <si>
    <t>Glosa : Tarjeta de credito jorge moris</t>
  </si>
  <si>
    <t>Glosa : diferencias TDC/clientes  año 2025</t>
  </si>
  <si>
    <t>Glosa : Pago Tarjeta de credito Francisco Miranda</t>
  </si>
  <si>
    <t>Glosa : Pago tarjeta de credito Sebastian Carvallo</t>
  </si>
  <si>
    <t>Glosa : Pago tarjeta de credito Katherinne Alarcon</t>
  </si>
  <si>
    <t>Glosa : Pago tarjeta de credito Jorge Moris</t>
  </si>
  <si>
    <t>Glosa : Pago tarjeta de credito Caitlin Wheat</t>
  </si>
  <si>
    <t>Glosa : CC Expense - Sodimac - nuevo dispensador de papel para oficina 13</t>
  </si>
  <si>
    <t>Glosa : CC Expense Aerolineas Argentinas - Sebastian Carvallo - Cerro Negro</t>
  </si>
  <si>
    <t>Totales:</t>
  </si>
  <si>
    <t xml:space="preserve">Saldo Final Al 31/03/2026: </t>
  </si>
  <si>
    <t xml:space="preserve"> </t>
  </si>
  <si>
    <t>MGMayorContableOF</t>
  </si>
  <si>
    <t xml:space="preserve">glosa   </t>
  </si>
  <si>
    <t xml:space="preserve">glosa </t>
  </si>
  <si>
    <t>Glosa : Ajuste por Diferencia de Cambio cpf_projobemp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</si>
</sst>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3" fontId="0" fillId="0" borderId="0" xfId="0" applyNumberFormat="1"/>
    <xf numFmtId="4" fontId="0" fillId="0" borderId="0" xfId="0" applyNumberFormat="1"/>
    <xf numFmtId="0" fontId="16" fillId="0" borderId="0" xfId="0" applyFont="1"/>
    <xf numFmtId="3" fontId="16" fillId="0" borderId="0" xfId="0" applyNumberFormat="1" applyFon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14F64-E705-4D95-AD94-0871CC4BB2A3}">
  <dimension ref="A1:I63"/>
  <sheetViews>
    <sheetView topLeftCell="A43" workbookViewId="0">
      <selection activeCell="E76" sqref="E76"/>
    </sheetView>
  </sheetViews>
  <sheetFormatPr baseColWidth="10" defaultRowHeight="14" x14ac:dyDescent="0.3"/>
  <cols>
    <col min="4" max="4" width="38.5" customWidth="1"/>
    <col min="5" max="5" width="36" bestFit="1" customWidth="1"/>
    <col min="9" max="9" width="12.69921875" bestFit="1" customWidth="1"/>
  </cols>
  <sheetData>
    <row r="1" spans="1:9" s="4" customFormat="1" x14ac:dyDescent="0.3">
      <c r="A1" s="4" t="s">
        <v>1</v>
      </c>
      <c r="B1" s="4" t="s">
        <v>2</v>
      </c>
      <c r="C1" s="4" t="s">
        <v>3</v>
      </c>
      <c r="D1" s="4" t="s">
        <v>58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</row>
    <row r="2" spans="1:9" x14ac:dyDescent="0.3">
      <c r="A2" t="s">
        <v>9</v>
      </c>
      <c r="B2" s="1">
        <v>46023</v>
      </c>
      <c r="D2" t="s">
        <v>11</v>
      </c>
      <c r="E2" t="s">
        <v>10</v>
      </c>
      <c r="G2" s="2">
        <v>217461</v>
      </c>
      <c r="H2" s="2">
        <v>3970703</v>
      </c>
      <c r="I2" s="2">
        <f>+G2-H2</f>
        <v>-3753242</v>
      </c>
    </row>
    <row r="3" spans="1:9" x14ac:dyDescent="0.3">
      <c r="B3" s="1">
        <v>46036</v>
      </c>
      <c r="C3" s="2">
        <v>4195</v>
      </c>
      <c r="D3" t="s">
        <v>13</v>
      </c>
      <c r="E3" t="s">
        <v>12</v>
      </c>
      <c r="G3" s="2">
        <v>752789</v>
      </c>
      <c r="I3" s="2">
        <f>I2+G3-H3</f>
        <v>-3000453</v>
      </c>
    </row>
    <row r="4" spans="1:9" x14ac:dyDescent="0.3">
      <c r="B4" s="1">
        <v>46036</v>
      </c>
      <c r="C4" s="2">
        <v>4196</v>
      </c>
      <c r="D4" t="s">
        <v>15</v>
      </c>
      <c r="E4" t="s">
        <v>14</v>
      </c>
      <c r="G4" s="2">
        <v>6314</v>
      </c>
      <c r="I4" s="2">
        <f t="shared" ref="I4:I59" si="0">I3+G4-H4</f>
        <v>-2994139</v>
      </c>
    </row>
    <row r="5" spans="1:9" x14ac:dyDescent="0.3">
      <c r="B5" s="1">
        <v>46036</v>
      </c>
      <c r="C5" s="2">
        <v>4197</v>
      </c>
      <c r="D5" t="s">
        <v>17</v>
      </c>
      <c r="E5" t="s">
        <v>16</v>
      </c>
      <c r="G5" s="2">
        <v>7314</v>
      </c>
      <c r="I5" s="2">
        <f t="shared" si="0"/>
        <v>-2986825</v>
      </c>
    </row>
    <row r="6" spans="1:9" x14ac:dyDescent="0.3">
      <c r="B6" s="1">
        <v>46036</v>
      </c>
      <c r="C6" s="2">
        <v>4198</v>
      </c>
      <c r="D6" t="s">
        <v>19</v>
      </c>
      <c r="E6" t="s">
        <v>18</v>
      </c>
      <c r="G6" s="2">
        <v>596065</v>
      </c>
      <c r="I6" s="2">
        <f t="shared" si="0"/>
        <v>-2390760</v>
      </c>
    </row>
    <row r="7" spans="1:9" x14ac:dyDescent="0.3">
      <c r="B7" s="1">
        <v>46036</v>
      </c>
      <c r="C7" s="2">
        <v>4199</v>
      </c>
      <c r="D7" t="s">
        <v>21</v>
      </c>
      <c r="E7" t="s">
        <v>20</v>
      </c>
      <c r="G7" s="2">
        <v>719990</v>
      </c>
      <c r="I7" s="2">
        <f t="shared" si="0"/>
        <v>-1670770</v>
      </c>
    </row>
    <row r="8" spans="1:9" x14ac:dyDescent="0.3">
      <c r="B8" s="1">
        <v>46036</v>
      </c>
      <c r="C8" s="2">
        <v>4200</v>
      </c>
      <c r="D8" t="s">
        <v>23</v>
      </c>
      <c r="E8" t="s">
        <v>22</v>
      </c>
      <c r="G8" s="2">
        <v>1121283</v>
      </c>
      <c r="I8" s="2">
        <f t="shared" si="0"/>
        <v>-549487</v>
      </c>
    </row>
    <row r="9" spans="1:9" x14ac:dyDescent="0.3">
      <c r="B9" s="1">
        <v>46049</v>
      </c>
      <c r="C9" s="2">
        <v>4316</v>
      </c>
      <c r="D9" t="s">
        <v>25</v>
      </c>
      <c r="E9" t="s">
        <v>24</v>
      </c>
      <c r="H9" s="2">
        <v>14910</v>
      </c>
      <c r="I9" s="2">
        <f t="shared" si="0"/>
        <v>-564397</v>
      </c>
    </row>
    <row r="10" spans="1:9" x14ac:dyDescent="0.3">
      <c r="B10" s="1">
        <v>46050</v>
      </c>
      <c r="C10" s="2">
        <v>4242</v>
      </c>
      <c r="D10" t="s">
        <v>26</v>
      </c>
      <c r="E10" t="s">
        <v>22</v>
      </c>
      <c r="H10" s="2">
        <v>1333628</v>
      </c>
      <c r="I10" s="2">
        <f t="shared" si="0"/>
        <v>-1898025</v>
      </c>
    </row>
    <row r="11" spans="1:9" x14ac:dyDescent="0.3">
      <c r="B11" s="1">
        <v>46050</v>
      </c>
      <c r="C11" s="2">
        <v>4243</v>
      </c>
      <c r="D11" t="s">
        <v>27</v>
      </c>
      <c r="E11" t="s">
        <v>20</v>
      </c>
      <c r="H11" s="2">
        <v>86888</v>
      </c>
      <c r="I11" s="2">
        <f t="shared" si="0"/>
        <v>-1984913</v>
      </c>
    </row>
    <row r="12" spans="1:9" x14ac:dyDescent="0.3">
      <c r="B12" s="1">
        <v>46050</v>
      </c>
      <c r="C12" s="2">
        <v>4244</v>
      </c>
      <c r="D12" t="s">
        <v>28</v>
      </c>
      <c r="E12" t="s">
        <v>16</v>
      </c>
      <c r="H12" s="2">
        <v>140395</v>
      </c>
      <c r="I12" s="2">
        <f t="shared" si="0"/>
        <v>-2125308</v>
      </c>
    </row>
    <row r="13" spans="1:9" x14ac:dyDescent="0.3">
      <c r="B13" s="1">
        <v>46050</v>
      </c>
      <c r="C13" s="2">
        <v>4245</v>
      </c>
      <c r="D13" t="s">
        <v>29</v>
      </c>
      <c r="E13" t="s">
        <v>14</v>
      </c>
      <c r="H13" s="2">
        <v>99008</v>
      </c>
      <c r="I13" s="2">
        <f t="shared" si="0"/>
        <v>-2224316</v>
      </c>
    </row>
    <row r="14" spans="1:9" x14ac:dyDescent="0.3">
      <c r="B14" s="1">
        <v>46050</v>
      </c>
      <c r="C14" s="2">
        <v>4246</v>
      </c>
      <c r="D14" t="s">
        <v>30</v>
      </c>
      <c r="E14" t="s">
        <v>12</v>
      </c>
      <c r="H14" s="2">
        <v>146634</v>
      </c>
      <c r="I14" s="2">
        <f t="shared" si="0"/>
        <v>-2370950</v>
      </c>
    </row>
    <row r="15" spans="1:9" x14ac:dyDescent="0.3">
      <c r="B15" s="1">
        <v>46050</v>
      </c>
      <c r="C15" s="2">
        <v>4247</v>
      </c>
      <c r="D15" t="s">
        <v>31</v>
      </c>
      <c r="E15" t="s">
        <v>18</v>
      </c>
      <c r="H15" s="2">
        <v>1437298</v>
      </c>
      <c r="I15" s="2">
        <f t="shared" si="0"/>
        <v>-3808248</v>
      </c>
    </row>
    <row r="16" spans="1:9" x14ac:dyDescent="0.3">
      <c r="B16" s="1">
        <v>46050</v>
      </c>
      <c r="C16" s="2">
        <v>4321</v>
      </c>
      <c r="D16" t="s">
        <v>32</v>
      </c>
      <c r="E16" t="s">
        <v>22</v>
      </c>
      <c r="H16" s="2">
        <v>30700</v>
      </c>
      <c r="I16" s="2">
        <f t="shared" si="0"/>
        <v>-3838948</v>
      </c>
    </row>
    <row r="17" spans="2:9" x14ac:dyDescent="0.3">
      <c r="B17" s="1">
        <v>46051</v>
      </c>
      <c r="C17" s="2">
        <v>4317</v>
      </c>
      <c r="D17" t="s">
        <v>33</v>
      </c>
      <c r="E17" t="s">
        <v>24</v>
      </c>
      <c r="H17" s="2">
        <v>46725</v>
      </c>
      <c r="I17" s="2">
        <f t="shared" si="0"/>
        <v>-3885673</v>
      </c>
    </row>
    <row r="18" spans="2:9" x14ac:dyDescent="0.3">
      <c r="B18" s="1">
        <v>46051</v>
      </c>
      <c r="C18" s="2">
        <v>4319</v>
      </c>
      <c r="D18" t="s">
        <v>34</v>
      </c>
      <c r="E18" t="s">
        <v>22</v>
      </c>
      <c r="H18" s="2">
        <v>11242</v>
      </c>
      <c r="I18" s="2">
        <f t="shared" si="0"/>
        <v>-3896915</v>
      </c>
    </row>
    <row r="19" spans="2:9" x14ac:dyDescent="0.3">
      <c r="B19" s="1">
        <v>46051</v>
      </c>
      <c r="C19" s="2">
        <v>4320</v>
      </c>
      <c r="D19" t="s">
        <v>35</v>
      </c>
      <c r="E19" t="s">
        <v>22</v>
      </c>
      <c r="H19" s="2">
        <v>583835</v>
      </c>
      <c r="I19" s="2">
        <f t="shared" si="0"/>
        <v>-4480750</v>
      </c>
    </row>
    <row r="20" spans="2:9" x14ac:dyDescent="0.3">
      <c r="B20" s="1">
        <v>46053</v>
      </c>
      <c r="C20" s="2">
        <v>4249</v>
      </c>
      <c r="D20" t="s">
        <v>36</v>
      </c>
      <c r="E20" t="s">
        <v>24</v>
      </c>
      <c r="H20" s="2">
        <v>303651</v>
      </c>
      <c r="I20" s="2">
        <f t="shared" si="0"/>
        <v>-4784401</v>
      </c>
    </row>
    <row r="21" spans="2:9" x14ac:dyDescent="0.3">
      <c r="B21" s="1">
        <v>46053</v>
      </c>
      <c r="C21" s="2">
        <v>4322</v>
      </c>
      <c r="D21" t="s">
        <v>37</v>
      </c>
      <c r="E21" t="s">
        <v>24</v>
      </c>
      <c r="H21" s="2">
        <v>984543</v>
      </c>
      <c r="I21" s="2">
        <f t="shared" si="0"/>
        <v>-5768944</v>
      </c>
    </row>
    <row r="22" spans="2:9" x14ac:dyDescent="0.3">
      <c r="B22" s="1">
        <v>46055</v>
      </c>
      <c r="C22" s="2">
        <v>4517</v>
      </c>
      <c r="D22" t="s">
        <v>38</v>
      </c>
      <c r="E22" t="s">
        <v>22</v>
      </c>
      <c r="H22" s="2">
        <v>9160</v>
      </c>
      <c r="I22" s="2">
        <f t="shared" si="0"/>
        <v>-5778104</v>
      </c>
    </row>
    <row r="23" spans="2:9" x14ac:dyDescent="0.3">
      <c r="B23" s="1">
        <v>46065</v>
      </c>
      <c r="C23" s="2">
        <v>4305</v>
      </c>
      <c r="D23" t="s">
        <v>39</v>
      </c>
      <c r="E23" t="s">
        <v>22</v>
      </c>
      <c r="G23" s="2">
        <v>1495588</v>
      </c>
      <c r="I23" s="2">
        <f t="shared" si="0"/>
        <v>-4282516</v>
      </c>
    </row>
    <row r="24" spans="2:9" x14ac:dyDescent="0.3">
      <c r="B24" s="1">
        <v>46065</v>
      </c>
      <c r="C24" s="2">
        <v>4306</v>
      </c>
      <c r="D24" t="s">
        <v>40</v>
      </c>
      <c r="E24" t="s">
        <v>12</v>
      </c>
      <c r="G24" s="2">
        <v>146634</v>
      </c>
      <c r="I24" s="2">
        <f t="shared" si="0"/>
        <v>-4135882</v>
      </c>
    </row>
    <row r="25" spans="2:9" x14ac:dyDescent="0.3">
      <c r="B25" s="1">
        <v>46065</v>
      </c>
      <c r="C25" s="2">
        <v>4307</v>
      </c>
      <c r="D25" t="s">
        <v>41</v>
      </c>
      <c r="E25" t="s">
        <v>14</v>
      </c>
      <c r="G25" s="2">
        <v>99008</v>
      </c>
      <c r="I25" s="2">
        <f t="shared" si="0"/>
        <v>-4036874</v>
      </c>
    </row>
    <row r="26" spans="2:9" x14ac:dyDescent="0.3">
      <c r="B26" s="1">
        <v>46065</v>
      </c>
      <c r="C26" s="2">
        <v>4308</v>
      </c>
      <c r="D26" t="s">
        <v>42</v>
      </c>
      <c r="E26" t="s">
        <v>18</v>
      </c>
      <c r="G26" s="2">
        <v>1437298</v>
      </c>
      <c r="I26" s="2">
        <f t="shared" si="0"/>
        <v>-2599576</v>
      </c>
    </row>
    <row r="27" spans="2:9" x14ac:dyDescent="0.3">
      <c r="B27" s="1">
        <v>46065</v>
      </c>
      <c r="C27" s="2">
        <v>4309</v>
      </c>
      <c r="D27" t="s">
        <v>43</v>
      </c>
      <c r="E27" t="s">
        <v>20</v>
      </c>
      <c r="G27" s="2">
        <v>86888</v>
      </c>
      <c r="I27" s="2">
        <f t="shared" si="0"/>
        <v>-2512688</v>
      </c>
    </row>
    <row r="28" spans="2:9" x14ac:dyDescent="0.3">
      <c r="B28" s="1">
        <v>46065</v>
      </c>
      <c r="C28" s="2">
        <v>4310</v>
      </c>
      <c r="D28" t="s">
        <v>44</v>
      </c>
      <c r="E28" t="s">
        <v>16</v>
      </c>
      <c r="G28" s="2">
        <v>140395</v>
      </c>
      <c r="I28" s="2">
        <f t="shared" si="0"/>
        <v>-2372293</v>
      </c>
    </row>
    <row r="29" spans="2:9" x14ac:dyDescent="0.3">
      <c r="B29" s="1">
        <v>46065</v>
      </c>
      <c r="C29" s="2">
        <v>4311</v>
      </c>
      <c r="D29" t="s">
        <v>45</v>
      </c>
      <c r="E29" t="s">
        <v>24</v>
      </c>
      <c r="G29" s="2">
        <v>303651</v>
      </c>
      <c r="I29" s="2">
        <f t="shared" si="0"/>
        <v>-2068642</v>
      </c>
    </row>
    <row r="30" spans="2:9" x14ac:dyDescent="0.3">
      <c r="B30" s="1">
        <v>46078</v>
      </c>
      <c r="C30" s="2">
        <v>4453</v>
      </c>
      <c r="D30" t="s">
        <v>29</v>
      </c>
      <c r="E30" t="s">
        <v>14</v>
      </c>
      <c r="H30" s="2">
        <v>38514</v>
      </c>
      <c r="I30" s="2">
        <f t="shared" si="0"/>
        <v>-2107156</v>
      </c>
    </row>
    <row r="31" spans="2:9" x14ac:dyDescent="0.3">
      <c r="B31" s="1">
        <v>46078</v>
      </c>
      <c r="C31" s="2">
        <v>4454</v>
      </c>
      <c r="D31" t="s">
        <v>36</v>
      </c>
      <c r="E31" t="s">
        <v>24</v>
      </c>
      <c r="H31" s="2">
        <v>1050155</v>
      </c>
      <c r="I31" s="2">
        <f t="shared" si="0"/>
        <v>-3157311</v>
      </c>
    </row>
    <row r="32" spans="2:9" x14ac:dyDescent="0.3">
      <c r="B32" s="1">
        <v>46078</v>
      </c>
      <c r="C32" s="2">
        <v>4454</v>
      </c>
      <c r="D32" t="s">
        <v>36</v>
      </c>
      <c r="E32" t="s">
        <v>24</v>
      </c>
      <c r="G32" s="2">
        <v>984543</v>
      </c>
      <c r="I32" s="2">
        <f t="shared" si="0"/>
        <v>-2172768</v>
      </c>
    </row>
    <row r="33" spans="2:9" x14ac:dyDescent="0.3">
      <c r="B33" s="1">
        <v>46078</v>
      </c>
      <c r="C33" s="2">
        <v>4454</v>
      </c>
      <c r="D33" t="s">
        <v>36</v>
      </c>
      <c r="E33" t="s">
        <v>24</v>
      </c>
      <c r="G33" s="2">
        <v>46725</v>
      </c>
      <c r="I33" s="2">
        <f t="shared" si="0"/>
        <v>-2126043</v>
      </c>
    </row>
    <row r="34" spans="2:9" x14ac:dyDescent="0.3">
      <c r="B34" s="1">
        <v>46078</v>
      </c>
      <c r="C34" s="2">
        <v>4454</v>
      </c>
      <c r="D34" t="s">
        <v>36</v>
      </c>
      <c r="E34" t="s">
        <v>24</v>
      </c>
      <c r="G34" s="2">
        <v>14910</v>
      </c>
      <c r="I34" s="2">
        <f t="shared" si="0"/>
        <v>-2111133</v>
      </c>
    </row>
    <row r="35" spans="2:9" x14ac:dyDescent="0.3">
      <c r="B35" s="1">
        <v>46078</v>
      </c>
      <c r="C35" s="2">
        <v>4455</v>
      </c>
      <c r="D35" t="s">
        <v>28</v>
      </c>
      <c r="E35" t="s">
        <v>16</v>
      </c>
      <c r="H35" s="2">
        <v>51431</v>
      </c>
      <c r="I35" s="2">
        <f t="shared" si="0"/>
        <v>-2162564</v>
      </c>
    </row>
    <row r="36" spans="2:9" x14ac:dyDescent="0.3">
      <c r="B36" s="1">
        <v>46078</v>
      </c>
      <c r="C36" s="2">
        <v>4456</v>
      </c>
      <c r="D36" t="s">
        <v>30</v>
      </c>
      <c r="E36" t="s">
        <v>12</v>
      </c>
      <c r="H36" s="2">
        <v>44849</v>
      </c>
      <c r="I36" s="2">
        <f t="shared" si="0"/>
        <v>-2207413</v>
      </c>
    </row>
    <row r="37" spans="2:9" x14ac:dyDescent="0.3">
      <c r="B37" s="1">
        <v>46078</v>
      </c>
      <c r="C37" s="2">
        <v>4457</v>
      </c>
      <c r="D37" t="s">
        <v>31</v>
      </c>
      <c r="E37" t="s">
        <v>18</v>
      </c>
      <c r="H37" s="2">
        <v>113423</v>
      </c>
      <c r="I37" s="2">
        <f t="shared" si="0"/>
        <v>-2320836</v>
      </c>
    </row>
    <row r="38" spans="2:9" x14ac:dyDescent="0.3">
      <c r="B38" s="1">
        <v>46078</v>
      </c>
      <c r="C38" s="2">
        <v>4458</v>
      </c>
      <c r="D38" t="s">
        <v>26</v>
      </c>
      <c r="E38" t="s">
        <v>22</v>
      </c>
      <c r="H38" s="2">
        <v>1329047</v>
      </c>
      <c r="I38" s="2">
        <f t="shared" si="0"/>
        <v>-3649883</v>
      </c>
    </row>
    <row r="39" spans="2:9" x14ac:dyDescent="0.3">
      <c r="B39" s="1">
        <v>46078</v>
      </c>
      <c r="C39" s="2">
        <v>4458</v>
      </c>
      <c r="D39" t="s">
        <v>26</v>
      </c>
      <c r="E39" t="s">
        <v>22</v>
      </c>
      <c r="G39" s="2">
        <v>11242</v>
      </c>
      <c r="I39" s="2">
        <f t="shared" si="0"/>
        <v>-3638641</v>
      </c>
    </row>
    <row r="40" spans="2:9" x14ac:dyDescent="0.3">
      <c r="B40" s="1">
        <v>46078</v>
      </c>
      <c r="C40" s="2">
        <v>4458</v>
      </c>
      <c r="D40" t="s">
        <v>26</v>
      </c>
      <c r="E40" t="s">
        <v>22</v>
      </c>
      <c r="G40" s="2">
        <v>592994</v>
      </c>
      <c r="I40" s="2">
        <f t="shared" si="0"/>
        <v>-3045647</v>
      </c>
    </row>
    <row r="41" spans="2:9" x14ac:dyDescent="0.3">
      <c r="B41" s="1">
        <v>46078</v>
      </c>
      <c r="C41" s="2">
        <v>4458</v>
      </c>
      <c r="D41" t="s">
        <v>26</v>
      </c>
      <c r="E41" t="s">
        <v>22</v>
      </c>
      <c r="G41" s="2">
        <v>30702</v>
      </c>
      <c r="I41" s="2">
        <f t="shared" si="0"/>
        <v>-3014945</v>
      </c>
    </row>
    <row r="42" spans="2:9" x14ac:dyDescent="0.3">
      <c r="B42" s="1">
        <v>46082</v>
      </c>
      <c r="C42" s="2">
        <v>4641</v>
      </c>
      <c r="D42" t="s">
        <v>46</v>
      </c>
      <c r="E42" t="s">
        <v>18</v>
      </c>
      <c r="G42" s="2">
        <v>165718</v>
      </c>
      <c r="I42" s="2">
        <f t="shared" si="0"/>
        <v>-2849227</v>
      </c>
    </row>
    <row r="43" spans="2:9" x14ac:dyDescent="0.3">
      <c r="B43" s="1">
        <v>46082</v>
      </c>
      <c r="C43" s="2">
        <v>4641</v>
      </c>
      <c r="D43" t="s">
        <v>46</v>
      </c>
      <c r="E43" t="s">
        <v>14</v>
      </c>
      <c r="G43" s="2">
        <v>33722</v>
      </c>
      <c r="I43" s="2">
        <f t="shared" si="0"/>
        <v>-2815505</v>
      </c>
    </row>
    <row r="44" spans="2:9" x14ac:dyDescent="0.3">
      <c r="B44" s="1">
        <v>46082</v>
      </c>
      <c r="C44" s="2">
        <v>4641</v>
      </c>
      <c r="D44" t="s">
        <v>46</v>
      </c>
      <c r="E44" t="s">
        <v>22</v>
      </c>
      <c r="G44" s="2">
        <v>260435</v>
      </c>
      <c r="I44" s="2">
        <f t="shared" si="0"/>
        <v>-2555070</v>
      </c>
    </row>
    <row r="45" spans="2:9" x14ac:dyDescent="0.3">
      <c r="B45" s="1">
        <v>46082</v>
      </c>
      <c r="C45" s="2">
        <v>4641</v>
      </c>
      <c r="D45" t="s">
        <v>46</v>
      </c>
      <c r="E45" t="s">
        <v>24</v>
      </c>
      <c r="H45" s="2">
        <v>71962</v>
      </c>
      <c r="I45" s="2">
        <f t="shared" si="0"/>
        <v>-2627032</v>
      </c>
    </row>
    <row r="46" spans="2:9" x14ac:dyDescent="0.3">
      <c r="B46" s="1">
        <v>46093</v>
      </c>
      <c r="C46" s="2">
        <v>4433</v>
      </c>
      <c r="D46" t="s">
        <v>47</v>
      </c>
      <c r="E46" t="s">
        <v>16</v>
      </c>
      <c r="G46" s="2">
        <v>51431</v>
      </c>
      <c r="I46" s="2">
        <f t="shared" si="0"/>
        <v>-2575601</v>
      </c>
    </row>
    <row r="47" spans="2:9" x14ac:dyDescent="0.3">
      <c r="B47" s="1">
        <v>46093</v>
      </c>
      <c r="C47" s="2">
        <v>4434</v>
      </c>
      <c r="D47" t="s">
        <v>48</v>
      </c>
      <c r="E47" t="s">
        <v>14</v>
      </c>
      <c r="G47" s="2">
        <v>38514</v>
      </c>
      <c r="I47" s="2">
        <f t="shared" si="0"/>
        <v>-2537087</v>
      </c>
    </row>
    <row r="48" spans="2:9" x14ac:dyDescent="0.3">
      <c r="B48" s="1">
        <v>46093</v>
      </c>
      <c r="C48" s="2">
        <v>4435</v>
      </c>
      <c r="D48" t="s">
        <v>49</v>
      </c>
      <c r="E48" t="s">
        <v>18</v>
      </c>
      <c r="G48" s="2">
        <v>113423</v>
      </c>
      <c r="I48" s="2">
        <f t="shared" si="0"/>
        <v>-2423664</v>
      </c>
    </row>
    <row r="49" spans="1:9" x14ac:dyDescent="0.3">
      <c r="B49" s="1">
        <v>46093</v>
      </c>
      <c r="C49" s="2">
        <v>4436</v>
      </c>
      <c r="D49" t="s">
        <v>50</v>
      </c>
      <c r="E49" t="s">
        <v>24</v>
      </c>
      <c r="G49" s="2">
        <v>1050155</v>
      </c>
      <c r="I49" s="2">
        <f t="shared" si="0"/>
        <v>-1373509</v>
      </c>
    </row>
    <row r="50" spans="1:9" x14ac:dyDescent="0.3">
      <c r="B50" s="1">
        <v>46093</v>
      </c>
      <c r="C50" s="2">
        <v>4437</v>
      </c>
      <c r="D50" t="s">
        <v>51</v>
      </c>
      <c r="E50" t="s">
        <v>22</v>
      </c>
      <c r="G50" s="2">
        <v>1159047</v>
      </c>
      <c r="I50" s="2">
        <f t="shared" si="0"/>
        <v>-214462</v>
      </c>
    </row>
    <row r="51" spans="1:9" x14ac:dyDescent="0.3">
      <c r="B51" s="1">
        <v>46093</v>
      </c>
      <c r="C51" s="2">
        <v>4438</v>
      </c>
      <c r="D51" t="s">
        <v>51</v>
      </c>
      <c r="E51" t="s">
        <v>12</v>
      </c>
      <c r="G51" s="2">
        <v>44849</v>
      </c>
      <c r="I51" s="2">
        <f t="shared" si="0"/>
        <v>-169613</v>
      </c>
    </row>
    <row r="52" spans="1:9" x14ac:dyDescent="0.3">
      <c r="B52" s="1">
        <v>46100</v>
      </c>
      <c r="C52" s="2">
        <v>4633</v>
      </c>
      <c r="D52" t="s">
        <v>52</v>
      </c>
      <c r="E52" t="s">
        <v>0</v>
      </c>
      <c r="H52" s="2">
        <v>3990</v>
      </c>
      <c r="I52" s="2">
        <f t="shared" si="0"/>
        <v>-173603</v>
      </c>
    </row>
    <row r="53" spans="1:9" x14ac:dyDescent="0.3">
      <c r="B53" s="1">
        <v>46107</v>
      </c>
      <c r="C53" s="2">
        <v>4594</v>
      </c>
      <c r="D53" t="s">
        <v>30</v>
      </c>
      <c r="E53" t="s">
        <v>12</v>
      </c>
      <c r="H53" s="2">
        <v>775062</v>
      </c>
      <c r="I53" s="2">
        <f t="shared" si="0"/>
        <v>-948665</v>
      </c>
    </row>
    <row r="54" spans="1:9" x14ac:dyDescent="0.3">
      <c r="B54" s="1">
        <v>46107</v>
      </c>
      <c r="C54" s="2">
        <v>4595</v>
      </c>
      <c r="D54" t="s">
        <v>29</v>
      </c>
      <c r="E54" t="s">
        <v>14</v>
      </c>
      <c r="H54" s="2">
        <v>28900</v>
      </c>
      <c r="I54" s="2">
        <f t="shared" si="0"/>
        <v>-977565</v>
      </c>
    </row>
    <row r="55" spans="1:9" x14ac:dyDescent="0.3">
      <c r="B55" s="1">
        <v>46107</v>
      </c>
      <c r="C55" s="2">
        <v>4596</v>
      </c>
      <c r="D55" t="s">
        <v>31</v>
      </c>
      <c r="E55" t="s">
        <v>18</v>
      </c>
      <c r="H55" s="2">
        <v>2499421</v>
      </c>
      <c r="I55" s="2">
        <f t="shared" si="0"/>
        <v>-3476986</v>
      </c>
    </row>
    <row r="56" spans="1:9" x14ac:dyDescent="0.3">
      <c r="B56" s="1">
        <v>46107</v>
      </c>
      <c r="C56" s="2">
        <v>4597</v>
      </c>
      <c r="D56" t="s">
        <v>28</v>
      </c>
      <c r="E56" t="s">
        <v>16</v>
      </c>
      <c r="H56" s="2">
        <v>98834</v>
      </c>
      <c r="I56" s="2">
        <f t="shared" si="0"/>
        <v>-3575820</v>
      </c>
    </row>
    <row r="57" spans="1:9" x14ac:dyDescent="0.3">
      <c r="B57" s="1">
        <v>46107</v>
      </c>
      <c r="C57" s="2">
        <v>4598</v>
      </c>
      <c r="D57" t="s">
        <v>26</v>
      </c>
      <c r="E57" t="s">
        <v>22</v>
      </c>
      <c r="H57" s="2">
        <v>2211560</v>
      </c>
      <c r="I57" s="2">
        <f t="shared" si="0"/>
        <v>-5787380</v>
      </c>
    </row>
    <row r="58" spans="1:9" x14ac:dyDescent="0.3">
      <c r="B58" s="1">
        <v>46107</v>
      </c>
      <c r="C58" s="2">
        <v>4598</v>
      </c>
      <c r="D58" t="s">
        <v>26</v>
      </c>
      <c r="E58" t="s">
        <v>22</v>
      </c>
      <c r="G58" s="2">
        <v>170000</v>
      </c>
      <c r="I58" s="2">
        <f t="shared" si="0"/>
        <v>-5617380</v>
      </c>
    </row>
    <row r="59" spans="1:9" x14ac:dyDescent="0.3">
      <c r="B59" s="1">
        <v>46112</v>
      </c>
      <c r="C59" s="2">
        <v>4634</v>
      </c>
      <c r="D59" t="s">
        <v>53</v>
      </c>
      <c r="E59" t="s">
        <v>22</v>
      </c>
      <c r="H59" s="2">
        <v>528200</v>
      </c>
      <c r="I59" s="2">
        <f t="shared" si="0"/>
        <v>-6145580</v>
      </c>
    </row>
    <row r="60" spans="1:9" x14ac:dyDescent="0.3">
      <c r="A60" t="s">
        <v>54</v>
      </c>
      <c r="G60" s="2">
        <v>11899088</v>
      </c>
      <c r="H60" s="2">
        <v>18044668</v>
      </c>
    </row>
    <row r="61" spans="1:9" x14ac:dyDescent="0.3">
      <c r="A61" t="s">
        <v>55</v>
      </c>
      <c r="I61" s="3">
        <v>-6145580</v>
      </c>
    </row>
    <row r="62" spans="1:9" x14ac:dyDescent="0.3">
      <c r="A62" t="s">
        <v>56</v>
      </c>
    </row>
    <row r="63" spans="1:9" x14ac:dyDescent="0.3">
      <c r="A63" t="s">
        <v>57</v>
      </c>
    </row>
  </sheetData>
  <autoFilter ref="A1:I71" xr:uid="{6A314F64-E705-4D95-AD94-0871CC4BB2A3}"/>
  <pageMargins left="0.7" right="0.7" top="0.75" bottom="0.75" header="0.3" footer="0.3"/>
  <headerFooter>
    <oddFooter>&amp;C_x000D_&amp;1#&amp;"Aptos"&amp;9&amp;K000000 Calificación: Publico, apto para su distribución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80965-7479-47C8-AA11-E40DE4DC9FEE}">
  <dimension ref="A1:K20"/>
  <sheetViews>
    <sheetView tabSelected="1" workbookViewId="0">
      <selection activeCell="K9" sqref="K9"/>
    </sheetView>
  </sheetViews>
  <sheetFormatPr baseColWidth="10" defaultRowHeight="14" x14ac:dyDescent="0.3"/>
  <cols>
    <col min="4" max="4" width="22.3984375" bestFit="1" customWidth="1"/>
  </cols>
  <sheetData>
    <row r="1" spans="1:9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9" x14ac:dyDescent="0.3">
      <c r="A2" s="1">
        <v>46036</v>
      </c>
      <c r="B2" s="2">
        <v>4195</v>
      </c>
      <c r="C2" t="s">
        <v>13</v>
      </c>
      <c r="D2" t="s">
        <v>12</v>
      </c>
      <c r="F2" s="2">
        <v>752789</v>
      </c>
      <c r="H2" s="2">
        <f>+F2</f>
        <v>752789</v>
      </c>
    </row>
    <row r="3" spans="1:9" x14ac:dyDescent="0.3">
      <c r="A3" s="1">
        <v>46050</v>
      </c>
      <c r="B3" s="2">
        <v>4246</v>
      </c>
      <c r="C3" t="s">
        <v>30</v>
      </c>
      <c r="D3" t="s">
        <v>12</v>
      </c>
      <c r="G3" s="2">
        <v>146634</v>
      </c>
      <c r="H3" s="2">
        <f>H2+F3-G3</f>
        <v>606155</v>
      </c>
    </row>
    <row r="4" spans="1:9" x14ac:dyDescent="0.3">
      <c r="A4" s="1">
        <v>46065</v>
      </c>
      <c r="B4" s="2">
        <v>4306</v>
      </c>
      <c r="C4" t="s">
        <v>40</v>
      </c>
      <c r="D4" t="s">
        <v>12</v>
      </c>
      <c r="F4" s="2">
        <v>146634</v>
      </c>
      <c r="H4" s="2">
        <f t="shared" ref="H4:H7" si="0">H3+F4-G4</f>
        <v>752789</v>
      </c>
    </row>
    <row r="5" spans="1:9" x14ac:dyDescent="0.3">
      <c r="A5" s="1">
        <v>46078</v>
      </c>
      <c r="B5" s="2">
        <v>4456</v>
      </c>
      <c r="C5" t="s">
        <v>30</v>
      </c>
      <c r="D5" t="s">
        <v>12</v>
      </c>
      <c r="G5" s="2">
        <v>44849</v>
      </c>
      <c r="H5" s="2">
        <f t="shared" si="0"/>
        <v>707940</v>
      </c>
    </row>
    <row r="6" spans="1:9" x14ac:dyDescent="0.3">
      <c r="A6" s="1">
        <v>46093</v>
      </c>
      <c r="B6" s="2">
        <v>4438</v>
      </c>
      <c r="C6" t="s">
        <v>51</v>
      </c>
      <c r="D6" t="s">
        <v>12</v>
      </c>
      <c r="F6" s="2">
        <v>44849</v>
      </c>
      <c r="H6" s="2">
        <f t="shared" si="0"/>
        <v>752789</v>
      </c>
    </row>
    <row r="7" spans="1:9" x14ac:dyDescent="0.3">
      <c r="A7" s="1">
        <v>46107</v>
      </c>
      <c r="B7" s="2">
        <v>4594</v>
      </c>
      <c r="C7" t="s">
        <v>30</v>
      </c>
      <c r="D7" t="s">
        <v>12</v>
      </c>
      <c r="G7" s="2">
        <v>775062</v>
      </c>
      <c r="H7" s="2">
        <f t="shared" si="0"/>
        <v>-22273</v>
      </c>
      <c r="I7" s="2">
        <f>+H7+jm!H12+cm!H4+cw!H17+fm!H7+sc!H8+ka!H8</f>
        <v>-2388348</v>
      </c>
    </row>
    <row r="8" spans="1:9" x14ac:dyDescent="0.3">
      <c r="I8">
        <v>-3753242</v>
      </c>
    </row>
    <row r="9" spans="1:9" x14ac:dyDescent="0.3">
      <c r="I9">
        <v>-3990</v>
      </c>
    </row>
    <row r="10" spans="1:9" x14ac:dyDescent="0.3">
      <c r="I10" s="5">
        <f>SUM(I7:I9)</f>
        <v>-6145580</v>
      </c>
    </row>
    <row r="11" spans="1:9" x14ac:dyDescent="0.3">
      <c r="A11" t="s">
        <v>2</v>
      </c>
      <c r="B11" t="s">
        <v>3</v>
      </c>
      <c r="C11" t="s">
        <v>59</v>
      </c>
      <c r="D11" t="s">
        <v>4</v>
      </c>
      <c r="E11" t="s">
        <v>5</v>
      </c>
      <c r="G11" t="s">
        <v>6</v>
      </c>
      <c r="H11" t="s">
        <v>7</v>
      </c>
      <c r="I11" t="s">
        <v>8</v>
      </c>
    </row>
    <row r="12" spans="1:9" x14ac:dyDescent="0.3">
      <c r="A12" s="1">
        <v>46050</v>
      </c>
      <c r="B12" s="2">
        <v>4246</v>
      </c>
      <c r="C12" t="s">
        <v>30</v>
      </c>
      <c r="D12" t="s">
        <v>12</v>
      </c>
      <c r="G12" s="2">
        <v>89175</v>
      </c>
      <c r="I12" s="2">
        <f>+G12</f>
        <v>89175</v>
      </c>
    </row>
    <row r="13" spans="1:9" x14ac:dyDescent="0.3">
      <c r="A13" s="1">
        <v>46053</v>
      </c>
      <c r="C13" t="s">
        <v>60</v>
      </c>
      <c r="D13" t="s">
        <v>12</v>
      </c>
      <c r="G13" s="2">
        <v>4332</v>
      </c>
      <c r="I13" s="2">
        <f>I12+G13-H13</f>
        <v>93507</v>
      </c>
    </row>
    <row r="14" spans="1:9" x14ac:dyDescent="0.3">
      <c r="A14" s="1">
        <v>46078</v>
      </c>
      <c r="B14" s="2">
        <v>4456</v>
      </c>
      <c r="C14" t="s">
        <v>30</v>
      </c>
      <c r="D14" t="s">
        <v>12</v>
      </c>
      <c r="H14" s="2">
        <v>411306</v>
      </c>
      <c r="I14" s="2">
        <f t="shared" ref="I14:I18" si="1">I13+G14-H14</f>
        <v>-317799</v>
      </c>
    </row>
    <row r="15" spans="1:9" x14ac:dyDescent="0.3">
      <c r="A15" s="1">
        <v>46081</v>
      </c>
      <c r="C15" t="s">
        <v>60</v>
      </c>
      <c r="D15" t="s">
        <v>12</v>
      </c>
      <c r="I15" s="2">
        <f t="shared" si="1"/>
        <v>-317799</v>
      </c>
    </row>
    <row r="16" spans="1:9" x14ac:dyDescent="0.3">
      <c r="A16" s="1">
        <v>46107</v>
      </c>
      <c r="B16" s="2">
        <v>4594</v>
      </c>
      <c r="C16" t="s">
        <v>30</v>
      </c>
      <c r="D16" t="s">
        <v>12</v>
      </c>
      <c r="H16" s="2">
        <v>220087</v>
      </c>
      <c r="I16" s="2">
        <f t="shared" si="1"/>
        <v>-537886</v>
      </c>
    </row>
    <row r="17" spans="1:11" x14ac:dyDescent="0.3">
      <c r="A17" s="1">
        <v>46107</v>
      </c>
      <c r="B17" s="2">
        <v>4594</v>
      </c>
      <c r="C17" t="s">
        <v>30</v>
      </c>
      <c r="D17" t="s">
        <v>12</v>
      </c>
      <c r="G17" s="2">
        <v>431328</v>
      </c>
      <c r="I17" s="2">
        <f t="shared" si="1"/>
        <v>-106558</v>
      </c>
    </row>
    <row r="18" spans="1:11" x14ac:dyDescent="0.3">
      <c r="A18" s="1">
        <v>46112</v>
      </c>
      <c r="C18" t="s">
        <v>60</v>
      </c>
      <c r="D18" t="s">
        <v>12</v>
      </c>
      <c r="H18" s="2">
        <v>23305</v>
      </c>
      <c r="I18" s="2">
        <f t="shared" si="1"/>
        <v>-129863</v>
      </c>
      <c r="J18" s="2">
        <f>+I18+cm!I9+cw!I28+fm!I18+sc!I19+ka!I18</f>
        <v>411021</v>
      </c>
    </row>
    <row r="19" spans="1:11" x14ac:dyDescent="0.3">
      <c r="J19">
        <v>-1046538</v>
      </c>
    </row>
    <row r="20" spans="1:11" x14ac:dyDescent="0.3">
      <c r="J20" s="5">
        <f>SUM(J18:J19)</f>
        <v>-635517</v>
      </c>
      <c r="K20" s="2">
        <f>+I10+J20</f>
        <v>-6781097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0D467B-8CD7-4968-B558-DAD422872082}">
  <dimension ref="A1:H12"/>
  <sheetViews>
    <sheetView workbookViewId="0">
      <selection activeCell="G17" sqref="G17"/>
    </sheetView>
  </sheetViews>
  <sheetFormatPr baseColWidth="10" defaultRowHeight="14" x14ac:dyDescent="0.3"/>
  <cols>
    <col min="4" max="4" width="19.09765625" bestFit="1" customWidth="1"/>
  </cols>
  <sheetData>
    <row r="1" spans="1:8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 x14ac:dyDescent="0.3">
      <c r="A2" s="1">
        <v>46049</v>
      </c>
      <c r="B2" s="2">
        <v>4316</v>
      </c>
      <c r="C2" t="s">
        <v>25</v>
      </c>
      <c r="D2" t="s">
        <v>24</v>
      </c>
      <c r="G2" s="2">
        <v>14910</v>
      </c>
      <c r="H2" s="2">
        <f>-G2</f>
        <v>-14910</v>
      </c>
    </row>
    <row r="3" spans="1:8" x14ac:dyDescent="0.3">
      <c r="A3" s="1">
        <v>46051</v>
      </c>
      <c r="B3" s="2">
        <v>4317</v>
      </c>
      <c r="C3" t="s">
        <v>33</v>
      </c>
      <c r="D3" t="s">
        <v>24</v>
      </c>
      <c r="G3" s="2">
        <v>46725</v>
      </c>
      <c r="H3" s="2">
        <f>H2+F3-G3</f>
        <v>-61635</v>
      </c>
    </row>
    <row r="4" spans="1:8" x14ac:dyDescent="0.3">
      <c r="A4" s="1">
        <v>46053</v>
      </c>
      <c r="B4" s="2">
        <v>4249</v>
      </c>
      <c r="C4" t="s">
        <v>36</v>
      </c>
      <c r="D4" t="s">
        <v>24</v>
      </c>
      <c r="G4" s="2">
        <v>303651</v>
      </c>
      <c r="H4" s="2">
        <f t="shared" ref="H4:H12" si="0">H3+F4-G4</f>
        <v>-365286</v>
      </c>
    </row>
    <row r="5" spans="1:8" x14ac:dyDescent="0.3">
      <c r="A5" s="1">
        <v>46053</v>
      </c>
      <c r="B5" s="2">
        <v>4322</v>
      </c>
      <c r="C5" t="s">
        <v>37</v>
      </c>
      <c r="D5" t="s">
        <v>24</v>
      </c>
      <c r="G5" s="2">
        <v>984543</v>
      </c>
      <c r="H5" s="2">
        <f t="shared" si="0"/>
        <v>-1349829</v>
      </c>
    </row>
    <row r="6" spans="1:8" x14ac:dyDescent="0.3">
      <c r="A6" s="1">
        <v>46065</v>
      </c>
      <c r="B6" s="2">
        <v>4311</v>
      </c>
      <c r="C6" t="s">
        <v>45</v>
      </c>
      <c r="D6" t="s">
        <v>24</v>
      </c>
      <c r="F6" s="2">
        <v>303651</v>
      </c>
      <c r="H6" s="2">
        <f t="shared" si="0"/>
        <v>-1046178</v>
      </c>
    </row>
    <row r="7" spans="1:8" x14ac:dyDescent="0.3">
      <c r="A7" s="1">
        <v>46078</v>
      </c>
      <c r="B7" s="2">
        <v>4454</v>
      </c>
      <c r="C7" t="s">
        <v>36</v>
      </c>
      <c r="D7" t="s">
        <v>24</v>
      </c>
      <c r="G7" s="2">
        <v>1050155</v>
      </c>
      <c r="H7" s="2">
        <f t="shared" si="0"/>
        <v>-2096333</v>
      </c>
    </row>
    <row r="8" spans="1:8" x14ac:dyDescent="0.3">
      <c r="A8" s="1">
        <v>46078</v>
      </c>
      <c r="B8" s="2">
        <v>4454</v>
      </c>
      <c r="C8" t="s">
        <v>36</v>
      </c>
      <c r="D8" t="s">
        <v>24</v>
      </c>
      <c r="F8" s="2">
        <v>984543</v>
      </c>
      <c r="H8" s="2">
        <f t="shared" si="0"/>
        <v>-1111790</v>
      </c>
    </row>
    <row r="9" spans="1:8" x14ac:dyDescent="0.3">
      <c r="A9" s="1">
        <v>46078</v>
      </c>
      <c r="B9" s="2">
        <v>4454</v>
      </c>
      <c r="C9" t="s">
        <v>36</v>
      </c>
      <c r="D9" t="s">
        <v>24</v>
      </c>
      <c r="F9" s="2">
        <v>46725</v>
      </c>
      <c r="H9" s="2">
        <f t="shared" si="0"/>
        <v>-1065065</v>
      </c>
    </row>
    <row r="10" spans="1:8" x14ac:dyDescent="0.3">
      <c r="A10" s="1">
        <v>46078</v>
      </c>
      <c r="B10" s="2">
        <v>4454</v>
      </c>
      <c r="C10" t="s">
        <v>36</v>
      </c>
      <c r="D10" t="s">
        <v>24</v>
      </c>
      <c r="F10" s="2">
        <v>14910</v>
      </c>
      <c r="H10" s="2">
        <f t="shared" si="0"/>
        <v>-1050155</v>
      </c>
    </row>
    <row r="11" spans="1:8" x14ac:dyDescent="0.3">
      <c r="A11" s="1">
        <v>46082</v>
      </c>
      <c r="B11" s="2">
        <v>4641</v>
      </c>
      <c r="C11" t="s">
        <v>46</v>
      </c>
      <c r="D11" t="s">
        <v>24</v>
      </c>
      <c r="G11" s="2">
        <v>71962</v>
      </c>
      <c r="H11" s="2">
        <f t="shared" si="0"/>
        <v>-1122117</v>
      </c>
    </row>
    <row r="12" spans="1:8" x14ac:dyDescent="0.3">
      <c r="A12" s="1">
        <v>46093</v>
      </c>
      <c r="B12" s="2">
        <v>4436</v>
      </c>
      <c r="C12" t="s">
        <v>50</v>
      </c>
      <c r="D12" t="s">
        <v>24</v>
      </c>
      <c r="F12" s="2">
        <v>1050155</v>
      </c>
      <c r="H12" s="2">
        <f t="shared" si="0"/>
        <v>-71962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42BE00-E5D5-45F8-AED7-5C47B2DD4014}">
  <dimension ref="A1:J9"/>
  <sheetViews>
    <sheetView workbookViewId="0">
      <selection activeCell="J10" sqref="J10"/>
    </sheetView>
  </sheetViews>
  <sheetFormatPr baseColWidth="10" defaultRowHeight="14" x14ac:dyDescent="0.3"/>
  <cols>
    <col min="4" max="4" width="34.59765625" bestFit="1" customWidth="1"/>
  </cols>
  <sheetData>
    <row r="1" spans="1:10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10" x14ac:dyDescent="0.3">
      <c r="A2" s="1">
        <v>46036</v>
      </c>
      <c r="B2" s="2">
        <v>4199</v>
      </c>
      <c r="C2" t="s">
        <v>21</v>
      </c>
      <c r="D2" t="s">
        <v>20</v>
      </c>
      <c r="F2" s="2">
        <v>719990</v>
      </c>
      <c r="H2" s="2">
        <f>+F2</f>
        <v>719990</v>
      </c>
    </row>
    <row r="3" spans="1:10" x14ac:dyDescent="0.3">
      <c r="A3" s="1">
        <v>46050</v>
      </c>
      <c r="B3" s="2">
        <v>4243</v>
      </c>
      <c r="C3" t="s">
        <v>27</v>
      </c>
      <c r="D3" t="s">
        <v>20</v>
      </c>
      <c r="G3" s="2">
        <v>86888</v>
      </c>
      <c r="H3" s="2">
        <f>H2+F3-G3</f>
        <v>633102</v>
      </c>
    </row>
    <row r="4" spans="1:10" x14ac:dyDescent="0.3">
      <c r="A4" s="1">
        <v>46065</v>
      </c>
      <c r="B4" s="2">
        <v>4309</v>
      </c>
      <c r="C4" t="s">
        <v>43</v>
      </c>
      <c r="D4" t="s">
        <v>20</v>
      </c>
      <c r="F4" s="2">
        <v>86888</v>
      </c>
      <c r="H4" s="2">
        <f>H3+F4-G4</f>
        <v>719990</v>
      </c>
    </row>
    <row r="7" spans="1:10" x14ac:dyDescent="0.3">
      <c r="A7" t="s">
        <v>2</v>
      </c>
      <c r="B7" t="s">
        <v>3</v>
      </c>
      <c r="C7" t="s">
        <v>59</v>
      </c>
      <c r="D7" t="s">
        <v>4</v>
      </c>
      <c r="E7" t="s">
        <v>5</v>
      </c>
      <c r="G7" t="s">
        <v>6</v>
      </c>
      <c r="H7" t="s">
        <v>7</v>
      </c>
      <c r="I7" t="s">
        <v>8</v>
      </c>
    </row>
    <row r="8" spans="1:10" x14ac:dyDescent="0.3">
      <c r="A8" s="1">
        <v>46050</v>
      </c>
      <c r="B8" s="2">
        <v>4243</v>
      </c>
      <c r="C8" t="s">
        <v>27</v>
      </c>
      <c r="D8" t="s">
        <v>20</v>
      </c>
      <c r="G8" s="2">
        <v>76613</v>
      </c>
      <c r="I8" s="2">
        <f>+G8</f>
        <v>76613</v>
      </c>
    </row>
    <row r="9" spans="1:10" x14ac:dyDescent="0.3">
      <c r="A9" s="1">
        <v>46053</v>
      </c>
      <c r="C9" t="s">
        <v>60</v>
      </c>
      <c r="D9" t="s">
        <v>20</v>
      </c>
      <c r="G9" s="2">
        <v>3722</v>
      </c>
      <c r="I9" s="2">
        <f>I8+G9</f>
        <v>80335</v>
      </c>
      <c r="J9" s="2">
        <f>+I9+H4</f>
        <v>800325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52374-3155-4DF6-8291-D4EA9A538360}">
  <dimension ref="A1:J28"/>
  <sheetViews>
    <sheetView topLeftCell="A10" workbookViewId="0">
      <selection activeCell="J29" sqref="J29"/>
    </sheetView>
  </sheetViews>
  <sheetFormatPr baseColWidth="10" defaultRowHeight="14" x14ac:dyDescent="0.3"/>
  <sheetData>
    <row r="1" spans="1:8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8" x14ac:dyDescent="0.3">
      <c r="A2" s="1">
        <v>46036</v>
      </c>
      <c r="B2" s="2">
        <v>4200</v>
      </c>
      <c r="C2" t="s">
        <v>23</v>
      </c>
      <c r="D2" t="s">
        <v>22</v>
      </c>
      <c r="F2" s="2">
        <v>1121283</v>
      </c>
      <c r="H2" s="2">
        <f>+F2</f>
        <v>1121283</v>
      </c>
    </row>
    <row r="3" spans="1:8" x14ac:dyDescent="0.3">
      <c r="A3" s="1">
        <v>46050</v>
      </c>
      <c r="B3" s="2">
        <v>4242</v>
      </c>
      <c r="C3" t="s">
        <v>26</v>
      </c>
      <c r="D3" t="s">
        <v>22</v>
      </c>
      <c r="G3" s="2">
        <v>1333628</v>
      </c>
      <c r="H3" s="2">
        <f>H2+F3-G3</f>
        <v>-212345</v>
      </c>
    </row>
    <row r="4" spans="1:8" x14ac:dyDescent="0.3">
      <c r="A4" s="1">
        <v>46050</v>
      </c>
      <c r="B4" s="2">
        <v>4321</v>
      </c>
      <c r="C4" t="s">
        <v>32</v>
      </c>
      <c r="D4" t="s">
        <v>22</v>
      </c>
      <c r="G4" s="2">
        <v>30700</v>
      </c>
      <c r="H4" s="2">
        <f t="shared" ref="H4:H17" si="0">H3+F4-G4</f>
        <v>-243045</v>
      </c>
    </row>
    <row r="5" spans="1:8" x14ac:dyDescent="0.3">
      <c r="A5" s="1">
        <v>46051</v>
      </c>
      <c r="B5" s="2">
        <v>4319</v>
      </c>
      <c r="C5" t="s">
        <v>34</v>
      </c>
      <c r="D5" t="s">
        <v>22</v>
      </c>
      <c r="G5" s="2">
        <v>11242</v>
      </c>
      <c r="H5" s="2">
        <f t="shared" si="0"/>
        <v>-254287</v>
      </c>
    </row>
    <row r="6" spans="1:8" x14ac:dyDescent="0.3">
      <c r="A6" s="1">
        <v>46051</v>
      </c>
      <c r="B6" s="2">
        <v>4320</v>
      </c>
      <c r="C6" t="s">
        <v>35</v>
      </c>
      <c r="D6" t="s">
        <v>22</v>
      </c>
      <c r="G6" s="2">
        <v>583835</v>
      </c>
      <c r="H6" s="2">
        <f t="shared" si="0"/>
        <v>-838122</v>
      </c>
    </row>
    <row r="7" spans="1:8" x14ac:dyDescent="0.3">
      <c r="A7" s="1">
        <v>46055</v>
      </c>
      <c r="B7" s="2">
        <v>4517</v>
      </c>
      <c r="C7" t="s">
        <v>38</v>
      </c>
      <c r="D7" t="s">
        <v>22</v>
      </c>
      <c r="G7" s="2">
        <v>9160</v>
      </c>
      <c r="H7" s="2">
        <f t="shared" si="0"/>
        <v>-847282</v>
      </c>
    </row>
    <row r="8" spans="1:8" x14ac:dyDescent="0.3">
      <c r="A8" s="1">
        <v>46065</v>
      </c>
      <c r="B8" s="2">
        <v>4305</v>
      </c>
      <c r="C8" t="s">
        <v>39</v>
      </c>
      <c r="D8" t="s">
        <v>22</v>
      </c>
      <c r="F8" s="2">
        <v>1495588</v>
      </c>
      <c r="H8" s="2">
        <f t="shared" si="0"/>
        <v>648306</v>
      </c>
    </row>
    <row r="9" spans="1:8" x14ac:dyDescent="0.3">
      <c r="A9" s="1">
        <v>46078</v>
      </c>
      <c r="B9" s="2">
        <v>4458</v>
      </c>
      <c r="C9" t="s">
        <v>26</v>
      </c>
      <c r="D9" t="s">
        <v>22</v>
      </c>
      <c r="G9" s="2">
        <v>1329047</v>
      </c>
      <c r="H9" s="2">
        <f t="shared" si="0"/>
        <v>-680741</v>
      </c>
    </row>
    <row r="10" spans="1:8" x14ac:dyDescent="0.3">
      <c r="A10" s="1">
        <v>46078</v>
      </c>
      <c r="B10" s="2">
        <v>4458</v>
      </c>
      <c r="C10" t="s">
        <v>26</v>
      </c>
      <c r="D10" t="s">
        <v>22</v>
      </c>
      <c r="F10" s="2">
        <v>11242</v>
      </c>
      <c r="H10" s="2">
        <f t="shared" si="0"/>
        <v>-669499</v>
      </c>
    </row>
    <row r="11" spans="1:8" x14ac:dyDescent="0.3">
      <c r="A11" s="1">
        <v>46078</v>
      </c>
      <c r="B11" s="2">
        <v>4458</v>
      </c>
      <c r="C11" t="s">
        <v>26</v>
      </c>
      <c r="D11" t="s">
        <v>22</v>
      </c>
      <c r="F11" s="2">
        <v>592994</v>
      </c>
      <c r="H11" s="2">
        <f t="shared" si="0"/>
        <v>-76505</v>
      </c>
    </row>
    <row r="12" spans="1:8" x14ac:dyDescent="0.3">
      <c r="A12" s="1">
        <v>46078</v>
      </c>
      <c r="B12" s="2">
        <v>4458</v>
      </c>
      <c r="C12" t="s">
        <v>26</v>
      </c>
      <c r="D12" t="s">
        <v>22</v>
      </c>
      <c r="F12" s="2">
        <v>30702</v>
      </c>
      <c r="H12" s="2">
        <f t="shared" si="0"/>
        <v>-45803</v>
      </c>
    </row>
    <row r="13" spans="1:8" x14ac:dyDescent="0.3">
      <c r="A13" s="1">
        <v>46082</v>
      </c>
      <c r="B13" s="2">
        <v>4641</v>
      </c>
      <c r="C13" t="s">
        <v>46</v>
      </c>
      <c r="D13" t="s">
        <v>22</v>
      </c>
      <c r="F13" s="2">
        <v>260435</v>
      </c>
      <c r="H13" s="2">
        <f t="shared" si="0"/>
        <v>214632</v>
      </c>
    </row>
    <row r="14" spans="1:8" x14ac:dyDescent="0.3">
      <c r="A14" s="1">
        <v>46093</v>
      </c>
      <c r="B14" s="2">
        <v>4437</v>
      </c>
      <c r="C14" t="s">
        <v>51</v>
      </c>
      <c r="D14" t="s">
        <v>22</v>
      </c>
      <c r="F14" s="2">
        <v>1159047</v>
      </c>
      <c r="H14" s="2">
        <f t="shared" si="0"/>
        <v>1373679</v>
      </c>
    </row>
    <row r="15" spans="1:8" x14ac:dyDescent="0.3">
      <c r="A15" s="1">
        <v>46107</v>
      </c>
      <c r="B15" s="2">
        <v>4598</v>
      </c>
      <c r="C15" t="s">
        <v>26</v>
      </c>
      <c r="D15" t="s">
        <v>22</v>
      </c>
      <c r="G15" s="2">
        <v>2211560</v>
      </c>
      <c r="H15" s="2">
        <f t="shared" si="0"/>
        <v>-837881</v>
      </c>
    </row>
    <row r="16" spans="1:8" x14ac:dyDescent="0.3">
      <c r="A16" s="1">
        <v>46107</v>
      </c>
      <c r="B16" s="2">
        <v>4598</v>
      </c>
      <c r="C16" t="s">
        <v>26</v>
      </c>
      <c r="D16" t="s">
        <v>22</v>
      </c>
      <c r="F16" s="2">
        <v>170000</v>
      </c>
      <c r="H16" s="2">
        <f t="shared" si="0"/>
        <v>-667881</v>
      </c>
    </row>
    <row r="17" spans="1:10" x14ac:dyDescent="0.3">
      <c r="A17" s="1">
        <v>46112</v>
      </c>
      <c r="B17" s="2">
        <v>4634</v>
      </c>
      <c r="C17" t="s">
        <v>53</v>
      </c>
      <c r="D17" t="s">
        <v>22</v>
      </c>
      <c r="G17" s="2">
        <v>528200</v>
      </c>
      <c r="H17" s="2">
        <f t="shared" si="0"/>
        <v>-1196081</v>
      </c>
    </row>
    <row r="19" spans="1:10" x14ac:dyDescent="0.3">
      <c r="A19" t="s">
        <v>2</v>
      </c>
      <c r="B19" t="s">
        <v>3</v>
      </c>
      <c r="C19" t="s">
        <v>59</v>
      </c>
      <c r="D19" t="s">
        <v>4</v>
      </c>
      <c r="E19" t="s">
        <v>5</v>
      </c>
      <c r="G19" t="s">
        <v>6</v>
      </c>
      <c r="H19" t="s">
        <v>7</v>
      </c>
      <c r="I19" t="s">
        <v>8</v>
      </c>
    </row>
    <row r="20" spans="1:10" x14ac:dyDescent="0.3">
      <c r="A20" s="1">
        <v>46050</v>
      </c>
      <c r="B20" s="2">
        <v>4242</v>
      </c>
      <c r="C20" t="s">
        <v>26</v>
      </c>
      <c r="D20" t="s">
        <v>22</v>
      </c>
      <c r="H20" s="2">
        <v>198973</v>
      </c>
      <c r="I20" s="2">
        <f>-H20</f>
        <v>-198973</v>
      </c>
    </row>
    <row r="21" spans="1:10" x14ac:dyDescent="0.3">
      <c r="A21" s="1">
        <v>46050</v>
      </c>
      <c r="B21" s="2">
        <v>4242</v>
      </c>
      <c r="C21" t="s">
        <v>26</v>
      </c>
      <c r="D21" t="s">
        <v>22</v>
      </c>
      <c r="G21" s="2">
        <v>42009</v>
      </c>
      <c r="I21" s="2">
        <f>I20+G21-H21</f>
        <v>-156964</v>
      </c>
    </row>
    <row r="22" spans="1:10" x14ac:dyDescent="0.3">
      <c r="A22" s="1">
        <v>46053</v>
      </c>
      <c r="C22" t="s">
        <v>60</v>
      </c>
      <c r="D22" t="s">
        <v>22</v>
      </c>
      <c r="G22" s="2">
        <v>2041</v>
      </c>
      <c r="I22" s="2">
        <f t="shared" ref="I22:I28" si="1">I21+G22-H22</f>
        <v>-154923</v>
      </c>
    </row>
    <row r="23" spans="1:10" x14ac:dyDescent="0.3">
      <c r="A23" s="1">
        <v>46078</v>
      </c>
      <c r="B23" s="2">
        <v>4458</v>
      </c>
      <c r="C23" t="s">
        <v>26</v>
      </c>
      <c r="D23" t="s">
        <v>22</v>
      </c>
      <c r="H23" s="2">
        <v>1010862</v>
      </c>
      <c r="I23" s="2">
        <f t="shared" si="1"/>
        <v>-1165785</v>
      </c>
    </row>
    <row r="24" spans="1:10" x14ac:dyDescent="0.3">
      <c r="A24" s="1">
        <v>46078</v>
      </c>
      <c r="B24" s="2">
        <v>4458</v>
      </c>
      <c r="C24" t="s">
        <v>26</v>
      </c>
      <c r="D24" t="s">
        <v>22</v>
      </c>
      <c r="G24" s="2">
        <v>200424</v>
      </c>
      <c r="I24" s="2">
        <f t="shared" si="1"/>
        <v>-965361</v>
      </c>
    </row>
    <row r="25" spans="1:10" x14ac:dyDescent="0.3">
      <c r="A25" s="1">
        <v>46081</v>
      </c>
      <c r="C25" t="s">
        <v>60</v>
      </c>
      <c r="D25" t="s">
        <v>22</v>
      </c>
      <c r="H25" s="2">
        <v>1451</v>
      </c>
      <c r="I25" s="2">
        <f t="shared" si="1"/>
        <v>-966812</v>
      </c>
    </row>
    <row r="26" spans="1:10" x14ac:dyDescent="0.3">
      <c r="A26" s="1">
        <v>46107</v>
      </c>
      <c r="B26" s="2">
        <v>4598</v>
      </c>
      <c r="C26" t="s">
        <v>26</v>
      </c>
      <c r="D26" t="s">
        <v>22</v>
      </c>
      <c r="H26" s="2">
        <v>87819</v>
      </c>
      <c r="I26" s="2">
        <f t="shared" si="1"/>
        <v>-1054631</v>
      </c>
    </row>
    <row r="27" spans="1:10" x14ac:dyDescent="0.3">
      <c r="A27" s="1">
        <v>46107</v>
      </c>
      <c r="B27" s="2">
        <v>4598</v>
      </c>
      <c r="C27" t="s">
        <v>26</v>
      </c>
      <c r="D27" t="s">
        <v>22</v>
      </c>
      <c r="G27" s="2">
        <v>1060070</v>
      </c>
      <c r="I27" s="2">
        <f t="shared" si="1"/>
        <v>5439</v>
      </c>
    </row>
    <row r="28" spans="1:10" x14ac:dyDescent="0.3">
      <c r="A28" s="1">
        <v>46112</v>
      </c>
      <c r="C28" t="s">
        <v>60</v>
      </c>
      <c r="D28" t="s">
        <v>22</v>
      </c>
      <c r="H28" s="2">
        <v>50518</v>
      </c>
      <c r="I28" s="2">
        <f t="shared" si="1"/>
        <v>-45079</v>
      </c>
      <c r="J28" s="2">
        <f>+I28+H17</f>
        <v>-1241160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50C1F-DB4A-499D-B4B6-D7588DE3DC48}">
  <dimension ref="A1:J18"/>
  <sheetViews>
    <sheetView workbookViewId="0">
      <selection activeCell="J19" sqref="J19"/>
    </sheetView>
  </sheetViews>
  <sheetFormatPr baseColWidth="10" defaultRowHeight="14" x14ac:dyDescent="0.3"/>
  <cols>
    <col min="4" max="4" width="24.09765625" bestFit="1" customWidth="1"/>
  </cols>
  <sheetData>
    <row r="1" spans="1:9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9" x14ac:dyDescent="0.3">
      <c r="A2" s="1">
        <v>46036</v>
      </c>
      <c r="B2" s="2">
        <v>4197</v>
      </c>
      <c r="C2" t="s">
        <v>17</v>
      </c>
      <c r="D2" t="s">
        <v>16</v>
      </c>
      <c r="F2" s="2">
        <v>7314</v>
      </c>
      <c r="H2" s="2">
        <f>+F2</f>
        <v>7314</v>
      </c>
    </row>
    <row r="3" spans="1:9" x14ac:dyDescent="0.3">
      <c r="A3" s="1">
        <v>46050</v>
      </c>
      <c r="B3" s="2">
        <v>4244</v>
      </c>
      <c r="C3" t="s">
        <v>28</v>
      </c>
      <c r="D3" t="s">
        <v>16</v>
      </c>
      <c r="G3" s="2">
        <v>140395</v>
      </c>
      <c r="H3" s="2">
        <f>H2+F3-G3</f>
        <v>-133081</v>
      </c>
    </row>
    <row r="4" spans="1:9" x14ac:dyDescent="0.3">
      <c r="A4" s="1">
        <v>46065</v>
      </c>
      <c r="B4" s="2">
        <v>4310</v>
      </c>
      <c r="C4" t="s">
        <v>44</v>
      </c>
      <c r="D4" t="s">
        <v>16</v>
      </c>
      <c r="F4" s="2">
        <v>140395</v>
      </c>
      <c r="H4" s="2">
        <f t="shared" ref="H4:H7" si="0">H3+F4-G4</f>
        <v>7314</v>
      </c>
    </row>
    <row r="5" spans="1:9" x14ac:dyDescent="0.3">
      <c r="A5" s="1">
        <v>46078</v>
      </c>
      <c r="B5" s="2">
        <v>4455</v>
      </c>
      <c r="C5" t="s">
        <v>28</v>
      </c>
      <c r="D5" t="s">
        <v>16</v>
      </c>
      <c r="G5" s="2">
        <v>51431</v>
      </c>
      <c r="H5" s="2">
        <f t="shared" si="0"/>
        <v>-44117</v>
      </c>
    </row>
    <row r="6" spans="1:9" x14ac:dyDescent="0.3">
      <c r="A6" s="1">
        <v>46093</v>
      </c>
      <c r="B6" s="2">
        <v>4433</v>
      </c>
      <c r="C6" t="s">
        <v>47</v>
      </c>
      <c r="D6" t="s">
        <v>16</v>
      </c>
      <c r="F6" s="2">
        <v>51431</v>
      </c>
      <c r="H6" s="2">
        <f t="shared" si="0"/>
        <v>7314</v>
      </c>
    </row>
    <row r="7" spans="1:9" x14ac:dyDescent="0.3">
      <c r="A7" s="1">
        <v>46107</v>
      </c>
      <c r="B7" s="2">
        <v>4597</v>
      </c>
      <c r="C7" t="s">
        <v>28</v>
      </c>
      <c r="D7" t="s">
        <v>16</v>
      </c>
      <c r="G7" s="2">
        <v>98834</v>
      </c>
      <c r="H7" s="2">
        <f t="shared" si="0"/>
        <v>-91520</v>
      </c>
    </row>
    <row r="10" spans="1:9" x14ac:dyDescent="0.3">
      <c r="A10" t="s">
        <v>2</v>
      </c>
      <c r="B10" t="s">
        <v>3</v>
      </c>
      <c r="C10" t="s">
        <v>59</v>
      </c>
      <c r="D10" t="s">
        <v>4</v>
      </c>
      <c r="E10" t="s">
        <v>5</v>
      </c>
      <c r="G10" t="s">
        <v>6</v>
      </c>
      <c r="H10" t="s">
        <v>7</v>
      </c>
      <c r="I10" t="s">
        <v>8</v>
      </c>
    </row>
    <row r="11" spans="1:9" x14ac:dyDescent="0.3">
      <c r="A11" s="1">
        <v>46050</v>
      </c>
      <c r="B11" s="2">
        <v>4244</v>
      </c>
      <c r="C11" t="s">
        <v>28</v>
      </c>
      <c r="D11" t="s">
        <v>16</v>
      </c>
      <c r="H11" s="2">
        <v>43393</v>
      </c>
      <c r="I11" s="2">
        <f>+G11-H11</f>
        <v>-43393</v>
      </c>
    </row>
    <row r="12" spans="1:9" x14ac:dyDescent="0.3">
      <c r="A12" s="1">
        <v>46050</v>
      </c>
      <c r="B12" s="2">
        <v>4244</v>
      </c>
      <c r="C12" t="s">
        <v>28</v>
      </c>
      <c r="D12" t="s">
        <v>16</v>
      </c>
      <c r="G12" s="2">
        <v>124946</v>
      </c>
      <c r="I12" s="2">
        <f>I11+G12-H12</f>
        <v>81553</v>
      </c>
    </row>
    <row r="13" spans="1:9" x14ac:dyDescent="0.3">
      <c r="A13" s="1">
        <v>46053</v>
      </c>
      <c r="C13" t="s">
        <v>60</v>
      </c>
      <c r="D13" t="s">
        <v>16</v>
      </c>
      <c r="G13" s="2">
        <v>6070</v>
      </c>
      <c r="I13" s="2">
        <f t="shared" ref="I13:I18" si="1">I12+G13-H13</f>
        <v>87623</v>
      </c>
    </row>
    <row r="14" spans="1:9" x14ac:dyDescent="0.3">
      <c r="A14" s="1">
        <v>46078</v>
      </c>
      <c r="B14" s="2">
        <v>4455</v>
      </c>
      <c r="C14" t="s">
        <v>28</v>
      </c>
      <c r="D14" t="s">
        <v>16</v>
      </c>
      <c r="H14" s="2">
        <v>86130</v>
      </c>
      <c r="I14" s="2">
        <f t="shared" si="1"/>
        <v>1493</v>
      </c>
    </row>
    <row r="15" spans="1:9" x14ac:dyDescent="0.3">
      <c r="A15" s="1">
        <v>46078</v>
      </c>
      <c r="B15" s="2">
        <v>4455</v>
      </c>
      <c r="C15" t="s">
        <v>28</v>
      </c>
      <c r="D15" t="s">
        <v>16</v>
      </c>
      <c r="G15" s="2">
        <v>43710</v>
      </c>
      <c r="I15" s="2">
        <f t="shared" si="1"/>
        <v>45203</v>
      </c>
    </row>
    <row r="16" spans="1:9" x14ac:dyDescent="0.3">
      <c r="A16" s="1">
        <v>46081</v>
      </c>
      <c r="C16" t="s">
        <v>60</v>
      </c>
      <c r="D16" t="s">
        <v>16</v>
      </c>
      <c r="H16">
        <v>317</v>
      </c>
      <c r="I16" s="2">
        <f t="shared" si="1"/>
        <v>44886</v>
      </c>
    </row>
    <row r="17" spans="1:10" x14ac:dyDescent="0.3">
      <c r="A17" s="1">
        <v>46107</v>
      </c>
      <c r="B17" s="2">
        <v>4597</v>
      </c>
      <c r="C17" t="s">
        <v>28</v>
      </c>
      <c r="D17" t="s">
        <v>16</v>
      </c>
      <c r="G17" s="2">
        <v>90323</v>
      </c>
      <c r="I17" s="2">
        <f t="shared" si="1"/>
        <v>135209</v>
      </c>
    </row>
    <row r="18" spans="1:10" x14ac:dyDescent="0.3">
      <c r="A18" s="1">
        <v>46112</v>
      </c>
      <c r="C18" t="s">
        <v>60</v>
      </c>
      <c r="D18" t="s">
        <v>16</v>
      </c>
      <c r="H18" s="2">
        <v>4193</v>
      </c>
      <c r="I18" s="2">
        <f t="shared" si="1"/>
        <v>131016</v>
      </c>
      <c r="J18" s="2">
        <f>+I18+H7</f>
        <v>39496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25C1C7-CFEF-46E4-B34F-83D12570189E}">
  <dimension ref="A1:J19"/>
  <sheetViews>
    <sheetView workbookViewId="0">
      <selection activeCell="J20" sqref="J20"/>
    </sheetView>
  </sheetViews>
  <sheetFormatPr baseColWidth="10" defaultRowHeight="14" x14ac:dyDescent="0.3"/>
  <cols>
    <col min="4" max="4" width="31.09765625" bestFit="1" customWidth="1"/>
    <col min="5" max="5" width="9.296875" bestFit="1" customWidth="1"/>
  </cols>
  <sheetData>
    <row r="1" spans="1:9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9" x14ac:dyDescent="0.3">
      <c r="A2" s="1">
        <v>46036</v>
      </c>
      <c r="B2" s="2">
        <v>4196</v>
      </c>
      <c r="C2" t="s">
        <v>15</v>
      </c>
      <c r="D2" t="s">
        <v>14</v>
      </c>
      <c r="F2" s="2">
        <v>6314</v>
      </c>
      <c r="H2" s="2">
        <f>+F2</f>
        <v>6314</v>
      </c>
    </row>
    <row r="3" spans="1:9" x14ac:dyDescent="0.3">
      <c r="A3" s="1">
        <v>46050</v>
      </c>
      <c r="B3" s="2">
        <v>4245</v>
      </c>
      <c r="C3" t="s">
        <v>29</v>
      </c>
      <c r="D3" t="s">
        <v>14</v>
      </c>
      <c r="G3" s="2">
        <v>99008</v>
      </c>
      <c r="H3" s="2">
        <f>H2+F3-G3</f>
        <v>-92694</v>
      </c>
    </row>
    <row r="4" spans="1:9" x14ac:dyDescent="0.3">
      <c r="A4" s="1">
        <v>46065</v>
      </c>
      <c r="B4" s="2">
        <v>4307</v>
      </c>
      <c r="C4" t="s">
        <v>41</v>
      </c>
      <c r="D4" t="s">
        <v>14</v>
      </c>
      <c r="F4" s="2">
        <v>99008</v>
      </c>
      <c r="H4" s="2">
        <f t="shared" ref="H4:H8" si="0">H3+F4-G4</f>
        <v>6314</v>
      </c>
    </row>
    <row r="5" spans="1:9" x14ac:dyDescent="0.3">
      <c r="A5" s="1">
        <v>46078</v>
      </c>
      <c r="B5" s="2">
        <v>4453</v>
      </c>
      <c r="C5" t="s">
        <v>29</v>
      </c>
      <c r="D5" t="s">
        <v>14</v>
      </c>
      <c r="G5" s="2">
        <v>38514</v>
      </c>
      <c r="H5" s="2">
        <f t="shared" si="0"/>
        <v>-32200</v>
      </c>
    </row>
    <row r="6" spans="1:9" x14ac:dyDescent="0.3">
      <c r="A6" s="1">
        <v>46082</v>
      </c>
      <c r="B6" s="2">
        <v>4641</v>
      </c>
      <c r="C6" t="s">
        <v>46</v>
      </c>
      <c r="D6" t="s">
        <v>14</v>
      </c>
      <c r="F6" s="2">
        <v>33722</v>
      </c>
      <c r="H6" s="2">
        <f t="shared" si="0"/>
        <v>1522</v>
      </c>
    </row>
    <row r="7" spans="1:9" x14ac:dyDescent="0.3">
      <c r="A7" s="1">
        <v>46093</v>
      </c>
      <c r="B7" s="2">
        <v>4434</v>
      </c>
      <c r="C7" t="s">
        <v>48</v>
      </c>
      <c r="D7" t="s">
        <v>14</v>
      </c>
      <c r="F7" s="2">
        <v>38514</v>
      </c>
      <c r="H7" s="2">
        <f t="shared" si="0"/>
        <v>40036</v>
      </c>
    </row>
    <row r="8" spans="1:9" x14ac:dyDescent="0.3">
      <c r="A8" s="1">
        <v>46107</v>
      </c>
      <c r="B8" s="2">
        <v>4595</v>
      </c>
      <c r="C8" t="s">
        <v>29</v>
      </c>
      <c r="D8" t="s">
        <v>14</v>
      </c>
      <c r="G8" s="2">
        <v>28900</v>
      </c>
      <c r="H8" s="2">
        <f t="shared" si="0"/>
        <v>11136</v>
      </c>
    </row>
    <row r="12" spans="1:9" x14ac:dyDescent="0.3">
      <c r="A12" t="s">
        <v>2</v>
      </c>
      <c r="B12" t="s">
        <v>3</v>
      </c>
      <c r="C12" t="s">
        <v>59</v>
      </c>
      <c r="D12" t="s">
        <v>4</v>
      </c>
      <c r="E12" t="s">
        <v>5</v>
      </c>
      <c r="G12" t="s">
        <v>6</v>
      </c>
      <c r="H12" t="s">
        <v>7</v>
      </c>
      <c r="I12" t="s">
        <v>8</v>
      </c>
    </row>
    <row r="13" spans="1:9" x14ac:dyDescent="0.3">
      <c r="A13" s="1">
        <v>46050</v>
      </c>
      <c r="B13" s="2">
        <v>4245</v>
      </c>
      <c r="C13" t="s">
        <v>29</v>
      </c>
      <c r="D13" t="s">
        <v>14</v>
      </c>
      <c r="G13" s="2">
        <v>87738</v>
      </c>
      <c r="I13" s="2">
        <f>+G13</f>
        <v>87738</v>
      </c>
    </row>
    <row r="14" spans="1:9" x14ac:dyDescent="0.3">
      <c r="A14" s="1">
        <v>46053</v>
      </c>
      <c r="C14" t="s">
        <v>60</v>
      </c>
      <c r="D14" t="s">
        <v>14</v>
      </c>
      <c r="G14" s="2">
        <v>4263</v>
      </c>
      <c r="I14" s="2">
        <f>I13+G14-H14</f>
        <v>92001</v>
      </c>
    </row>
    <row r="15" spans="1:9" x14ac:dyDescent="0.3">
      <c r="A15" s="1">
        <v>46078</v>
      </c>
      <c r="B15" s="2">
        <v>4453</v>
      </c>
      <c r="C15" t="s">
        <v>29</v>
      </c>
      <c r="D15" t="s">
        <v>14</v>
      </c>
      <c r="H15" s="2">
        <v>21838</v>
      </c>
      <c r="I15" s="2">
        <f t="shared" ref="I15:I19" si="1">I14+G15-H15</f>
        <v>70163</v>
      </c>
    </row>
    <row r="16" spans="1:9" x14ac:dyDescent="0.3">
      <c r="A16" s="1">
        <v>46081</v>
      </c>
      <c r="C16" t="s">
        <v>60</v>
      </c>
      <c r="D16" t="s">
        <v>14</v>
      </c>
      <c r="I16" s="2">
        <f t="shared" si="1"/>
        <v>70163</v>
      </c>
    </row>
    <row r="17" spans="1:10" x14ac:dyDescent="0.3">
      <c r="A17" s="1">
        <v>46107</v>
      </c>
      <c r="B17" s="2">
        <v>4595</v>
      </c>
      <c r="C17" t="s">
        <v>29</v>
      </c>
      <c r="D17" t="s">
        <v>14</v>
      </c>
      <c r="H17" s="2">
        <v>34790</v>
      </c>
      <c r="I17" s="2">
        <f t="shared" si="1"/>
        <v>35373</v>
      </c>
    </row>
    <row r="18" spans="1:10" x14ac:dyDescent="0.3">
      <c r="A18" s="1">
        <v>46107</v>
      </c>
      <c r="B18" s="2">
        <v>4595</v>
      </c>
      <c r="C18" t="s">
        <v>29</v>
      </c>
      <c r="D18" t="s">
        <v>14</v>
      </c>
      <c r="G18" s="2">
        <v>22901</v>
      </c>
      <c r="I18" s="2">
        <f t="shared" si="1"/>
        <v>58274</v>
      </c>
    </row>
    <row r="19" spans="1:10" x14ac:dyDescent="0.3">
      <c r="A19" s="1">
        <v>46112</v>
      </c>
      <c r="C19" t="s">
        <v>60</v>
      </c>
      <c r="D19" t="s">
        <v>14</v>
      </c>
      <c r="H19" s="2">
        <v>1582</v>
      </c>
      <c r="I19" s="2">
        <f t="shared" si="1"/>
        <v>56692</v>
      </c>
      <c r="J19" s="2">
        <f>+I19+H8</f>
        <v>67828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CAC40-13DA-4C86-82F4-9CF5158C9A40}">
  <dimension ref="A1:J18"/>
  <sheetViews>
    <sheetView workbookViewId="0">
      <selection activeCell="J19" sqref="J19"/>
    </sheetView>
  </sheetViews>
  <sheetFormatPr baseColWidth="10" defaultRowHeight="14" x14ac:dyDescent="0.3"/>
  <cols>
    <col min="4" max="4" width="36" bestFit="1" customWidth="1"/>
    <col min="5" max="5" width="9.296875" bestFit="1" customWidth="1"/>
    <col min="6" max="6" width="8.8984375" bestFit="1" customWidth="1"/>
  </cols>
  <sheetData>
    <row r="1" spans="1:9" x14ac:dyDescent="0.3">
      <c r="A1" s="4" t="s">
        <v>2</v>
      </c>
      <c r="B1" s="4" t="s">
        <v>3</v>
      </c>
      <c r="C1" s="4" t="s">
        <v>58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</row>
    <row r="2" spans="1:9" x14ac:dyDescent="0.3">
      <c r="A2" s="1">
        <v>46036</v>
      </c>
      <c r="B2" s="2">
        <v>4198</v>
      </c>
      <c r="C2" t="s">
        <v>19</v>
      </c>
      <c r="D2" t="s">
        <v>18</v>
      </c>
      <c r="F2" s="2">
        <v>596065</v>
      </c>
      <c r="H2" s="2">
        <f>+F2</f>
        <v>596065</v>
      </c>
    </row>
    <row r="3" spans="1:9" x14ac:dyDescent="0.3">
      <c r="A3" s="1">
        <v>46050</v>
      </c>
      <c r="B3" s="2">
        <v>4247</v>
      </c>
      <c r="C3" t="s">
        <v>31</v>
      </c>
      <c r="D3" t="s">
        <v>18</v>
      </c>
      <c r="G3" s="2">
        <v>1437298</v>
      </c>
      <c r="H3" s="2">
        <f>H2+F3-G3</f>
        <v>-841233</v>
      </c>
    </row>
    <row r="4" spans="1:9" x14ac:dyDescent="0.3">
      <c r="A4" s="1">
        <v>46065</v>
      </c>
      <c r="B4" s="2">
        <v>4308</v>
      </c>
      <c r="C4" t="s">
        <v>42</v>
      </c>
      <c r="D4" t="s">
        <v>18</v>
      </c>
      <c r="F4" s="2">
        <v>1437298</v>
      </c>
      <c r="H4" s="2">
        <f t="shared" ref="H4:H8" si="0">H3+F4-G4</f>
        <v>596065</v>
      </c>
    </row>
    <row r="5" spans="1:9" x14ac:dyDescent="0.3">
      <c r="A5" s="1">
        <v>46078</v>
      </c>
      <c r="B5" s="2">
        <v>4457</v>
      </c>
      <c r="C5" t="s">
        <v>31</v>
      </c>
      <c r="D5" t="s">
        <v>18</v>
      </c>
      <c r="G5" s="2">
        <v>113423</v>
      </c>
      <c r="H5" s="2">
        <f t="shared" si="0"/>
        <v>482642</v>
      </c>
    </row>
    <row r="6" spans="1:9" x14ac:dyDescent="0.3">
      <c r="A6" s="1">
        <v>46082</v>
      </c>
      <c r="B6" s="2">
        <v>4641</v>
      </c>
      <c r="C6" t="s">
        <v>46</v>
      </c>
      <c r="D6" t="s">
        <v>18</v>
      </c>
      <c r="F6" s="2">
        <v>165718</v>
      </c>
      <c r="H6" s="2">
        <f t="shared" si="0"/>
        <v>648360</v>
      </c>
    </row>
    <row r="7" spans="1:9" x14ac:dyDescent="0.3">
      <c r="A7" s="1">
        <v>46093</v>
      </c>
      <c r="B7" s="2">
        <v>4435</v>
      </c>
      <c r="C7" t="s">
        <v>49</v>
      </c>
      <c r="D7" t="s">
        <v>18</v>
      </c>
      <c r="F7" s="2">
        <v>113423</v>
      </c>
      <c r="H7" s="2">
        <f t="shared" si="0"/>
        <v>761783</v>
      </c>
    </row>
    <row r="8" spans="1:9" x14ac:dyDescent="0.3">
      <c r="A8" s="1">
        <v>46107</v>
      </c>
      <c r="B8" s="2">
        <v>4596</v>
      </c>
      <c r="C8" t="s">
        <v>31</v>
      </c>
      <c r="D8" t="s">
        <v>18</v>
      </c>
      <c r="G8" s="2">
        <v>2499421</v>
      </c>
      <c r="H8" s="2">
        <f t="shared" si="0"/>
        <v>-1737638</v>
      </c>
    </row>
    <row r="11" spans="1:9" x14ac:dyDescent="0.3">
      <c r="A11" t="s">
        <v>2</v>
      </c>
      <c r="B11" t="s">
        <v>3</v>
      </c>
      <c r="C11" t="s">
        <v>59</v>
      </c>
      <c r="D11" t="s">
        <v>4</v>
      </c>
      <c r="E11" t="s">
        <v>5</v>
      </c>
      <c r="G11" t="s">
        <v>6</v>
      </c>
      <c r="H11" t="s">
        <v>7</v>
      </c>
      <c r="I11" t="s">
        <v>8</v>
      </c>
    </row>
    <row r="12" spans="1:9" x14ac:dyDescent="0.3">
      <c r="A12" s="1">
        <v>46050</v>
      </c>
      <c r="B12" s="2">
        <v>4247</v>
      </c>
      <c r="C12" t="s">
        <v>31</v>
      </c>
      <c r="D12" t="s">
        <v>18</v>
      </c>
      <c r="G12" s="2">
        <v>577567</v>
      </c>
      <c r="I12" s="2">
        <f>+G12</f>
        <v>577567</v>
      </c>
    </row>
    <row r="13" spans="1:9" x14ac:dyDescent="0.3">
      <c r="A13" s="1">
        <v>46053</v>
      </c>
      <c r="C13" t="s">
        <v>60</v>
      </c>
      <c r="D13" t="s">
        <v>18</v>
      </c>
      <c r="G13" s="2">
        <v>28060</v>
      </c>
      <c r="I13" s="2">
        <f>I12+G13-H13</f>
        <v>605627</v>
      </c>
    </row>
    <row r="14" spans="1:9" x14ac:dyDescent="0.3">
      <c r="A14" s="1">
        <v>46078</v>
      </c>
      <c r="B14" s="2">
        <v>4457</v>
      </c>
      <c r="C14" t="s">
        <v>31</v>
      </c>
      <c r="D14" t="s">
        <v>18</v>
      </c>
      <c r="H14" s="2">
        <v>1816541</v>
      </c>
      <c r="I14" s="2">
        <f>I13+G14-H14</f>
        <v>-1210914</v>
      </c>
    </row>
    <row r="15" spans="1:9" x14ac:dyDescent="0.3">
      <c r="A15" s="1">
        <v>46081</v>
      </c>
      <c r="C15" t="s">
        <v>60</v>
      </c>
      <c r="D15" t="s">
        <v>18</v>
      </c>
      <c r="I15" s="2">
        <f>I14+G15-H15</f>
        <v>-1210914</v>
      </c>
    </row>
    <row r="16" spans="1:9" x14ac:dyDescent="0.3">
      <c r="A16" s="1">
        <v>46107</v>
      </c>
      <c r="B16" s="2">
        <v>4596</v>
      </c>
      <c r="C16" t="s">
        <v>31</v>
      </c>
      <c r="D16" t="s">
        <v>18</v>
      </c>
      <c r="H16" s="2">
        <v>270320</v>
      </c>
      <c r="I16" s="2">
        <f>I15+G16-H16</f>
        <v>-1481234</v>
      </c>
    </row>
    <row r="17" spans="1:10" x14ac:dyDescent="0.3">
      <c r="A17" s="1">
        <v>46107</v>
      </c>
      <c r="B17" s="2">
        <v>4596</v>
      </c>
      <c r="C17" t="s">
        <v>31</v>
      </c>
      <c r="D17" t="s">
        <v>18</v>
      </c>
      <c r="G17" s="2">
        <v>1904970</v>
      </c>
      <c r="I17" s="2">
        <f>I16+G17-H17</f>
        <v>423736</v>
      </c>
    </row>
    <row r="18" spans="1:10" x14ac:dyDescent="0.3">
      <c r="A18" s="1">
        <v>46112</v>
      </c>
      <c r="C18" t="s">
        <v>60</v>
      </c>
      <c r="D18" t="s">
        <v>18</v>
      </c>
      <c r="H18" s="2">
        <v>105816</v>
      </c>
      <c r="I18" s="2">
        <f>I17+G18-H18</f>
        <v>317920</v>
      </c>
      <c r="J18" s="2">
        <f>+I18+H8</f>
        <v>-1419718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C0FDD3EE9C26F4CA38A0CE1A876A831" ma:contentTypeVersion="16" ma:contentTypeDescription="Crear nuevo documento." ma:contentTypeScope="" ma:versionID="80a97189e238c03ba79b229dc7cca58e">
  <xsd:schema xmlns:xsd="http://www.w3.org/2001/XMLSchema" xmlns:xs="http://www.w3.org/2001/XMLSchema" xmlns:p="http://schemas.microsoft.com/office/2006/metadata/properties" xmlns:ns1="http://schemas.microsoft.com/sharepoint/v3" xmlns:ns2="fa8ec313-c772-4af8-8363-8ff52de2e6b8" xmlns:ns3="6a7ff2fa-cd4c-4111-a6ab-75351164d87f" targetNamespace="http://schemas.microsoft.com/office/2006/metadata/properties" ma:root="true" ma:fieldsID="bf7a9c73e4d3953fa86b747638814126" ns1:_="" ns2:_="" ns3:_="">
    <xsd:import namespace="http://schemas.microsoft.com/sharepoint/v3"/>
    <xsd:import namespace="fa8ec313-c772-4af8-8363-8ff52de2e6b8"/>
    <xsd:import namespace="6a7ff2fa-cd4c-4111-a6ab-75351164d87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2:ESTADO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Propiedades de la Directiva de cumplimiento unificado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Acción de IU de la Directiva de cumplimiento unificado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a8ec313-c772-4af8-8363-8ff52de2e6b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7" nillable="true" ma:taxonomy="true" ma:internalName="lcf76f155ced4ddcb4097134ff3c332f" ma:taxonomyFieldName="MediaServiceImageTags" ma:displayName="Etiquetas de imagen" ma:readOnly="false" ma:fieldId="{5cf76f15-5ced-4ddc-b409-7134ff3c332f}" ma:taxonomyMulti="true" ma:sspId="a8628a9a-fe43-4aa1-831f-7a8d34a1dc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ESTADO" ma:index="23" nillable="true" ma:displayName="ESTADO" ma:format="Dropdown" ma:internalName="ESTADO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ff2fa-cd4c-4111-a6ab-75351164d87f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e79fc52-165f-40d1-92ec-16de0f3dee68}" ma:internalName="TaxCatchAll" ma:showField="CatchAllData" ma:web="6a7ff2fa-cd4c-4111-a6ab-75351164d87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6a7ff2fa-cd4c-4111-a6ab-75351164d87f" xsi:nil="true"/>
    <ESTADO xmlns="fa8ec313-c772-4af8-8363-8ff52de2e6b8" xsi:nil="true"/>
    <_ip_UnifiedCompliancePolicyProperties xmlns="http://schemas.microsoft.com/sharepoint/v3" xsi:nil="true"/>
    <lcf76f155ced4ddcb4097134ff3c332f xmlns="fa8ec313-c772-4af8-8363-8ff52de2e6b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54A2ED6-1555-4791-9FDB-8F58E0C8C709}"/>
</file>

<file path=customXml/itemProps2.xml><?xml version="1.0" encoding="utf-8"?>
<ds:datastoreItem xmlns:ds="http://schemas.openxmlformats.org/officeDocument/2006/customXml" ds:itemID="{F92ADCC1-C6F3-4A81-9750-C376694C033A}"/>
</file>

<file path=customXml/itemProps3.xml><?xml version="1.0" encoding="utf-8"?>
<ds:datastoreItem xmlns:ds="http://schemas.openxmlformats.org/officeDocument/2006/customXml" ds:itemID="{0DCF43AD-8B1B-42B8-844A-673A985FB2C7}"/>
</file>

<file path=docMetadata/LabelInfo.xml><?xml version="1.0" encoding="utf-8"?>
<clbl:labelList xmlns:clbl="http://schemas.microsoft.com/office/2020/mipLabelMetadata">
  <clbl:label id="{88606789-7178-42ed-a2cb-2f310395f8e0}" enabled="1" method="Privileged" siteId="{ad9dc499-26eb-41de-90c1-2c7cfce752f9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MGMayorContableOF tdc clp</vt:lpstr>
      <vt:lpstr>mp</vt:lpstr>
      <vt:lpstr>jm</vt:lpstr>
      <vt:lpstr>cm</vt:lpstr>
      <vt:lpstr>cw</vt:lpstr>
      <vt:lpstr>fm</vt:lpstr>
      <vt:lpstr>sc</vt:lpstr>
      <vt:lpstr>ka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Cabrera</dc:creator>
  <cp:lastModifiedBy>Carolina Cabrera</cp:lastModifiedBy>
  <dcterms:created xsi:type="dcterms:W3CDTF">2026-04-25T00:38:00Z</dcterms:created>
  <dcterms:modified xsi:type="dcterms:W3CDTF">2026-04-25T01:08:11Z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8606789-7178-42ed-a2cb-2f310395f8e0_Enabled">
    <vt:lpwstr>true</vt:lpwstr>
  </property>
  <property fmtid="{D5CDD505-2E9C-101B-9397-08002B2CF9AE}" pid="3" name="MSIP_Label_88606789-7178-42ed-a2cb-2f310395f8e0_SetDate">
    <vt:lpwstr>2026-04-25T00:38:00Z</vt:lpwstr>
  </property>
  <property fmtid="{D5CDD505-2E9C-101B-9397-08002B2CF9AE}" pid="4" name="MSIP_Label_88606789-7178-42ed-a2cb-2f310395f8e0_Method">
    <vt:lpwstr>Standard</vt:lpwstr>
  </property>
  <property fmtid="{D5CDD505-2E9C-101B-9397-08002B2CF9AE}" pid="5" name="MSIP_Label_88606789-7178-42ed-a2cb-2f310395f8e0_Name">
    <vt:lpwstr>Publica</vt:lpwstr>
  </property>
  <property fmtid="{D5CDD505-2E9C-101B-9397-08002B2CF9AE}" pid="6" name="MSIP_Label_88606789-7178-42ed-a2cb-2f310395f8e0_SiteId">
    <vt:lpwstr>ad9dc499-26eb-41de-90c1-2c7cfce752f9</vt:lpwstr>
  </property>
  <property fmtid="{D5CDD505-2E9C-101B-9397-08002B2CF9AE}" pid="7" name="MSIP_Label_88606789-7178-42ed-a2cb-2f310395f8e0_ActionId">
    <vt:lpwstr>e21e9eed-f5f0-47f3-9a37-6b1f9341a879</vt:lpwstr>
  </property>
  <property fmtid="{D5CDD505-2E9C-101B-9397-08002B2CF9AE}" pid="8" name="MSIP_Label_88606789-7178-42ed-a2cb-2f310395f8e0_ContentBits">
    <vt:lpwstr>0</vt:lpwstr>
  </property>
  <property fmtid="{D5CDD505-2E9C-101B-9397-08002B2CF9AE}" pid="9" name="ContentTypeId">
    <vt:lpwstr>0x0101008C0FDD3EE9C26F4CA38A0CE1A876A831</vt:lpwstr>
  </property>
</Properties>
</file>