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MAR 26/"/>
    </mc:Choice>
  </mc:AlternateContent>
  <xr:revisionPtr revIDLastSave="35" documentId="8_{932F788F-2BA0-4C7B-A896-C17C798AEA44}" xr6:coauthVersionLast="47" xr6:coauthVersionMax="47" xr10:uidLastSave="{30FAF860-A027-4965-8642-32E569BBF421}"/>
  <bookViews>
    <workbookView xWindow="20429" yWindow="75" windowWidth="20783" windowHeight="6115" activeTab="1" xr2:uid="{42DFF47B-D11E-4EAA-8BF4-61967EA6AC95}"/>
  </bookViews>
  <sheets>
    <sheet name="MGMayorContableOF_CtaRel ma (2)" sheetId="2" r:id="rId1"/>
    <sheet name="MGMayorContableOF_CtaRel mar26" sheetId="1" r:id="rId2"/>
  </sheets>
  <definedNames>
    <definedName name="_xlnm._FilterDatabase" localSheetId="1" hidden="1">'MGMayorContableOF_CtaRel mar26'!$A$1:$H$258</definedName>
  </definedNames>
  <calcPr calcId="0"/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<sst xmlns="http://schemas.openxmlformats.org/spreadsheetml/2006/main" count="701" uniqueCount="125">
  <si>
    <t xml:space="preserve">LIBRO MAYOR CONTABLE </t>
  </si>
  <si>
    <t>Filtros</t>
  </si>
  <si>
    <t>Mostrar cuenta sistema anterior:</t>
  </si>
  <si>
    <t>S</t>
  </si>
  <si>
    <t>Fecha base para el saldo inicial:</t>
  </si>
  <si>
    <t>Fecha inicio:</t>
  </si>
  <si>
    <t>Normas Contables :</t>
  </si>
  <si>
    <t>IFRS</t>
  </si>
  <si>
    <t>Fecha fin:</t>
  </si>
  <si>
    <t>Código de cuenta:</t>
  </si>
  <si>
    <t>3011301|3011302</t>
  </si>
  <si>
    <t>Empresa:</t>
  </si>
  <si>
    <t>DESWIK CHILE SPA</t>
  </si>
  <si>
    <t>Cuenta:  2114 TARJETAS DE CREDITO CLP</t>
  </si>
  <si>
    <t>Moneda de la Cta: Moneda Local</t>
  </si>
  <si>
    <t>Comprobante</t>
  </si>
  <si>
    <t>Fec. Doc.</t>
  </si>
  <si>
    <t>Voucher</t>
  </si>
  <si>
    <t>Titular</t>
  </si>
  <si>
    <t>T.Doc/Nro</t>
  </si>
  <si>
    <t>Debe</t>
  </si>
  <si>
    <t>Haber</t>
  </si>
  <si>
    <t>Acumulado</t>
  </si>
  <si>
    <t>Saldo Inicial al 01/01/2026</t>
  </si>
  <si>
    <t>aape/5972</t>
  </si>
  <si>
    <t>DEMO MAGNUS ERP</t>
  </si>
  <si>
    <t>Glosa : Asiento de Apertura de Ejercicio</t>
  </si>
  <si>
    <t>adig/1861</t>
  </si>
  <si>
    <t>MARCELO PENNA SANTOS</t>
  </si>
  <si>
    <t>Glosa : Credit Card payment MP</t>
  </si>
  <si>
    <t>adig/1862</t>
  </si>
  <si>
    <t>JUAN SEBASTIAN CARVALLO JIMÉNEZ</t>
  </si>
  <si>
    <t>Glosa : Credit card payment SC</t>
  </si>
  <si>
    <t>adig/1863</t>
  </si>
  <si>
    <t>FRANCISCO MIRANDA RIADI</t>
  </si>
  <si>
    <t>Glosa : Bank Transfer to CC Francisco Miranda.</t>
  </si>
  <si>
    <t>adig/1864</t>
  </si>
  <si>
    <t>KATHERINNE SILVANA ALARCON ESCOBAR</t>
  </si>
  <si>
    <t>Glosa : Katherinnes credit card payment</t>
  </si>
  <si>
    <t>adig/1865</t>
  </si>
  <si>
    <t>CESAR FELIPE MACHADO RIBEIRO LOPES</t>
  </si>
  <si>
    <t>Glosa : Credit Card payment CM</t>
  </si>
  <si>
    <t>adig/1866</t>
  </si>
  <si>
    <t>CAITLIN JOY WHEAT</t>
  </si>
  <si>
    <t>Glosa : Credit card payment CW</t>
  </si>
  <si>
    <t>adig/1919</t>
  </si>
  <si>
    <t>JORGE MORIS JORDÁN</t>
  </si>
  <si>
    <t>Glosa : CC Expense - Estacionamiento 27 enero</t>
  </si>
  <si>
    <t>adig/1891</t>
  </si>
  <si>
    <t>Glosa : TDC CAITLYN WEAT</t>
  </si>
  <si>
    <t>adig/1892</t>
  </si>
  <si>
    <t>Glosa : TDC CESAR MACHADO</t>
  </si>
  <si>
    <t>adig/1893</t>
  </si>
  <si>
    <t>Glosa : TDC CLP/USD FRANCISCO MIRANDA</t>
  </si>
  <si>
    <t>adig/1894</t>
  </si>
  <si>
    <t>Glosa : TDC CLP JUAN CARVALLO</t>
  </si>
  <si>
    <t>adig/1895</t>
  </si>
  <si>
    <t>Glosa : TDC M. PENNA</t>
  </si>
  <si>
    <t>adig/1896</t>
  </si>
  <si>
    <t>Glosa : TDC K. ALARCON</t>
  </si>
  <si>
    <t>adig/1923</t>
  </si>
  <si>
    <t>Glosa : CC Expense - Oxxo - happy hour</t>
  </si>
  <si>
    <t>adig/1920</t>
  </si>
  <si>
    <t>Glosa : CC Expense - Combustible semana 3</t>
  </si>
  <si>
    <t>adig/1921</t>
  </si>
  <si>
    <t>Glosa : CC Expense - Cabify para volver a casa despues de dejar el auto arrendado</t>
  </si>
  <si>
    <t>adig/1922</t>
  </si>
  <si>
    <t>Glosa : CC Expense - Flights Sebastian Carvallo - 16 Feb to 3 march 2026</t>
  </si>
  <si>
    <t>adig/1897</t>
  </si>
  <si>
    <t>Glosa : TDC CLP/USD JORGE MORIS</t>
  </si>
  <si>
    <t>adig/1924</t>
  </si>
  <si>
    <t>Glosa : Pago F1770256 Serpab en tdc</t>
  </si>
  <si>
    <t>adig/1967</t>
  </si>
  <si>
    <t>Glosa : CC Expense - FX Sebastian flighq</t>
  </si>
  <si>
    <t>adig/1911</t>
  </si>
  <si>
    <t>Glosa : Tarjeta credito caitlin</t>
  </si>
  <si>
    <t>adig/1912</t>
  </si>
  <si>
    <t>Glosa : Tarjeta credito Marcelo Penna</t>
  </si>
  <si>
    <t>adig/1913</t>
  </si>
  <si>
    <t>Glosa : Tarjeta de credito sebastian carballo</t>
  </si>
  <si>
    <t>adig/1914</t>
  </si>
  <si>
    <t>Glosa : Tarjeeta credito Katherinne alarcon</t>
  </si>
  <si>
    <t>adig/1915</t>
  </si>
  <si>
    <t>Glosa : Tarjeta credito Cesar Machado</t>
  </si>
  <si>
    <t>adig/1916</t>
  </si>
  <si>
    <t>Glosa : Tarjeta credito francisco miranda</t>
  </si>
  <si>
    <t>adig/1917</t>
  </si>
  <si>
    <t>Glosa : Tarjeta de credito jorge moris</t>
  </si>
  <si>
    <t>adig/1938</t>
  </si>
  <si>
    <t>adig/1939</t>
  </si>
  <si>
    <t>Glosa : tdc cw</t>
  </si>
  <si>
    <t>adig/1940</t>
  </si>
  <si>
    <t>adig/1941</t>
  </si>
  <si>
    <t>adig/1942</t>
  </si>
  <si>
    <t>adig/1943</t>
  </si>
  <si>
    <t>plib/116</t>
  </si>
  <si>
    <t>Glosa : Reembolsos Caitlin  - Dia de la mujer</t>
  </si>
  <si>
    <t>plib/120</t>
  </si>
  <si>
    <t>Glosa : Pago Tarjeta de credito Francisco Miranda</t>
  </si>
  <si>
    <t>plib/121</t>
  </si>
  <si>
    <t>Glosa : Pago tarjeta de credito Sebastian Carvallo</t>
  </si>
  <si>
    <t>plib/122</t>
  </si>
  <si>
    <t>Glosa : Pago tarjeta de credito Katherinne Alarcon</t>
  </si>
  <si>
    <t>plib/123</t>
  </si>
  <si>
    <t>Glosa : Pago tarjeta de credito Jorge Moris</t>
  </si>
  <si>
    <t>plib/124</t>
  </si>
  <si>
    <t>Glosa : Pago tarjeta de credito Caitlin Wheat</t>
  </si>
  <si>
    <t>plib/125</t>
  </si>
  <si>
    <t>adig/1999</t>
  </si>
  <si>
    <t>Glosa : CC Expense - Sodimac - nuevo dispensador de papel para oficina 13</t>
  </si>
  <si>
    <t>adig/1982</t>
  </si>
  <si>
    <t>adig/1983</t>
  </si>
  <si>
    <t>adig/1984</t>
  </si>
  <si>
    <t>adig/1985</t>
  </si>
  <si>
    <t>adig/1986</t>
  </si>
  <si>
    <t>adig/2000</t>
  </si>
  <si>
    <t>Glosa : CC Expense Aerolineas Argentinas - Sebastian Carvallo - Cerro Negro</t>
  </si>
  <si>
    <t>Totales:</t>
  </si>
  <si>
    <t xml:space="preserve">Saldo Final Al 31/03/2026: </t>
  </si>
  <si>
    <t>Cuenta:  2114 TARJETAS DE CREDITO USD</t>
  </si>
  <si>
    <t>Moneda de la Cta: Dólares Americanos</t>
  </si>
  <si>
    <t xml:space="preserve"> </t>
  </si>
  <si>
    <t>MGMayorContableOF_CtaRel</t>
  </si>
  <si>
    <t>glosa</t>
  </si>
  <si>
    <t>SALDO SUMAS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</si>
</sst>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14" fillId="0" borderId="0" xfId="0" applyFont="1"/>
    <xf numFmtId="0" fontId="0" fillId="33" borderId="0" xfId="0" applyFill="1"/>
    <xf numFmtId="14" fontId="0" fillId="33" borderId="0" xfId="0" applyNumberFormat="1" applyFill="1"/>
    <xf numFmtId="3" fontId="0" fillId="33" borderId="0" xfId="0" applyNumberFormat="1" applyFill="1"/>
    <xf numFmtId="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3" fontId="0" fillId="34" borderId="0" xfId="0" applyNumberFormat="1" applyFill="1"/>
    <xf numFmtId="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3" fontId="0" fillId="35" borderId="0" xfId="0" applyNumberFormat="1" applyFill="1"/>
    <xf numFmtId="4" fontId="0" fillId="35" borderId="0" xfId="0" applyNumberFormat="1" applyFill="1"/>
    <xf numFmtId="0" fontId="14" fillId="36" borderId="0" xfId="0" applyFont="1" applyFill="1"/>
    <xf numFmtId="0" fontId="0" fillId="36" borderId="0" xfId="0" applyFill="1"/>
    <xf numFmtId="14" fontId="0" fillId="36" borderId="0" xfId="0" applyNumberFormat="1" applyFill="1"/>
    <xf numFmtId="3" fontId="0" fillId="36" borderId="0" xfId="0" applyNumberFormat="1" applyFill="1"/>
    <xf numFmtId="4" fontId="0" fillId="36" borderId="0" xfId="0" applyNumberFormat="1" applyFill="1"/>
    <xf numFmtId="0" fontId="0" fillId="37" borderId="0" xfId="0" applyFill="1"/>
    <xf numFmtId="14" fontId="0" fillId="37" borderId="0" xfId="0" applyNumberFormat="1" applyFill="1"/>
    <xf numFmtId="3" fontId="0" fillId="37" borderId="0" xfId="0" applyNumberFormat="1" applyFill="1"/>
    <xf numFmtId="4" fontId="0" fillId="37" borderId="0" xfId="0" applyNumberFormat="1" applyFill="1"/>
    <xf numFmtId="0" fontId="0" fillId="38" borderId="0" xfId="0" applyFill="1"/>
    <xf numFmtId="14" fontId="0" fillId="38" borderId="0" xfId="0" applyNumberFormat="1" applyFill="1"/>
    <xf numFmtId="3" fontId="0" fillId="38" borderId="0" xfId="0" applyNumberFormat="1" applyFill="1"/>
    <xf numFmtId="0" fontId="0" fillId="39" borderId="0" xfId="0" applyFill="1"/>
    <xf numFmtId="14" fontId="0" fillId="39" borderId="0" xfId="0" applyNumberFormat="1" applyFill="1"/>
    <xf numFmtId="3" fontId="0" fillId="39" borderId="0" xfId="0" applyNumberFormat="1" applyFill="1"/>
    <xf numFmtId="4" fontId="0" fillId="39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0C1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03-C626-408C-B9C8-CA80869F5FA5}">
  <dimension ref="A1:I258"/>
  <sheetViews>
    <sheetView workbookViewId="0"/>
  </sheetViews>
  <sheetFormatPr baseColWidth="10" defaultRowHeight="14" x14ac:dyDescent="0.3"/>
  <sheetData>
    <row r="1" spans="1:9" x14ac:dyDescent="0.3">
      <c r="A1" t="s">
        <v>0</v>
      </c>
    </row>
    <row r="2" spans="1:9" x14ac:dyDescent="0.3">
      <c r="B2" t="s">
        <v>1</v>
      </c>
      <c r="C2" t="s">
        <v>2</v>
      </c>
      <c r="E2" t="s">
        <v>3</v>
      </c>
      <c r="F2" t="s">
        <v>4</v>
      </c>
      <c r="H2" s="1">
        <v>45292</v>
      </c>
    </row>
    <row r="3" spans="1:9" x14ac:dyDescent="0.3">
      <c r="C3" t="s">
        <v>5</v>
      </c>
      <c r="D3" s="1">
        <v>46023</v>
      </c>
      <c r="F3" t="s">
        <v>6</v>
      </c>
      <c r="G3" t="s">
        <v>7</v>
      </c>
    </row>
    <row r="4" spans="1:9" x14ac:dyDescent="0.3">
      <c r="C4" t="s">
        <v>8</v>
      </c>
      <c r="D4" s="1">
        <v>46112</v>
      </c>
      <c r="F4" t="s">
        <v>9</v>
      </c>
      <c r="G4" t="s">
        <v>10</v>
      </c>
    </row>
    <row r="5" spans="1:9" x14ac:dyDescent="0.3">
      <c r="C5" t="s">
        <v>11</v>
      </c>
      <c r="D5" t="s">
        <v>12</v>
      </c>
    </row>
    <row r="6" spans="1:9" x14ac:dyDescent="0.3">
      <c r="A6" t="s">
        <v>13</v>
      </c>
    </row>
    <row r="7" spans="1:9" x14ac:dyDescent="0.3">
      <c r="A7" t="s">
        <v>14</v>
      </c>
    </row>
    <row r="8" spans="1:9" x14ac:dyDescent="0.3">
      <c r="A8" t="s">
        <v>15</v>
      </c>
      <c r="B8" t="s">
        <v>16</v>
      </c>
      <c r="C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</row>
    <row r="9" spans="1:9" x14ac:dyDescent="0.3">
      <c r="F9" t="s">
        <v>23</v>
      </c>
    </row>
    <row r="10" spans="1:9" x14ac:dyDescent="0.3">
      <c r="A10" t="s">
        <v>24</v>
      </c>
      <c r="B10" s="1">
        <v>46023</v>
      </c>
      <c r="E10" t="s">
        <v>25</v>
      </c>
      <c r="H10" s="2">
        <v>3970703</v>
      </c>
      <c r="I10" s="2">
        <v>-3970703</v>
      </c>
    </row>
    <row r="11" spans="1:9" x14ac:dyDescent="0.3">
      <c r="A11" t="s">
        <v>26</v>
      </c>
    </row>
    <row r="13" spans="1:9" x14ac:dyDescent="0.3">
      <c r="A13" t="s">
        <v>27</v>
      </c>
      <c r="B13" s="1">
        <v>46036</v>
      </c>
      <c r="C13" s="2">
        <v>4195</v>
      </c>
      <c r="E13" t="s">
        <v>28</v>
      </c>
      <c r="G13" s="2">
        <v>752789</v>
      </c>
      <c r="I13" s="2">
        <v>-3217914</v>
      </c>
    </row>
    <row r="14" spans="1:9" x14ac:dyDescent="0.3">
      <c r="A14" t="s">
        <v>29</v>
      </c>
    </row>
    <row r="16" spans="1:9" x14ac:dyDescent="0.3">
      <c r="A16" t="s">
        <v>30</v>
      </c>
      <c r="B16" s="1">
        <v>46036</v>
      </c>
      <c r="C16" s="2">
        <v>4196</v>
      </c>
      <c r="E16" t="s">
        <v>31</v>
      </c>
      <c r="G16" s="2">
        <v>6314</v>
      </c>
      <c r="I16" s="2">
        <v>-3211600</v>
      </c>
    </row>
    <row r="17" spans="1:9" x14ac:dyDescent="0.3">
      <c r="A17" t="s">
        <v>32</v>
      </c>
    </row>
    <row r="19" spans="1:9" x14ac:dyDescent="0.3">
      <c r="A19" t="s">
        <v>33</v>
      </c>
      <c r="B19" s="1">
        <v>46036</v>
      </c>
      <c r="C19" s="2">
        <v>4197</v>
      </c>
      <c r="E19" t="s">
        <v>34</v>
      </c>
      <c r="G19" s="2">
        <v>7314</v>
      </c>
      <c r="I19" s="2">
        <v>-3204286</v>
      </c>
    </row>
    <row r="20" spans="1:9" x14ac:dyDescent="0.3">
      <c r="A20" t="s">
        <v>35</v>
      </c>
    </row>
    <row r="22" spans="1:9" x14ac:dyDescent="0.3">
      <c r="A22" t="s">
        <v>36</v>
      </c>
      <c r="B22" s="1">
        <v>46036</v>
      </c>
      <c r="C22" s="2">
        <v>4198</v>
      </c>
      <c r="E22" t="s">
        <v>37</v>
      </c>
      <c r="G22" s="2">
        <v>596065</v>
      </c>
      <c r="I22" s="2">
        <v>-2608221</v>
      </c>
    </row>
    <row r="23" spans="1:9" x14ac:dyDescent="0.3">
      <c r="A23" t="s">
        <v>38</v>
      </c>
    </row>
    <row r="25" spans="1:9" x14ac:dyDescent="0.3">
      <c r="A25" t="s">
        <v>39</v>
      </c>
      <c r="B25" s="1">
        <v>46036</v>
      </c>
      <c r="C25" s="2">
        <v>4199</v>
      </c>
      <c r="E25" t="s">
        <v>40</v>
      </c>
      <c r="G25" s="2">
        <v>719990</v>
      </c>
      <c r="I25" s="2">
        <v>-1888231</v>
      </c>
    </row>
    <row r="26" spans="1:9" x14ac:dyDescent="0.3">
      <c r="A26" t="s">
        <v>41</v>
      </c>
    </row>
    <row r="28" spans="1:9" x14ac:dyDescent="0.3">
      <c r="A28" t="s">
        <v>42</v>
      </c>
      <c r="B28" s="1">
        <v>46036</v>
      </c>
      <c r="C28" s="2">
        <v>4200</v>
      </c>
      <c r="E28" t="s">
        <v>43</v>
      </c>
      <c r="G28" s="2">
        <v>1121283</v>
      </c>
      <c r="I28" s="2">
        <v>-766948</v>
      </c>
    </row>
    <row r="29" spans="1:9" x14ac:dyDescent="0.3">
      <c r="A29" t="s">
        <v>44</v>
      </c>
    </row>
    <row r="31" spans="1:9" x14ac:dyDescent="0.3">
      <c r="A31" t="s">
        <v>45</v>
      </c>
      <c r="B31" s="1">
        <v>46049</v>
      </c>
      <c r="C31" s="2">
        <v>4316</v>
      </c>
      <c r="E31" t="s">
        <v>46</v>
      </c>
      <c r="H31" s="2">
        <v>14910</v>
      </c>
      <c r="I31" s="2">
        <v>-781858</v>
      </c>
    </row>
    <row r="32" spans="1:9" x14ac:dyDescent="0.3">
      <c r="A32" t="s">
        <v>47</v>
      </c>
    </row>
    <row r="34" spans="1:9" x14ac:dyDescent="0.3">
      <c r="A34" t="s">
        <v>48</v>
      </c>
      <c r="B34" s="1">
        <v>46050</v>
      </c>
      <c r="C34" s="2">
        <v>4242</v>
      </c>
      <c r="E34" t="s">
        <v>43</v>
      </c>
      <c r="H34" s="2">
        <v>1333628</v>
      </c>
      <c r="I34" s="2">
        <v>-2115486</v>
      </c>
    </row>
    <row r="35" spans="1:9" x14ac:dyDescent="0.3">
      <c r="A35" t="s">
        <v>49</v>
      </c>
    </row>
    <row r="37" spans="1:9" x14ac:dyDescent="0.3">
      <c r="A37" t="s">
        <v>50</v>
      </c>
      <c r="B37" s="1">
        <v>46050</v>
      </c>
      <c r="C37" s="2">
        <v>4243</v>
      </c>
      <c r="E37" t="s">
        <v>40</v>
      </c>
      <c r="H37" s="2">
        <v>86888</v>
      </c>
      <c r="I37" s="2">
        <v>-2202374</v>
      </c>
    </row>
    <row r="38" spans="1:9" x14ac:dyDescent="0.3">
      <c r="A38" t="s">
        <v>51</v>
      </c>
    </row>
    <row r="40" spans="1:9" x14ac:dyDescent="0.3">
      <c r="A40" t="s">
        <v>52</v>
      </c>
      <c r="B40" s="1">
        <v>46050</v>
      </c>
      <c r="C40" s="2">
        <v>4244</v>
      </c>
      <c r="E40" t="s">
        <v>34</v>
      </c>
      <c r="H40" s="2">
        <v>140395</v>
      </c>
      <c r="I40" s="2">
        <v>-2342769</v>
      </c>
    </row>
    <row r="41" spans="1:9" x14ac:dyDescent="0.3">
      <c r="A41" t="s">
        <v>53</v>
      </c>
    </row>
    <row r="43" spans="1:9" x14ac:dyDescent="0.3">
      <c r="A43" t="s">
        <v>54</v>
      </c>
      <c r="B43" s="1">
        <v>46050</v>
      </c>
      <c r="C43" s="2">
        <v>4245</v>
      </c>
      <c r="E43" t="s">
        <v>31</v>
      </c>
      <c r="H43" s="2">
        <v>99008</v>
      </c>
      <c r="I43" s="2">
        <v>-2441777</v>
      </c>
    </row>
    <row r="44" spans="1:9" x14ac:dyDescent="0.3">
      <c r="A44" t="s">
        <v>55</v>
      </c>
    </row>
    <row r="46" spans="1:9" x14ac:dyDescent="0.3">
      <c r="A46" t="s">
        <v>56</v>
      </c>
      <c r="B46" s="1">
        <v>46050</v>
      </c>
      <c r="C46" s="2">
        <v>4246</v>
      </c>
      <c r="E46" t="s">
        <v>28</v>
      </c>
      <c r="H46" s="2">
        <v>146634</v>
      </c>
      <c r="I46" s="2">
        <v>-2588411</v>
      </c>
    </row>
    <row r="47" spans="1:9" x14ac:dyDescent="0.3">
      <c r="A47" t="s">
        <v>57</v>
      </c>
    </row>
    <row r="49" spans="1:9" x14ac:dyDescent="0.3">
      <c r="A49" t="s">
        <v>58</v>
      </c>
      <c r="B49" s="1">
        <v>46050</v>
      </c>
      <c r="C49" s="2">
        <v>4247</v>
      </c>
      <c r="E49" t="s">
        <v>37</v>
      </c>
      <c r="H49" s="2">
        <v>1437298</v>
      </c>
      <c r="I49" s="2">
        <v>-4025709</v>
      </c>
    </row>
    <row r="50" spans="1:9" x14ac:dyDescent="0.3">
      <c r="A50" t="s">
        <v>59</v>
      </c>
    </row>
    <row r="52" spans="1:9" x14ac:dyDescent="0.3">
      <c r="A52" t="s">
        <v>60</v>
      </c>
      <c r="B52" s="1">
        <v>46050</v>
      </c>
      <c r="C52" s="2">
        <v>4321</v>
      </c>
      <c r="E52" t="s">
        <v>43</v>
      </c>
      <c r="H52" s="2">
        <v>30700</v>
      </c>
      <c r="I52" s="2">
        <v>-4056409</v>
      </c>
    </row>
    <row r="53" spans="1:9" x14ac:dyDescent="0.3">
      <c r="A53" t="s">
        <v>61</v>
      </c>
    </row>
    <row r="55" spans="1:9" x14ac:dyDescent="0.3">
      <c r="A55" t="s">
        <v>62</v>
      </c>
      <c r="B55" s="1">
        <v>46051</v>
      </c>
      <c r="C55" s="2">
        <v>4317</v>
      </c>
      <c r="E55" t="s">
        <v>46</v>
      </c>
      <c r="H55" s="2">
        <v>46725</v>
      </c>
      <c r="I55" s="2">
        <v>-4103134</v>
      </c>
    </row>
    <row r="56" spans="1:9" x14ac:dyDescent="0.3">
      <c r="A56" t="s">
        <v>63</v>
      </c>
    </row>
    <row r="58" spans="1:9" x14ac:dyDescent="0.3">
      <c r="A58" t="s">
        <v>64</v>
      </c>
      <c r="B58" s="1">
        <v>46051</v>
      </c>
      <c r="C58" s="2">
        <v>4319</v>
      </c>
      <c r="E58" t="s">
        <v>43</v>
      </c>
      <c r="H58" s="2">
        <v>11242</v>
      </c>
      <c r="I58" s="2">
        <v>-4114376</v>
      </c>
    </row>
    <row r="59" spans="1:9" x14ac:dyDescent="0.3">
      <c r="A59" t="s">
        <v>65</v>
      </c>
    </row>
    <row r="61" spans="1:9" x14ac:dyDescent="0.3">
      <c r="A61" t="s">
        <v>66</v>
      </c>
      <c r="B61" s="1">
        <v>46051</v>
      </c>
      <c r="C61" s="2">
        <v>4320</v>
      </c>
      <c r="E61" t="s">
        <v>43</v>
      </c>
      <c r="H61" s="2">
        <v>583835</v>
      </c>
      <c r="I61" s="2">
        <v>-4698211</v>
      </c>
    </row>
    <row r="62" spans="1:9" x14ac:dyDescent="0.3">
      <c r="A62" t="s">
        <v>67</v>
      </c>
    </row>
    <row r="64" spans="1:9" x14ac:dyDescent="0.3">
      <c r="A64" t="s">
        <v>68</v>
      </c>
      <c r="B64" s="1">
        <v>46053</v>
      </c>
      <c r="C64" s="2">
        <v>4249</v>
      </c>
      <c r="E64" t="s">
        <v>46</v>
      </c>
      <c r="H64" s="2">
        <v>303651</v>
      </c>
      <c r="I64" s="2">
        <v>-5001862</v>
      </c>
    </row>
    <row r="65" spans="1:9" x14ac:dyDescent="0.3">
      <c r="A65" t="s">
        <v>69</v>
      </c>
    </row>
    <row r="67" spans="1:9" x14ac:dyDescent="0.3">
      <c r="A67" t="s">
        <v>70</v>
      </c>
      <c r="B67" s="1">
        <v>46053</v>
      </c>
      <c r="C67" s="2">
        <v>4322</v>
      </c>
      <c r="E67" t="s">
        <v>46</v>
      </c>
      <c r="H67" s="2">
        <v>984543</v>
      </c>
      <c r="I67" s="2">
        <v>-5986405</v>
      </c>
    </row>
    <row r="68" spans="1:9" x14ac:dyDescent="0.3">
      <c r="A68" t="s">
        <v>71</v>
      </c>
    </row>
    <row r="70" spans="1:9" x14ac:dyDescent="0.3">
      <c r="A70" t="s">
        <v>72</v>
      </c>
      <c r="B70" s="1">
        <v>46055</v>
      </c>
      <c r="C70" s="2">
        <v>4517</v>
      </c>
      <c r="E70" t="s">
        <v>43</v>
      </c>
      <c r="H70" s="2">
        <v>9160</v>
      </c>
      <c r="I70" s="2">
        <v>-5995565</v>
      </c>
    </row>
    <row r="71" spans="1:9" x14ac:dyDescent="0.3">
      <c r="A71" t="s">
        <v>73</v>
      </c>
    </row>
    <row r="73" spans="1:9" x14ac:dyDescent="0.3">
      <c r="A73" t="s">
        <v>74</v>
      </c>
      <c r="B73" s="1">
        <v>46065</v>
      </c>
      <c r="C73" s="2">
        <v>4305</v>
      </c>
      <c r="E73" t="s">
        <v>43</v>
      </c>
      <c r="G73" s="2">
        <v>1495588</v>
      </c>
      <c r="I73" s="2">
        <v>-4499977</v>
      </c>
    </row>
    <row r="74" spans="1:9" x14ac:dyDescent="0.3">
      <c r="A74" t="s">
        <v>75</v>
      </c>
    </row>
    <row r="76" spans="1:9" x14ac:dyDescent="0.3">
      <c r="A76" t="s">
        <v>76</v>
      </c>
      <c r="B76" s="1">
        <v>46065</v>
      </c>
      <c r="C76" s="2">
        <v>4306</v>
      </c>
      <c r="E76" t="s">
        <v>28</v>
      </c>
      <c r="G76" s="2">
        <v>146634</v>
      </c>
      <c r="I76" s="2">
        <v>-4353343</v>
      </c>
    </row>
    <row r="77" spans="1:9" x14ac:dyDescent="0.3">
      <c r="A77" t="s">
        <v>77</v>
      </c>
    </row>
    <row r="79" spans="1:9" x14ac:dyDescent="0.3">
      <c r="A79" t="s">
        <v>78</v>
      </c>
      <c r="B79" s="1">
        <v>46065</v>
      </c>
      <c r="C79" s="2">
        <v>4307</v>
      </c>
      <c r="E79" t="s">
        <v>31</v>
      </c>
      <c r="G79" s="2">
        <v>99008</v>
      </c>
      <c r="I79" s="2">
        <v>-4254335</v>
      </c>
    </row>
    <row r="80" spans="1:9" x14ac:dyDescent="0.3">
      <c r="A80" t="s">
        <v>79</v>
      </c>
    </row>
    <row r="82" spans="1:9" x14ac:dyDescent="0.3">
      <c r="A82" t="s">
        <v>80</v>
      </c>
      <c r="B82" s="1">
        <v>46065</v>
      </c>
      <c r="C82" s="2">
        <v>4308</v>
      </c>
      <c r="E82" t="s">
        <v>37</v>
      </c>
      <c r="G82" s="2">
        <v>1437298</v>
      </c>
      <c r="I82" s="2">
        <v>-2817037</v>
      </c>
    </row>
    <row r="83" spans="1:9" x14ac:dyDescent="0.3">
      <c r="A83" t="s">
        <v>81</v>
      </c>
    </row>
    <row r="85" spans="1:9" x14ac:dyDescent="0.3">
      <c r="A85" t="s">
        <v>82</v>
      </c>
      <c r="B85" s="1">
        <v>46065</v>
      </c>
      <c r="C85" s="2">
        <v>4309</v>
      </c>
      <c r="E85" t="s">
        <v>40</v>
      </c>
      <c r="G85" s="2">
        <v>86888</v>
      </c>
      <c r="I85" s="2">
        <v>-2730149</v>
      </c>
    </row>
    <row r="86" spans="1:9" x14ac:dyDescent="0.3">
      <c r="A86" t="s">
        <v>83</v>
      </c>
    </row>
    <row r="88" spans="1:9" x14ac:dyDescent="0.3">
      <c r="A88" t="s">
        <v>84</v>
      </c>
      <c r="B88" s="1">
        <v>46065</v>
      </c>
      <c r="C88" s="2">
        <v>4310</v>
      </c>
      <c r="E88" t="s">
        <v>34</v>
      </c>
      <c r="G88" s="2">
        <v>140395</v>
      </c>
      <c r="I88" s="2">
        <v>-2589754</v>
      </c>
    </row>
    <row r="89" spans="1:9" x14ac:dyDescent="0.3">
      <c r="A89" t="s">
        <v>85</v>
      </c>
    </row>
    <row r="91" spans="1:9" x14ac:dyDescent="0.3">
      <c r="A91" t="s">
        <v>86</v>
      </c>
      <c r="B91" s="1">
        <v>46065</v>
      </c>
      <c r="C91" s="2">
        <v>4311</v>
      </c>
      <c r="E91" t="s">
        <v>46</v>
      </c>
      <c r="G91" s="2">
        <v>303651</v>
      </c>
      <c r="I91" s="2">
        <v>-2286103</v>
      </c>
    </row>
    <row r="92" spans="1:9" x14ac:dyDescent="0.3">
      <c r="A92" t="s">
        <v>87</v>
      </c>
    </row>
    <row r="94" spans="1:9" x14ac:dyDescent="0.3">
      <c r="A94" t="s">
        <v>88</v>
      </c>
      <c r="B94" s="1">
        <v>46078</v>
      </c>
      <c r="C94" s="2">
        <v>4453</v>
      </c>
      <c r="E94" t="s">
        <v>31</v>
      </c>
      <c r="H94" s="2">
        <v>38514</v>
      </c>
      <c r="I94" s="2">
        <v>-2324617</v>
      </c>
    </row>
    <row r="95" spans="1:9" x14ac:dyDescent="0.3">
      <c r="A95" t="s">
        <v>55</v>
      </c>
    </row>
    <row r="97" spans="1:9" x14ac:dyDescent="0.3">
      <c r="A97" t="s">
        <v>89</v>
      </c>
      <c r="B97" s="1">
        <v>46078</v>
      </c>
      <c r="C97" s="2">
        <v>4454</v>
      </c>
      <c r="E97" t="s">
        <v>43</v>
      </c>
      <c r="G97" s="2">
        <v>11242</v>
      </c>
      <c r="I97" s="2">
        <v>-2313375</v>
      </c>
    </row>
    <row r="98" spans="1:9" x14ac:dyDescent="0.3">
      <c r="A98" t="s">
        <v>90</v>
      </c>
    </row>
    <row r="100" spans="1:9" x14ac:dyDescent="0.3">
      <c r="A100" t="s">
        <v>89</v>
      </c>
      <c r="B100" s="1">
        <v>46078</v>
      </c>
      <c r="C100" s="2">
        <v>4454</v>
      </c>
      <c r="E100" t="s">
        <v>46</v>
      </c>
      <c r="G100" s="2">
        <v>14910</v>
      </c>
      <c r="I100" s="2">
        <v>-2298465</v>
      </c>
    </row>
    <row r="101" spans="1:9" x14ac:dyDescent="0.3">
      <c r="A101" t="s">
        <v>69</v>
      </c>
    </row>
    <row r="103" spans="1:9" x14ac:dyDescent="0.3">
      <c r="A103" t="s">
        <v>89</v>
      </c>
      <c r="B103" s="1">
        <v>46078</v>
      </c>
      <c r="C103" s="2">
        <v>4454</v>
      </c>
      <c r="E103" t="s">
        <v>46</v>
      </c>
      <c r="H103" s="2">
        <v>1050155</v>
      </c>
      <c r="I103" s="2">
        <v>-3348620</v>
      </c>
    </row>
    <row r="104" spans="1:9" x14ac:dyDescent="0.3">
      <c r="A104" t="s">
        <v>69</v>
      </c>
    </row>
    <row r="106" spans="1:9" x14ac:dyDescent="0.3">
      <c r="A106" t="s">
        <v>89</v>
      </c>
      <c r="B106" s="1">
        <v>46078</v>
      </c>
      <c r="C106" s="2">
        <v>4454</v>
      </c>
      <c r="E106" t="s">
        <v>46</v>
      </c>
      <c r="G106" s="2">
        <v>827347</v>
      </c>
      <c r="I106" s="2">
        <v>-2521273</v>
      </c>
    </row>
    <row r="107" spans="1:9" x14ac:dyDescent="0.3">
      <c r="A107" t="s">
        <v>69</v>
      </c>
    </row>
    <row r="109" spans="1:9" x14ac:dyDescent="0.3">
      <c r="A109" t="s">
        <v>89</v>
      </c>
      <c r="B109" s="1">
        <v>46078</v>
      </c>
      <c r="C109" s="2">
        <v>4454</v>
      </c>
      <c r="E109" t="s">
        <v>46</v>
      </c>
      <c r="G109" s="2">
        <v>46725</v>
      </c>
      <c r="I109" s="2">
        <v>-2474548</v>
      </c>
    </row>
    <row r="110" spans="1:9" x14ac:dyDescent="0.3">
      <c r="A110" t="s">
        <v>69</v>
      </c>
    </row>
    <row r="112" spans="1:9" x14ac:dyDescent="0.3">
      <c r="A112" t="s">
        <v>91</v>
      </c>
      <c r="B112" s="1">
        <v>46078</v>
      </c>
      <c r="C112" s="2">
        <v>4455</v>
      </c>
      <c r="E112" t="s">
        <v>34</v>
      </c>
      <c r="H112" s="2">
        <v>51431</v>
      </c>
      <c r="I112" s="2">
        <v>-2525979</v>
      </c>
    </row>
    <row r="113" spans="1:9" x14ac:dyDescent="0.3">
      <c r="A113" t="s">
        <v>53</v>
      </c>
    </row>
    <row r="115" spans="1:9" x14ac:dyDescent="0.3">
      <c r="A115" t="s">
        <v>92</v>
      </c>
      <c r="B115" s="1">
        <v>46078</v>
      </c>
      <c r="C115" s="2">
        <v>4456</v>
      </c>
      <c r="E115" t="s">
        <v>28</v>
      </c>
      <c r="H115" s="2">
        <v>44849</v>
      </c>
      <c r="I115" s="2">
        <v>-2570828</v>
      </c>
    </row>
    <row r="116" spans="1:9" x14ac:dyDescent="0.3">
      <c r="A116" t="s">
        <v>57</v>
      </c>
    </row>
    <row r="118" spans="1:9" x14ac:dyDescent="0.3">
      <c r="A118" t="s">
        <v>93</v>
      </c>
      <c r="B118" s="1">
        <v>46078</v>
      </c>
      <c r="C118" s="2">
        <v>4457</v>
      </c>
      <c r="E118" t="s">
        <v>37</v>
      </c>
      <c r="H118" s="2">
        <v>113423</v>
      </c>
      <c r="I118" s="2">
        <v>-2684251</v>
      </c>
    </row>
    <row r="119" spans="1:9" x14ac:dyDescent="0.3">
      <c r="A119" t="s">
        <v>59</v>
      </c>
    </row>
    <row r="121" spans="1:9" x14ac:dyDescent="0.3">
      <c r="A121" t="s">
        <v>94</v>
      </c>
      <c r="B121" s="1">
        <v>46078</v>
      </c>
      <c r="C121" s="2">
        <v>4458</v>
      </c>
      <c r="E121" t="s">
        <v>43</v>
      </c>
      <c r="H121" s="2">
        <v>1329047</v>
      </c>
      <c r="I121" s="2">
        <v>-4013298</v>
      </c>
    </row>
    <row r="122" spans="1:9" x14ac:dyDescent="0.3">
      <c r="A122" t="s">
        <v>49</v>
      </c>
    </row>
    <row r="124" spans="1:9" x14ac:dyDescent="0.3">
      <c r="A124" t="s">
        <v>94</v>
      </c>
      <c r="B124" s="1">
        <v>46078</v>
      </c>
      <c r="C124" s="2">
        <v>4458</v>
      </c>
      <c r="E124" t="s">
        <v>43</v>
      </c>
      <c r="G124" s="2">
        <v>30702</v>
      </c>
      <c r="I124" s="2">
        <v>-3982596</v>
      </c>
    </row>
    <row r="125" spans="1:9" x14ac:dyDescent="0.3">
      <c r="A125" t="s">
        <v>49</v>
      </c>
    </row>
    <row r="127" spans="1:9" x14ac:dyDescent="0.3">
      <c r="A127" t="s">
        <v>95</v>
      </c>
      <c r="B127" s="1">
        <v>46086</v>
      </c>
      <c r="C127" s="2">
        <v>4429</v>
      </c>
      <c r="E127" t="s">
        <v>43</v>
      </c>
      <c r="G127" s="2">
        <v>233347</v>
      </c>
      <c r="I127" s="2">
        <v>-3749249</v>
      </c>
    </row>
    <row r="128" spans="1:9" x14ac:dyDescent="0.3">
      <c r="A128" t="s">
        <v>96</v>
      </c>
    </row>
    <row r="130" spans="1:9" x14ac:dyDescent="0.3">
      <c r="A130" t="s">
        <v>97</v>
      </c>
      <c r="B130" s="1">
        <v>46093</v>
      </c>
      <c r="C130" s="2">
        <v>4433</v>
      </c>
      <c r="E130" t="s">
        <v>34</v>
      </c>
      <c r="G130" s="2">
        <v>51431</v>
      </c>
      <c r="I130" s="2">
        <v>-3697818</v>
      </c>
    </row>
    <row r="131" spans="1:9" x14ac:dyDescent="0.3">
      <c r="A131" t="s">
        <v>98</v>
      </c>
    </row>
    <row r="133" spans="1:9" x14ac:dyDescent="0.3">
      <c r="A133" t="s">
        <v>99</v>
      </c>
      <c r="B133" s="1">
        <v>46093</v>
      </c>
      <c r="C133" s="2">
        <v>4434</v>
      </c>
      <c r="E133" t="s">
        <v>31</v>
      </c>
      <c r="G133" s="2">
        <v>38514</v>
      </c>
      <c r="I133" s="2">
        <v>-3659304</v>
      </c>
    </row>
    <row r="134" spans="1:9" x14ac:dyDescent="0.3">
      <c r="A134" t="s">
        <v>100</v>
      </c>
    </row>
    <row r="136" spans="1:9" x14ac:dyDescent="0.3">
      <c r="A136" t="s">
        <v>101</v>
      </c>
      <c r="B136" s="1">
        <v>46093</v>
      </c>
      <c r="C136" s="2">
        <v>4435</v>
      </c>
      <c r="E136" t="s">
        <v>37</v>
      </c>
      <c r="G136" s="2">
        <v>113423</v>
      </c>
      <c r="I136" s="2">
        <v>-3545881</v>
      </c>
    </row>
    <row r="137" spans="1:9" x14ac:dyDescent="0.3">
      <c r="A137" t="s">
        <v>102</v>
      </c>
    </row>
    <row r="139" spans="1:9" x14ac:dyDescent="0.3">
      <c r="A139" t="s">
        <v>103</v>
      </c>
      <c r="B139" s="1">
        <v>46093</v>
      </c>
      <c r="C139" s="2">
        <v>4436</v>
      </c>
      <c r="E139" t="s">
        <v>46</v>
      </c>
      <c r="G139" s="2">
        <v>1050155</v>
      </c>
      <c r="I139" s="2">
        <v>-2495726</v>
      </c>
    </row>
    <row r="140" spans="1:9" x14ac:dyDescent="0.3">
      <c r="A140" t="s">
        <v>104</v>
      </c>
    </row>
    <row r="142" spans="1:9" x14ac:dyDescent="0.3">
      <c r="A142" t="s">
        <v>105</v>
      </c>
      <c r="B142" s="1">
        <v>46093</v>
      </c>
      <c r="C142" s="2">
        <v>4437</v>
      </c>
      <c r="E142" t="s">
        <v>43</v>
      </c>
      <c r="G142" s="2">
        <v>1159047</v>
      </c>
      <c r="I142" s="2">
        <v>-1336679</v>
      </c>
    </row>
    <row r="143" spans="1:9" x14ac:dyDescent="0.3">
      <c r="A143" t="s">
        <v>106</v>
      </c>
    </row>
    <row r="145" spans="1:9" x14ac:dyDescent="0.3">
      <c r="A145" t="s">
        <v>107</v>
      </c>
      <c r="B145" s="1">
        <v>46093</v>
      </c>
      <c r="C145" s="2">
        <v>4438</v>
      </c>
      <c r="E145" t="s">
        <v>28</v>
      </c>
      <c r="G145" s="2">
        <v>44849</v>
      </c>
      <c r="I145" s="2">
        <v>-1291830</v>
      </c>
    </row>
    <row r="146" spans="1:9" x14ac:dyDescent="0.3">
      <c r="A146" t="s">
        <v>106</v>
      </c>
    </row>
    <row r="148" spans="1:9" x14ac:dyDescent="0.3">
      <c r="A148" t="s">
        <v>108</v>
      </c>
      <c r="B148" s="1">
        <v>46100</v>
      </c>
      <c r="C148" s="2">
        <v>4633</v>
      </c>
      <c r="E148" t="s">
        <v>12</v>
      </c>
      <c r="H148" s="2">
        <v>3990</v>
      </c>
      <c r="I148" s="2">
        <v>-1295820</v>
      </c>
    </row>
    <row r="149" spans="1:9" x14ac:dyDescent="0.3">
      <c r="A149" t="s">
        <v>109</v>
      </c>
    </row>
    <row r="151" spans="1:9" x14ac:dyDescent="0.3">
      <c r="A151" t="s">
        <v>110</v>
      </c>
      <c r="B151" s="1">
        <v>46107</v>
      </c>
      <c r="C151" s="2">
        <v>4594</v>
      </c>
      <c r="E151" t="s">
        <v>28</v>
      </c>
      <c r="H151" s="2">
        <v>775062</v>
      </c>
      <c r="I151" s="2">
        <v>-2070882</v>
      </c>
    </row>
    <row r="152" spans="1:9" x14ac:dyDescent="0.3">
      <c r="A152" t="s">
        <v>57</v>
      </c>
    </row>
    <row r="154" spans="1:9" x14ac:dyDescent="0.3">
      <c r="A154" t="s">
        <v>111</v>
      </c>
      <c r="B154" s="1">
        <v>46107</v>
      </c>
      <c r="C154" s="2">
        <v>4595</v>
      </c>
      <c r="E154" t="s">
        <v>31</v>
      </c>
      <c r="H154" s="2">
        <v>28900</v>
      </c>
      <c r="I154" s="2">
        <v>-2099782</v>
      </c>
    </row>
    <row r="155" spans="1:9" x14ac:dyDescent="0.3">
      <c r="A155" t="s">
        <v>55</v>
      </c>
    </row>
    <row r="157" spans="1:9" x14ac:dyDescent="0.3">
      <c r="A157" t="s">
        <v>112</v>
      </c>
      <c r="B157" s="1">
        <v>46107</v>
      </c>
      <c r="C157" s="2">
        <v>4596</v>
      </c>
      <c r="E157" t="s">
        <v>37</v>
      </c>
      <c r="H157" s="2">
        <v>2499421</v>
      </c>
      <c r="I157" s="2">
        <v>-4599203</v>
      </c>
    </row>
    <row r="158" spans="1:9" x14ac:dyDescent="0.3">
      <c r="A158" t="s">
        <v>59</v>
      </c>
    </row>
    <row r="160" spans="1:9" x14ac:dyDescent="0.3">
      <c r="A160" t="s">
        <v>113</v>
      </c>
      <c r="B160" s="1">
        <v>46107</v>
      </c>
      <c r="C160" s="2">
        <v>4597</v>
      </c>
      <c r="E160" t="s">
        <v>34</v>
      </c>
      <c r="H160" s="2">
        <v>98834</v>
      </c>
      <c r="I160" s="2">
        <v>-4698037</v>
      </c>
    </row>
    <row r="161" spans="1:9" x14ac:dyDescent="0.3">
      <c r="A161" t="s">
        <v>53</v>
      </c>
    </row>
    <row r="163" spans="1:9" x14ac:dyDescent="0.3">
      <c r="A163" t="s">
        <v>114</v>
      </c>
      <c r="B163" s="1">
        <v>46107</v>
      </c>
      <c r="C163" s="2">
        <v>4598</v>
      </c>
      <c r="E163" t="s">
        <v>43</v>
      </c>
      <c r="H163" s="2">
        <v>2211560</v>
      </c>
      <c r="I163" s="2">
        <v>-6909597</v>
      </c>
    </row>
    <row r="164" spans="1:9" x14ac:dyDescent="0.3">
      <c r="A164" t="s">
        <v>49</v>
      </c>
    </row>
    <row r="166" spans="1:9" x14ac:dyDescent="0.3">
      <c r="A166" t="s">
        <v>114</v>
      </c>
      <c r="B166" s="1">
        <v>46107</v>
      </c>
      <c r="C166" s="2">
        <v>4598</v>
      </c>
      <c r="E166" t="s">
        <v>43</v>
      </c>
      <c r="G166" s="2">
        <v>170000</v>
      </c>
      <c r="I166" s="2">
        <v>-6739597</v>
      </c>
    </row>
    <row r="167" spans="1:9" x14ac:dyDescent="0.3">
      <c r="A167" t="s">
        <v>49</v>
      </c>
    </row>
    <row r="169" spans="1:9" x14ac:dyDescent="0.3">
      <c r="A169" t="s">
        <v>115</v>
      </c>
      <c r="B169" s="1">
        <v>46112</v>
      </c>
      <c r="C169" s="2">
        <v>4634</v>
      </c>
      <c r="E169" t="s">
        <v>31</v>
      </c>
      <c r="H169" s="2">
        <v>528200</v>
      </c>
      <c r="I169" s="2">
        <v>-7267797</v>
      </c>
    </row>
    <row r="170" spans="1:9" x14ac:dyDescent="0.3">
      <c r="A170" t="s">
        <v>116</v>
      </c>
    </row>
    <row r="173" spans="1:9" x14ac:dyDescent="0.3">
      <c r="A173" t="s">
        <v>117</v>
      </c>
      <c r="G173" s="2">
        <v>10704909</v>
      </c>
      <c r="H173" s="2">
        <v>17972706</v>
      </c>
    </row>
    <row r="174" spans="1:9" x14ac:dyDescent="0.3">
      <c r="A174" t="s">
        <v>118</v>
      </c>
      <c r="I174" s="3">
        <v>-7267797</v>
      </c>
    </row>
    <row r="175" spans="1:9" x14ac:dyDescent="0.3">
      <c r="A175" t="s">
        <v>119</v>
      </c>
    </row>
    <row r="176" spans="1:9" x14ac:dyDescent="0.3">
      <c r="A176" t="s">
        <v>120</v>
      </c>
    </row>
    <row r="177" spans="1:9" x14ac:dyDescent="0.3">
      <c r="A177" t="s">
        <v>15</v>
      </c>
      <c r="B177" t="s">
        <v>16</v>
      </c>
      <c r="C177" t="s">
        <v>17</v>
      </c>
      <c r="E177" t="s">
        <v>18</v>
      </c>
      <c r="F177" t="s">
        <v>19</v>
      </c>
      <c r="G177" t="s">
        <v>20</v>
      </c>
      <c r="H177" t="s">
        <v>21</v>
      </c>
      <c r="I177" t="s">
        <v>22</v>
      </c>
    </row>
    <row r="178" spans="1:9" x14ac:dyDescent="0.3">
      <c r="F178" t="s">
        <v>23</v>
      </c>
      <c r="I178">
        <v>0</v>
      </c>
    </row>
    <row r="179" spans="1:9" x14ac:dyDescent="0.3">
      <c r="A179" t="s">
        <v>24</v>
      </c>
      <c r="B179" s="1">
        <v>46023</v>
      </c>
      <c r="E179" t="s">
        <v>25</v>
      </c>
      <c r="H179" s="3">
        <v>1153.68</v>
      </c>
      <c r="I179" s="3">
        <v>-1153.68</v>
      </c>
    </row>
    <row r="180" spans="1:9" x14ac:dyDescent="0.3">
      <c r="A180" t="s">
        <v>26</v>
      </c>
    </row>
    <row r="182" spans="1:9" x14ac:dyDescent="0.3">
      <c r="A182" t="s">
        <v>48</v>
      </c>
      <c r="B182" s="1">
        <v>46050</v>
      </c>
      <c r="C182" s="2">
        <v>4242</v>
      </c>
      <c r="E182" t="s">
        <v>43</v>
      </c>
      <c r="H182">
        <v>230</v>
      </c>
      <c r="I182" s="3">
        <v>-1383.68</v>
      </c>
    </row>
    <row r="183" spans="1:9" x14ac:dyDescent="0.3">
      <c r="A183" t="s">
        <v>49</v>
      </c>
    </row>
    <row r="185" spans="1:9" x14ac:dyDescent="0.3">
      <c r="A185" t="s">
        <v>48</v>
      </c>
      <c r="B185" s="1">
        <v>46050</v>
      </c>
      <c r="C185" s="2">
        <v>4242</v>
      </c>
      <c r="E185" t="s">
        <v>43</v>
      </c>
      <c r="G185">
        <v>48.56</v>
      </c>
      <c r="I185" s="3">
        <v>-1335.12</v>
      </c>
    </row>
    <row r="186" spans="1:9" x14ac:dyDescent="0.3">
      <c r="A186" t="s">
        <v>49</v>
      </c>
    </row>
    <row r="188" spans="1:9" x14ac:dyDescent="0.3">
      <c r="A188" t="s">
        <v>50</v>
      </c>
      <c r="B188" s="1">
        <v>46050</v>
      </c>
      <c r="C188" s="2">
        <v>4243</v>
      </c>
      <c r="E188" t="s">
        <v>40</v>
      </c>
      <c r="G188">
        <v>88.56</v>
      </c>
      <c r="I188" s="3">
        <v>-1246.56</v>
      </c>
    </row>
    <row r="189" spans="1:9" x14ac:dyDescent="0.3">
      <c r="A189" t="s">
        <v>51</v>
      </c>
    </row>
    <row r="191" spans="1:9" x14ac:dyDescent="0.3">
      <c r="A191" t="s">
        <v>52</v>
      </c>
      <c r="B191" s="1">
        <v>46050</v>
      </c>
      <c r="C191" s="2">
        <v>4244</v>
      </c>
      <c r="E191" t="s">
        <v>34</v>
      </c>
      <c r="H191">
        <v>50.16</v>
      </c>
      <c r="I191" s="3">
        <v>-1296.72</v>
      </c>
    </row>
    <row r="192" spans="1:9" x14ac:dyDescent="0.3">
      <c r="A192" t="s">
        <v>53</v>
      </c>
    </row>
    <row r="194" spans="1:9" x14ac:dyDescent="0.3">
      <c r="A194" t="s">
        <v>52</v>
      </c>
      <c r="B194" s="1">
        <v>46050</v>
      </c>
      <c r="C194" s="2">
        <v>4244</v>
      </c>
      <c r="E194" t="s">
        <v>34</v>
      </c>
      <c r="G194">
        <v>144.43</v>
      </c>
      <c r="I194" s="3">
        <v>-1152.29</v>
      </c>
    </row>
    <row r="195" spans="1:9" x14ac:dyDescent="0.3">
      <c r="A195" t="s">
        <v>53</v>
      </c>
    </row>
    <row r="197" spans="1:9" x14ac:dyDescent="0.3">
      <c r="A197" t="s">
        <v>54</v>
      </c>
      <c r="B197" s="1">
        <v>46050</v>
      </c>
      <c r="C197" s="2">
        <v>4245</v>
      </c>
      <c r="E197" t="s">
        <v>31</v>
      </c>
      <c r="G197">
        <v>101.42</v>
      </c>
      <c r="I197" s="3">
        <v>-1050.8699999999999</v>
      </c>
    </row>
    <row r="198" spans="1:9" x14ac:dyDescent="0.3">
      <c r="A198" t="s">
        <v>55</v>
      </c>
    </row>
    <row r="200" spans="1:9" x14ac:dyDescent="0.3">
      <c r="A200" t="s">
        <v>56</v>
      </c>
      <c r="B200" s="1">
        <v>46050</v>
      </c>
      <c r="C200" s="2">
        <v>4246</v>
      </c>
      <c r="E200" t="s">
        <v>28</v>
      </c>
      <c r="G200">
        <v>103.08</v>
      </c>
      <c r="I200">
        <v>-947.79</v>
      </c>
    </row>
    <row r="201" spans="1:9" x14ac:dyDescent="0.3">
      <c r="A201" t="s">
        <v>57</v>
      </c>
    </row>
    <row r="203" spans="1:9" x14ac:dyDescent="0.3">
      <c r="A203" t="s">
        <v>58</v>
      </c>
      <c r="B203" s="1">
        <v>46050</v>
      </c>
      <c r="C203" s="2">
        <v>4247</v>
      </c>
      <c r="E203" t="s">
        <v>37</v>
      </c>
      <c r="G203">
        <v>667.63</v>
      </c>
      <c r="I203">
        <v>-280.16000000000003</v>
      </c>
    </row>
    <row r="204" spans="1:9" x14ac:dyDescent="0.3">
      <c r="A204" t="s">
        <v>59</v>
      </c>
    </row>
    <row r="206" spans="1:9" x14ac:dyDescent="0.3">
      <c r="A206" t="s">
        <v>88</v>
      </c>
      <c r="B206" s="1">
        <v>46078</v>
      </c>
      <c r="C206" s="2">
        <v>4453</v>
      </c>
      <c r="E206" t="s">
        <v>31</v>
      </c>
      <c r="H206">
        <v>25.06</v>
      </c>
      <c r="I206">
        <v>-305.22000000000003</v>
      </c>
    </row>
    <row r="207" spans="1:9" x14ac:dyDescent="0.3">
      <c r="A207" t="s">
        <v>55</v>
      </c>
    </row>
    <row r="209" spans="1:9" x14ac:dyDescent="0.3">
      <c r="A209" t="s">
        <v>91</v>
      </c>
      <c r="B209" s="1">
        <v>46078</v>
      </c>
      <c r="C209" s="2">
        <v>4455</v>
      </c>
      <c r="E209" t="s">
        <v>34</v>
      </c>
      <c r="H209">
        <v>98.84</v>
      </c>
      <c r="I209">
        <v>-404.06</v>
      </c>
    </row>
    <row r="210" spans="1:9" x14ac:dyDescent="0.3">
      <c r="A210" t="s">
        <v>53</v>
      </c>
    </row>
    <row r="212" spans="1:9" x14ac:dyDescent="0.3">
      <c r="A212" t="s">
        <v>91</v>
      </c>
      <c r="B212" s="1">
        <v>46078</v>
      </c>
      <c r="C212" s="2">
        <v>4455</v>
      </c>
      <c r="E212" t="s">
        <v>34</v>
      </c>
      <c r="G212">
        <v>50.16</v>
      </c>
      <c r="I212">
        <v>-353.9</v>
      </c>
    </row>
    <row r="213" spans="1:9" x14ac:dyDescent="0.3">
      <c r="A213" t="s">
        <v>53</v>
      </c>
    </row>
    <row r="215" spans="1:9" x14ac:dyDescent="0.3">
      <c r="A215" t="s">
        <v>92</v>
      </c>
      <c r="B215" s="1">
        <v>46078</v>
      </c>
      <c r="C215" s="2">
        <v>4456</v>
      </c>
      <c r="E215" t="s">
        <v>28</v>
      </c>
      <c r="H215">
        <v>472</v>
      </c>
      <c r="I215">
        <v>-825.9</v>
      </c>
    </row>
    <row r="216" spans="1:9" x14ac:dyDescent="0.3">
      <c r="A216" t="s">
        <v>57</v>
      </c>
    </row>
    <row r="218" spans="1:9" x14ac:dyDescent="0.3">
      <c r="A218" t="s">
        <v>93</v>
      </c>
      <c r="B218" s="1">
        <v>46078</v>
      </c>
      <c r="C218" s="2">
        <v>4457</v>
      </c>
      <c r="E218" t="s">
        <v>37</v>
      </c>
      <c r="H218" s="3">
        <v>2084.6</v>
      </c>
      <c r="I218" s="3">
        <v>-2910.5</v>
      </c>
    </row>
    <row r="219" spans="1:9" x14ac:dyDescent="0.3">
      <c r="A219" t="s">
        <v>59</v>
      </c>
    </row>
    <row r="221" spans="1:9" x14ac:dyDescent="0.3">
      <c r="A221" t="s">
        <v>94</v>
      </c>
      <c r="B221" s="1">
        <v>46078</v>
      </c>
      <c r="C221" s="2">
        <v>4458</v>
      </c>
      <c r="E221" t="s">
        <v>43</v>
      </c>
      <c r="H221" s="3">
        <v>1160.03</v>
      </c>
      <c r="I221" s="3">
        <v>-4070.53</v>
      </c>
    </row>
    <row r="222" spans="1:9" x14ac:dyDescent="0.3">
      <c r="A222" t="s">
        <v>49</v>
      </c>
    </row>
    <row r="224" spans="1:9" x14ac:dyDescent="0.3">
      <c r="A224" t="s">
        <v>94</v>
      </c>
      <c r="B224" s="1">
        <v>46078</v>
      </c>
      <c r="C224" s="2">
        <v>4458</v>
      </c>
      <c r="E224" t="s">
        <v>43</v>
      </c>
      <c r="G224">
        <v>230</v>
      </c>
      <c r="I224" s="3">
        <v>-3840.53</v>
      </c>
    </row>
    <row r="225" spans="1:9" x14ac:dyDescent="0.3">
      <c r="A225" t="s">
        <v>49</v>
      </c>
    </row>
    <row r="227" spans="1:9" x14ac:dyDescent="0.3">
      <c r="A227" t="s">
        <v>110</v>
      </c>
      <c r="B227" s="1">
        <v>46107</v>
      </c>
      <c r="C227" s="2">
        <v>4594</v>
      </c>
      <c r="E227" t="s">
        <v>28</v>
      </c>
      <c r="H227">
        <v>240.84</v>
      </c>
      <c r="I227" s="3">
        <v>-4081.37</v>
      </c>
    </row>
    <row r="228" spans="1:9" x14ac:dyDescent="0.3">
      <c r="A228" t="s">
        <v>57</v>
      </c>
    </row>
    <row r="230" spans="1:9" x14ac:dyDescent="0.3">
      <c r="A230" t="s">
        <v>110</v>
      </c>
      <c r="B230" s="1">
        <v>46107</v>
      </c>
      <c r="C230" s="2">
        <v>4594</v>
      </c>
      <c r="E230" t="s">
        <v>28</v>
      </c>
      <c r="G230">
        <v>442</v>
      </c>
      <c r="I230" s="3">
        <v>-3639.37</v>
      </c>
    </row>
    <row r="231" spans="1:9" x14ac:dyDescent="0.3">
      <c r="A231" t="s">
        <v>57</v>
      </c>
    </row>
    <row r="233" spans="1:9" x14ac:dyDescent="0.3">
      <c r="A233" t="s">
        <v>111</v>
      </c>
      <c r="B233" s="1">
        <v>46107</v>
      </c>
      <c r="C233" s="2">
        <v>4595</v>
      </c>
      <c r="E233" t="s">
        <v>31</v>
      </c>
      <c r="H233">
        <v>38.07</v>
      </c>
      <c r="I233" s="3">
        <v>-3677.44</v>
      </c>
    </row>
    <row r="234" spans="1:9" x14ac:dyDescent="0.3">
      <c r="A234" t="s">
        <v>55</v>
      </c>
    </row>
    <row r="236" spans="1:9" x14ac:dyDescent="0.3">
      <c r="A236" t="s">
        <v>111</v>
      </c>
      <c r="B236" s="1">
        <v>46107</v>
      </c>
      <c r="C236" s="2">
        <v>4595</v>
      </c>
      <c r="E236" t="s">
        <v>31</v>
      </c>
      <c r="G236">
        <v>25.06</v>
      </c>
      <c r="I236" s="3">
        <v>-3652.38</v>
      </c>
    </row>
    <row r="237" spans="1:9" x14ac:dyDescent="0.3">
      <c r="A237" t="s">
        <v>55</v>
      </c>
    </row>
    <row r="239" spans="1:9" x14ac:dyDescent="0.3">
      <c r="A239" t="s">
        <v>112</v>
      </c>
      <c r="B239" s="1">
        <v>46107</v>
      </c>
      <c r="C239" s="2">
        <v>4596</v>
      </c>
      <c r="E239" t="s">
        <v>37</v>
      </c>
      <c r="H239">
        <v>310.20999999999998</v>
      </c>
      <c r="I239" s="3">
        <v>-3962.59</v>
      </c>
    </row>
    <row r="240" spans="1:9" x14ac:dyDescent="0.3">
      <c r="A240" t="s">
        <v>59</v>
      </c>
    </row>
    <row r="242" spans="1:9" x14ac:dyDescent="0.3">
      <c r="A242" t="s">
        <v>112</v>
      </c>
      <c r="B242" s="1">
        <v>46107</v>
      </c>
      <c r="C242" s="2">
        <v>4596</v>
      </c>
      <c r="E242" t="s">
        <v>37</v>
      </c>
      <c r="G242" s="3">
        <v>2084.6</v>
      </c>
      <c r="I242" s="3">
        <v>-1877.99</v>
      </c>
    </row>
    <row r="243" spans="1:9" x14ac:dyDescent="0.3">
      <c r="A243" t="s">
        <v>59</v>
      </c>
    </row>
    <row r="245" spans="1:9" x14ac:dyDescent="0.3">
      <c r="A245" t="s">
        <v>113</v>
      </c>
      <c r="B245" s="1">
        <v>46107</v>
      </c>
      <c r="C245" s="2">
        <v>4597</v>
      </c>
      <c r="E245" t="s">
        <v>34</v>
      </c>
      <c r="G245">
        <v>98.84</v>
      </c>
      <c r="I245" s="3">
        <v>-1779.15</v>
      </c>
    </row>
    <row r="246" spans="1:9" x14ac:dyDescent="0.3">
      <c r="A246" t="s">
        <v>53</v>
      </c>
    </row>
    <row r="248" spans="1:9" x14ac:dyDescent="0.3">
      <c r="A248" t="s">
        <v>114</v>
      </c>
      <c r="B248" s="1">
        <v>46107</v>
      </c>
      <c r="C248" s="2">
        <v>4598</v>
      </c>
      <c r="E248" t="s">
        <v>43</v>
      </c>
      <c r="H248">
        <v>96.1</v>
      </c>
      <c r="I248" s="3">
        <v>-1875.25</v>
      </c>
    </row>
    <row r="249" spans="1:9" x14ac:dyDescent="0.3">
      <c r="A249" t="s">
        <v>49</v>
      </c>
    </row>
    <row r="251" spans="1:9" x14ac:dyDescent="0.3">
      <c r="A251" t="s">
        <v>114</v>
      </c>
      <c r="B251" s="1">
        <v>46107</v>
      </c>
      <c r="C251" s="2">
        <v>4598</v>
      </c>
      <c r="E251" t="s">
        <v>43</v>
      </c>
      <c r="G251" s="3">
        <v>1160.03</v>
      </c>
      <c r="I251">
        <v>-715.22</v>
      </c>
    </row>
    <row r="252" spans="1:9" x14ac:dyDescent="0.3">
      <c r="A252" t="s">
        <v>49</v>
      </c>
    </row>
    <row r="255" spans="1:9" x14ac:dyDescent="0.3">
      <c r="A255" t="s">
        <v>117</v>
      </c>
      <c r="G255" s="3">
        <v>5244.37</v>
      </c>
      <c r="H255" s="3">
        <v>5959.59</v>
      </c>
    </row>
    <row r="256" spans="1:9" x14ac:dyDescent="0.3">
      <c r="A256" t="s">
        <v>118</v>
      </c>
      <c r="I256">
        <v>-715.22</v>
      </c>
    </row>
    <row r="257" spans="1:1" x14ac:dyDescent="0.3">
      <c r="A257" t="s">
        <v>121</v>
      </c>
    </row>
    <row r="258" spans="1:1" x14ac:dyDescent="0.3">
      <c r="A258" t="s">
        <v>122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2C8A-9BB3-4F95-9AF6-96AA7CBD8AEE}">
  <sheetPr filterMode="1"/>
  <dimension ref="A1:J258"/>
  <sheetViews>
    <sheetView tabSelected="1" zoomScale="90" zoomScaleNormal="90" workbookViewId="0">
      <selection activeCell="J140" sqref="J140"/>
    </sheetView>
  </sheetViews>
  <sheetFormatPr baseColWidth="10" defaultRowHeight="14" x14ac:dyDescent="0.3"/>
  <cols>
    <col min="4" max="4" width="37.8984375" customWidth="1"/>
    <col min="5" max="5" width="36" bestFit="1" customWidth="1"/>
  </cols>
  <sheetData>
    <row r="1" spans="1:10" s="4" customFormat="1" x14ac:dyDescent="0.3">
      <c r="A1" s="17" t="s">
        <v>15</v>
      </c>
      <c r="B1" s="17" t="s">
        <v>16</v>
      </c>
      <c r="C1" s="17" t="s">
        <v>17</v>
      </c>
      <c r="D1" s="17" t="s">
        <v>123</v>
      </c>
      <c r="E1" s="17" t="s">
        <v>18</v>
      </c>
      <c r="F1" s="17" t="s">
        <v>20</v>
      </c>
      <c r="G1" s="17" t="s">
        <v>21</v>
      </c>
      <c r="H1" s="17" t="s">
        <v>22</v>
      </c>
    </row>
    <row r="2" spans="1:10" x14ac:dyDescent="0.3">
      <c r="A2" t="s">
        <v>24</v>
      </c>
      <c r="B2" s="1">
        <v>46023</v>
      </c>
      <c r="D2" t="s">
        <v>26</v>
      </c>
      <c r="E2" t="s">
        <v>25</v>
      </c>
      <c r="G2" s="2">
        <v>3970703</v>
      </c>
      <c r="H2" s="2">
        <v>-3970703</v>
      </c>
      <c r="J2" s="2">
        <f>G2-3753242</f>
        <v>217461</v>
      </c>
    </row>
    <row r="3" spans="1:10" hidden="1" x14ac:dyDescent="0.3">
      <c r="A3" t="s">
        <v>26</v>
      </c>
    </row>
    <row r="4" spans="1:10" hidden="1" x14ac:dyDescent="0.3">
      <c r="D4" t="s">
        <v>27</v>
      </c>
    </row>
    <row r="5" spans="1:10" hidden="1" x14ac:dyDescent="0.3">
      <c r="A5" s="29" t="s">
        <v>27</v>
      </c>
      <c r="B5" s="30">
        <v>46036</v>
      </c>
      <c r="C5" s="31">
        <v>4195</v>
      </c>
      <c r="D5" s="29" t="s">
        <v>29</v>
      </c>
      <c r="E5" s="29" t="s">
        <v>28</v>
      </c>
      <c r="F5" s="31">
        <v>752789</v>
      </c>
      <c r="G5" s="29"/>
      <c r="H5" s="31">
        <v>-3217914</v>
      </c>
    </row>
    <row r="6" spans="1:10" hidden="1" x14ac:dyDescent="0.3">
      <c r="A6" t="s">
        <v>29</v>
      </c>
    </row>
    <row r="7" spans="1:10" hidden="1" x14ac:dyDescent="0.3">
      <c r="D7" t="s">
        <v>30</v>
      </c>
    </row>
    <row r="8" spans="1:10" hidden="1" x14ac:dyDescent="0.3">
      <c r="A8" s="9" t="s">
        <v>30</v>
      </c>
      <c r="B8" s="10">
        <v>46036</v>
      </c>
      <c r="C8" s="11">
        <v>4196</v>
      </c>
      <c r="D8" s="9" t="s">
        <v>32</v>
      </c>
      <c r="E8" s="9" t="s">
        <v>31</v>
      </c>
      <c r="F8" s="11">
        <v>6314</v>
      </c>
      <c r="G8" s="9"/>
      <c r="H8" s="11">
        <v>-3211600</v>
      </c>
    </row>
    <row r="9" spans="1:10" hidden="1" x14ac:dyDescent="0.3">
      <c r="A9" t="s">
        <v>32</v>
      </c>
    </row>
    <row r="10" spans="1:10" hidden="1" x14ac:dyDescent="0.3">
      <c r="D10" t="s">
        <v>33</v>
      </c>
    </row>
    <row r="11" spans="1:10" hidden="1" x14ac:dyDescent="0.3">
      <c r="A11" s="13" t="s">
        <v>33</v>
      </c>
      <c r="B11" s="14">
        <v>46036</v>
      </c>
      <c r="C11" s="15">
        <v>4197</v>
      </c>
      <c r="D11" s="13" t="s">
        <v>35</v>
      </c>
      <c r="E11" s="13" t="s">
        <v>34</v>
      </c>
      <c r="F11" s="15">
        <v>7314</v>
      </c>
      <c r="G11" s="13"/>
      <c r="H11" s="15">
        <v>-3204286</v>
      </c>
    </row>
    <row r="12" spans="1:10" hidden="1" x14ac:dyDescent="0.3">
      <c r="A12" t="s">
        <v>35</v>
      </c>
    </row>
    <row r="13" spans="1:10" hidden="1" x14ac:dyDescent="0.3">
      <c r="D13" t="s">
        <v>36</v>
      </c>
    </row>
    <row r="14" spans="1:10" s="5" customFormat="1" hidden="1" x14ac:dyDescent="0.3">
      <c r="A14" s="5" t="s">
        <v>36</v>
      </c>
      <c r="B14" s="6">
        <v>46036</v>
      </c>
      <c r="C14" s="7">
        <v>4198</v>
      </c>
      <c r="D14" s="5" t="s">
        <v>38</v>
      </c>
      <c r="E14" s="5" t="s">
        <v>37</v>
      </c>
      <c r="F14" s="7">
        <v>596065</v>
      </c>
      <c r="H14" s="7">
        <v>-2608221</v>
      </c>
    </row>
    <row r="15" spans="1:10" hidden="1" x14ac:dyDescent="0.3">
      <c r="A15" t="s">
        <v>38</v>
      </c>
    </row>
    <row r="16" spans="1:10" hidden="1" x14ac:dyDescent="0.3">
      <c r="D16" t="s">
        <v>39</v>
      </c>
    </row>
    <row r="17" spans="1:8" hidden="1" x14ac:dyDescent="0.3">
      <c r="A17" s="22" t="s">
        <v>39</v>
      </c>
      <c r="B17" s="23">
        <v>46036</v>
      </c>
      <c r="C17" s="24">
        <v>4199</v>
      </c>
      <c r="D17" s="22" t="s">
        <v>41</v>
      </c>
      <c r="E17" s="22" t="s">
        <v>40</v>
      </c>
      <c r="F17" s="24">
        <v>719990</v>
      </c>
      <c r="G17" s="22"/>
      <c r="H17" s="24">
        <v>-1888231</v>
      </c>
    </row>
    <row r="18" spans="1:8" hidden="1" x14ac:dyDescent="0.3">
      <c r="A18" t="s">
        <v>41</v>
      </c>
    </row>
    <row r="19" spans="1:8" hidden="1" x14ac:dyDescent="0.3">
      <c r="D19" t="s">
        <v>42</v>
      </c>
    </row>
    <row r="20" spans="1:8" hidden="1" x14ac:dyDescent="0.3">
      <c r="A20" s="18" t="s">
        <v>42</v>
      </c>
      <c r="B20" s="19">
        <v>46036</v>
      </c>
      <c r="C20" s="20">
        <v>4200</v>
      </c>
      <c r="D20" s="18" t="s">
        <v>44</v>
      </c>
      <c r="E20" s="18" t="s">
        <v>43</v>
      </c>
      <c r="F20" s="20">
        <v>1121283</v>
      </c>
      <c r="G20" s="18"/>
      <c r="H20" s="20">
        <v>-766948</v>
      </c>
    </row>
    <row r="21" spans="1:8" hidden="1" x14ac:dyDescent="0.3">
      <c r="A21" t="s">
        <v>44</v>
      </c>
    </row>
    <row r="22" spans="1:8" hidden="1" x14ac:dyDescent="0.3">
      <c r="D22" t="s">
        <v>45</v>
      </c>
    </row>
    <row r="23" spans="1:8" hidden="1" x14ac:dyDescent="0.3">
      <c r="A23" s="26" t="s">
        <v>45</v>
      </c>
      <c r="B23" s="27">
        <v>46049</v>
      </c>
      <c r="C23" s="28">
        <v>4316</v>
      </c>
      <c r="D23" s="26" t="s">
        <v>47</v>
      </c>
      <c r="E23" s="26" t="s">
        <v>46</v>
      </c>
      <c r="F23" s="26"/>
      <c r="G23" s="28">
        <v>14910</v>
      </c>
      <c r="H23" s="28">
        <v>-781858</v>
      </c>
    </row>
    <row r="24" spans="1:8" hidden="1" x14ac:dyDescent="0.3">
      <c r="A24" t="s">
        <v>47</v>
      </c>
    </row>
    <row r="25" spans="1:8" hidden="1" x14ac:dyDescent="0.3">
      <c r="D25" t="s">
        <v>48</v>
      </c>
    </row>
    <row r="26" spans="1:8" hidden="1" x14ac:dyDescent="0.3">
      <c r="A26" s="18" t="s">
        <v>48</v>
      </c>
      <c r="B26" s="19">
        <v>46050</v>
      </c>
      <c r="C26" s="20">
        <v>4242</v>
      </c>
      <c r="D26" s="18" t="s">
        <v>49</v>
      </c>
      <c r="E26" s="18" t="s">
        <v>43</v>
      </c>
      <c r="F26" s="18"/>
      <c r="G26" s="20">
        <v>1333628</v>
      </c>
      <c r="H26" s="20">
        <v>-2115486</v>
      </c>
    </row>
    <row r="27" spans="1:8" hidden="1" x14ac:dyDescent="0.3">
      <c r="A27" t="s">
        <v>49</v>
      </c>
    </row>
    <row r="28" spans="1:8" hidden="1" x14ac:dyDescent="0.3">
      <c r="D28" t="s">
        <v>50</v>
      </c>
    </row>
    <row r="29" spans="1:8" hidden="1" x14ac:dyDescent="0.3">
      <c r="A29" s="22" t="s">
        <v>50</v>
      </c>
      <c r="B29" s="23">
        <v>46050</v>
      </c>
      <c r="C29" s="24">
        <v>4243</v>
      </c>
      <c r="D29" s="22" t="s">
        <v>51</v>
      </c>
      <c r="E29" s="22" t="s">
        <v>40</v>
      </c>
      <c r="F29" s="22"/>
      <c r="G29" s="24">
        <v>86888</v>
      </c>
      <c r="H29" s="24">
        <v>-2202374</v>
      </c>
    </row>
    <row r="30" spans="1:8" hidden="1" x14ac:dyDescent="0.3">
      <c r="A30" t="s">
        <v>51</v>
      </c>
    </row>
    <row r="31" spans="1:8" hidden="1" x14ac:dyDescent="0.3">
      <c r="D31" t="s">
        <v>52</v>
      </c>
    </row>
    <row r="32" spans="1:8" hidden="1" x14ac:dyDescent="0.3">
      <c r="A32" s="13" t="s">
        <v>52</v>
      </c>
      <c r="B32" s="14">
        <v>46050</v>
      </c>
      <c r="C32" s="15">
        <v>4244</v>
      </c>
      <c r="D32" s="13" t="s">
        <v>53</v>
      </c>
      <c r="E32" s="13" t="s">
        <v>34</v>
      </c>
      <c r="F32" s="13"/>
      <c r="G32" s="15">
        <v>140395</v>
      </c>
      <c r="H32" s="15">
        <v>-2342769</v>
      </c>
    </row>
    <row r="33" spans="1:8" hidden="1" x14ac:dyDescent="0.3">
      <c r="A33" t="s">
        <v>53</v>
      </c>
    </row>
    <row r="34" spans="1:8" hidden="1" x14ac:dyDescent="0.3">
      <c r="D34" t="s">
        <v>54</v>
      </c>
    </row>
    <row r="35" spans="1:8" hidden="1" x14ac:dyDescent="0.3">
      <c r="A35" s="9" t="s">
        <v>54</v>
      </c>
      <c r="B35" s="10">
        <v>46050</v>
      </c>
      <c r="C35" s="11">
        <v>4245</v>
      </c>
      <c r="D35" s="9" t="s">
        <v>55</v>
      </c>
      <c r="E35" s="9" t="s">
        <v>31</v>
      </c>
      <c r="F35" s="9"/>
      <c r="G35" s="11">
        <v>99008</v>
      </c>
      <c r="H35" s="11">
        <v>-2441777</v>
      </c>
    </row>
    <row r="36" spans="1:8" hidden="1" x14ac:dyDescent="0.3">
      <c r="A36" t="s">
        <v>55</v>
      </c>
    </row>
    <row r="37" spans="1:8" hidden="1" x14ac:dyDescent="0.3">
      <c r="D37" t="s">
        <v>56</v>
      </c>
    </row>
    <row r="38" spans="1:8" hidden="1" x14ac:dyDescent="0.3">
      <c r="A38" s="29" t="s">
        <v>56</v>
      </c>
      <c r="B38" s="30">
        <v>46050</v>
      </c>
      <c r="C38" s="31">
        <v>4246</v>
      </c>
      <c r="D38" s="29" t="s">
        <v>57</v>
      </c>
      <c r="E38" s="29" t="s">
        <v>28</v>
      </c>
      <c r="F38" s="29"/>
      <c r="G38" s="31">
        <v>146634</v>
      </c>
      <c r="H38" s="31">
        <v>-2588411</v>
      </c>
    </row>
    <row r="39" spans="1:8" hidden="1" x14ac:dyDescent="0.3">
      <c r="A39" t="s">
        <v>57</v>
      </c>
    </row>
    <row r="40" spans="1:8" hidden="1" x14ac:dyDescent="0.3">
      <c r="D40" t="s">
        <v>58</v>
      </c>
    </row>
    <row r="41" spans="1:8" s="5" customFormat="1" hidden="1" x14ac:dyDescent="0.3">
      <c r="A41" s="5" t="s">
        <v>58</v>
      </c>
      <c r="B41" s="6">
        <v>46050</v>
      </c>
      <c r="C41" s="7">
        <v>4247</v>
      </c>
      <c r="D41" s="5" t="s">
        <v>59</v>
      </c>
      <c r="E41" s="5" t="s">
        <v>37</v>
      </c>
      <c r="G41" s="7">
        <v>1437298</v>
      </c>
      <c r="H41" s="7">
        <v>-4025709</v>
      </c>
    </row>
    <row r="42" spans="1:8" hidden="1" x14ac:dyDescent="0.3">
      <c r="A42" t="s">
        <v>59</v>
      </c>
    </row>
    <row r="43" spans="1:8" hidden="1" x14ac:dyDescent="0.3">
      <c r="D43" t="s">
        <v>60</v>
      </c>
    </row>
    <row r="44" spans="1:8" hidden="1" x14ac:dyDescent="0.3">
      <c r="A44" s="18" t="s">
        <v>60</v>
      </c>
      <c r="B44" s="19">
        <v>46050</v>
      </c>
      <c r="C44" s="20">
        <v>4321</v>
      </c>
      <c r="D44" s="18" t="s">
        <v>61</v>
      </c>
      <c r="E44" s="18" t="s">
        <v>43</v>
      </c>
      <c r="F44" s="18"/>
      <c r="G44" s="20">
        <v>30700</v>
      </c>
      <c r="H44" s="20">
        <v>-4056409</v>
      </c>
    </row>
    <row r="45" spans="1:8" hidden="1" x14ac:dyDescent="0.3">
      <c r="A45" t="s">
        <v>61</v>
      </c>
    </row>
    <row r="46" spans="1:8" hidden="1" x14ac:dyDescent="0.3">
      <c r="D46" t="s">
        <v>62</v>
      </c>
    </row>
    <row r="47" spans="1:8" hidden="1" x14ac:dyDescent="0.3">
      <c r="A47" s="26" t="s">
        <v>62</v>
      </c>
      <c r="B47" s="27">
        <v>46051</v>
      </c>
      <c r="C47" s="28">
        <v>4317</v>
      </c>
      <c r="D47" s="26" t="s">
        <v>63</v>
      </c>
      <c r="E47" s="26" t="s">
        <v>46</v>
      </c>
      <c r="F47" s="26"/>
      <c r="G47" s="28">
        <v>46725</v>
      </c>
      <c r="H47" s="28">
        <v>-4103134</v>
      </c>
    </row>
    <row r="48" spans="1:8" hidden="1" x14ac:dyDescent="0.3">
      <c r="A48" t="s">
        <v>63</v>
      </c>
    </row>
    <row r="49" spans="1:8" hidden="1" x14ac:dyDescent="0.3">
      <c r="D49" t="s">
        <v>64</v>
      </c>
    </row>
    <row r="50" spans="1:8" hidden="1" x14ac:dyDescent="0.3">
      <c r="A50" s="18" t="s">
        <v>64</v>
      </c>
      <c r="B50" s="19">
        <v>46051</v>
      </c>
      <c r="C50" s="20">
        <v>4319</v>
      </c>
      <c r="D50" s="18" t="s">
        <v>65</v>
      </c>
      <c r="E50" s="18" t="s">
        <v>43</v>
      </c>
      <c r="F50" s="18"/>
      <c r="G50" s="20">
        <v>11242</v>
      </c>
      <c r="H50" s="20">
        <v>-4114376</v>
      </c>
    </row>
    <row r="51" spans="1:8" hidden="1" x14ac:dyDescent="0.3">
      <c r="A51" t="s">
        <v>65</v>
      </c>
    </row>
    <row r="52" spans="1:8" hidden="1" x14ac:dyDescent="0.3">
      <c r="D52" t="s">
        <v>66</v>
      </c>
    </row>
    <row r="53" spans="1:8" hidden="1" x14ac:dyDescent="0.3">
      <c r="A53" s="18" t="s">
        <v>66</v>
      </c>
      <c r="B53" s="19">
        <v>46051</v>
      </c>
      <c r="C53" s="20">
        <v>4320</v>
      </c>
      <c r="D53" s="18" t="s">
        <v>67</v>
      </c>
      <c r="E53" s="18" t="s">
        <v>43</v>
      </c>
      <c r="F53" s="18"/>
      <c r="G53" s="20">
        <v>583835</v>
      </c>
      <c r="H53" s="20">
        <v>-4698211</v>
      </c>
    </row>
    <row r="54" spans="1:8" hidden="1" x14ac:dyDescent="0.3">
      <c r="A54" t="s">
        <v>67</v>
      </c>
    </row>
    <row r="55" spans="1:8" hidden="1" x14ac:dyDescent="0.3">
      <c r="D55" t="s">
        <v>68</v>
      </c>
    </row>
    <row r="56" spans="1:8" hidden="1" x14ac:dyDescent="0.3">
      <c r="A56" s="26" t="s">
        <v>68</v>
      </c>
      <c r="B56" s="27">
        <v>46053</v>
      </c>
      <c r="C56" s="28">
        <v>4249</v>
      </c>
      <c r="D56" s="26" t="s">
        <v>69</v>
      </c>
      <c r="E56" s="26" t="s">
        <v>46</v>
      </c>
      <c r="F56" s="26"/>
      <c r="G56" s="28">
        <v>303651</v>
      </c>
      <c r="H56" s="28">
        <v>-5001862</v>
      </c>
    </row>
    <row r="57" spans="1:8" hidden="1" x14ac:dyDescent="0.3">
      <c r="A57" t="s">
        <v>69</v>
      </c>
    </row>
    <row r="58" spans="1:8" hidden="1" x14ac:dyDescent="0.3">
      <c r="D58" t="s">
        <v>70</v>
      </c>
    </row>
    <row r="59" spans="1:8" hidden="1" x14ac:dyDescent="0.3">
      <c r="A59" s="26" t="s">
        <v>70</v>
      </c>
      <c r="B59" s="27">
        <v>46053</v>
      </c>
      <c r="C59" s="28">
        <v>4322</v>
      </c>
      <c r="D59" s="26" t="s">
        <v>71</v>
      </c>
      <c r="E59" s="26" t="s">
        <v>46</v>
      </c>
      <c r="F59" s="26"/>
      <c r="G59" s="28">
        <v>984543</v>
      </c>
      <c r="H59" s="28">
        <v>-5986405</v>
      </c>
    </row>
    <row r="60" spans="1:8" hidden="1" x14ac:dyDescent="0.3">
      <c r="A60" t="s">
        <v>71</v>
      </c>
    </row>
    <row r="61" spans="1:8" hidden="1" x14ac:dyDescent="0.3">
      <c r="D61" t="s">
        <v>72</v>
      </c>
    </row>
    <row r="62" spans="1:8" hidden="1" x14ac:dyDescent="0.3">
      <c r="A62" s="18" t="s">
        <v>72</v>
      </c>
      <c r="B62" s="19">
        <v>46055</v>
      </c>
      <c r="C62" s="20">
        <v>4517</v>
      </c>
      <c r="D62" s="18" t="s">
        <v>73</v>
      </c>
      <c r="E62" s="18" t="s">
        <v>43</v>
      </c>
      <c r="F62" s="18"/>
      <c r="G62" s="20">
        <v>9160</v>
      </c>
      <c r="H62" s="20">
        <v>-5995565</v>
      </c>
    </row>
    <row r="63" spans="1:8" hidden="1" x14ac:dyDescent="0.3">
      <c r="A63" t="s">
        <v>73</v>
      </c>
    </row>
    <row r="64" spans="1:8" hidden="1" x14ac:dyDescent="0.3">
      <c r="D64" t="s">
        <v>74</v>
      </c>
    </row>
    <row r="65" spans="1:8" hidden="1" x14ac:dyDescent="0.3">
      <c r="A65" s="18" t="s">
        <v>74</v>
      </c>
      <c r="B65" s="19">
        <v>46065</v>
      </c>
      <c r="C65" s="20">
        <v>4305</v>
      </c>
      <c r="D65" s="18" t="s">
        <v>75</v>
      </c>
      <c r="E65" s="18" t="s">
        <v>43</v>
      </c>
      <c r="F65" s="20">
        <v>1495588</v>
      </c>
      <c r="G65" s="18"/>
      <c r="H65" s="20">
        <v>-4499977</v>
      </c>
    </row>
    <row r="66" spans="1:8" hidden="1" x14ac:dyDescent="0.3">
      <c r="A66" t="s">
        <v>75</v>
      </c>
    </row>
    <row r="67" spans="1:8" hidden="1" x14ac:dyDescent="0.3">
      <c r="D67" t="s">
        <v>76</v>
      </c>
    </row>
    <row r="68" spans="1:8" hidden="1" x14ac:dyDescent="0.3">
      <c r="A68" s="29" t="s">
        <v>76</v>
      </c>
      <c r="B68" s="30">
        <v>46065</v>
      </c>
      <c r="C68" s="31">
        <v>4306</v>
      </c>
      <c r="D68" s="29" t="s">
        <v>77</v>
      </c>
      <c r="E68" s="29" t="s">
        <v>28</v>
      </c>
      <c r="F68" s="31">
        <v>146634</v>
      </c>
      <c r="G68" s="29"/>
      <c r="H68" s="31">
        <v>-4353343</v>
      </c>
    </row>
    <row r="69" spans="1:8" hidden="1" x14ac:dyDescent="0.3">
      <c r="A69" t="s">
        <v>77</v>
      </c>
    </row>
    <row r="70" spans="1:8" hidden="1" x14ac:dyDescent="0.3">
      <c r="D70" t="s">
        <v>78</v>
      </c>
    </row>
    <row r="71" spans="1:8" hidden="1" x14ac:dyDescent="0.3">
      <c r="A71" s="9" t="s">
        <v>78</v>
      </c>
      <c r="B71" s="10">
        <v>46065</v>
      </c>
      <c r="C71" s="11">
        <v>4307</v>
      </c>
      <c r="D71" s="9" t="s">
        <v>79</v>
      </c>
      <c r="E71" s="9" t="s">
        <v>31</v>
      </c>
      <c r="F71" s="11">
        <v>99008</v>
      </c>
      <c r="G71" s="9"/>
      <c r="H71" s="11">
        <v>-4254335</v>
      </c>
    </row>
    <row r="72" spans="1:8" hidden="1" x14ac:dyDescent="0.3">
      <c r="A72" t="s">
        <v>79</v>
      </c>
    </row>
    <row r="73" spans="1:8" hidden="1" x14ac:dyDescent="0.3">
      <c r="D73" t="s">
        <v>80</v>
      </c>
    </row>
    <row r="74" spans="1:8" s="5" customFormat="1" hidden="1" x14ac:dyDescent="0.3">
      <c r="A74" s="5" t="s">
        <v>80</v>
      </c>
      <c r="B74" s="6">
        <v>46065</v>
      </c>
      <c r="C74" s="7">
        <v>4308</v>
      </c>
      <c r="D74" s="5" t="s">
        <v>81</v>
      </c>
      <c r="E74" s="5" t="s">
        <v>37</v>
      </c>
      <c r="F74" s="7">
        <v>1437298</v>
      </c>
      <c r="H74" s="7">
        <v>-2817037</v>
      </c>
    </row>
    <row r="75" spans="1:8" hidden="1" x14ac:dyDescent="0.3">
      <c r="A75" t="s">
        <v>81</v>
      </c>
    </row>
    <row r="76" spans="1:8" hidden="1" x14ac:dyDescent="0.3">
      <c r="D76" t="s">
        <v>82</v>
      </c>
    </row>
    <row r="77" spans="1:8" hidden="1" x14ac:dyDescent="0.3">
      <c r="A77" s="22" t="s">
        <v>82</v>
      </c>
      <c r="B77" s="23">
        <v>46065</v>
      </c>
      <c r="C77" s="24">
        <v>4309</v>
      </c>
      <c r="D77" s="22" t="s">
        <v>83</v>
      </c>
      <c r="E77" s="22" t="s">
        <v>40</v>
      </c>
      <c r="F77" s="24">
        <v>86888</v>
      </c>
      <c r="G77" s="22"/>
      <c r="H77" s="24">
        <v>-2730149</v>
      </c>
    </row>
    <row r="78" spans="1:8" hidden="1" x14ac:dyDescent="0.3">
      <c r="A78" t="s">
        <v>83</v>
      </c>
    </row>
    <row r="79" spans="1:8" hidden="1" x14ac:dyDescent="0.3">
      <c r="D79" t="s">
        <v>84</v>
      </c>
    </row>
    <row r="80" spans="1:8" hidden="1" x14ac:dyDescent="0.3">
      <c r="A80" s="13" t="s">
        <v>84</v>
      </c>
      <c r="B80" s="14">
        <v>46065</v>
      </c>
      <c r="C80" s="15">
        <v>4310</v>
      </c>
      <c r="D80" s="13" t="s">
        <v>85</v>
      </c>
      <c r="E80" s="13" t="s">
        <v>34</v>
      </c>
      <c r="F80" s="15">
        <v>140395</v>
      </c>
      <c r="G80" s="13"/>
      <c r="H80" s="15">
        <v>-2589754</v>
      </c>
    </row>
    <row r="81" spans="1:8" hidden="1" x14ac:dyDescent="0.3">
      <c r="A81" t="s">
        <v>85</v>
      </c>
    </row>
    <row r="82" spans="1:8" hidden="1" x14ac:dyDescent="0.3">
      <c r="D82" t="s">
        <v>86</v>
      </c>
    </row>
    <row r="83" spans="1:8" hidden="1" x14ac:dyDescent="0.3">
      <c r="A83" s="26" t="s">
        <v>86</v>
      </c>
      <c r="B83" s="27">
        <v>46065</v>
      </c>
      <c r="C83" s="28">
        <v>4311</v>
      </c>
      <c r="D83" s="26" t="s">
        <v>87</v>
      </c>
      <c r="E83" s="26" t="s">
        <v>46</v>
      </c>
      <c r="F83" s="28">
        <v>303651</v>
      </c>
      <c r="G83" s="26"/>
      <c r="H83" s="28">
        <v>-2286103</v>
      </c>
    </row>
    <row r="84" spans="1:8" hidden="1" x14ac:dyDescent="0.3">
      <c r="A84" t="s">
        <v>87</v>
      </c>
    </row>
    <row r="85" spans="1:8" hidden="1" x14ac:dyDescent="0.3">
      <c r="D85" t="s">
        <v>88</v>
      </c>
    </row>
    <row r="86" spans="1:8" hidden="1" x14ac:dyDescent="0.3">
      <c r="A86" s="9" t="s">
        <v>88</v>
      </c>
      <c r="B86" s="10">
        <v>46078</v>
      </c>
      <c r="C86" s="11">
        <v>4453</v>
      </c>
      <c r="D86" s="9" t="s">
        <v>55</v>
      </c>
      <c r="E86" s="9" t="s">
        <v>31</v>
      </c>
      <c r="F86" s="9"/>
      <c r="G86" s="11">
        <v>38514</v>
      </c>
      <c r="H86" s="11">
        <v>-2324617</v>
      </c>
    </row>
    <row r="87" spans="1:8" hidden="1" x14ac:dyDescent="0.3">
      <c r="A87" t="s">
        <v>55</v>
      </c>
    </row>
    <row r="88" spans="1:8" hidden="1" x14ac:dyDescent="0.3">
      <c r="D88" t="s">
        <v>89</v>
      </c>
    </row>
    <row r="89" spans="1:8" hidden="1" x14ac:dyDescent="0.3">
      <c r="A89" s="18" t="s">
        <v>89</v>
      </c>
      <c r="B89" s="19">
        <v>46078</v>
      </c>
      <c r="C89" s="20">
        <v>4454</v>
      </c>
      <c r="D89" s="18" t="s">
        <v>90</v>
      </c>
      <c r="E89" s="18" t="s">
        <v>43</v>
      </c>
      <c r="F89" s="20">
        <v>11242</v>
      </c>
      <c r="G89" s="18"/>
      <c r="H89" s="20">
        <v>-2313375</v>
      </c>
    </row>
    <row r="90" spans="1:8" hidden="1" x14ac:dyDescent="0.3">
      <c r="A90" t="s">
        <v>90</v>
      </c>
    </row>
    <row r="91" spans="1:8" hidden="1" x14ac:dyDescent="0.3">
      <c r="D91" t="s">
        <v>89</v>
      </c>
    </row>
    <row r="92" spans="1:8" hidden="1" x14ac:dyDescent="0.3">
      <c r="A92" s="26" t="s">
        <v>89</v>
      </c>
      <c r="B92" s="27">
        <v>46078</v>
      </c>
      <c r="C92" s="28">
        <v>4454</v>
      </c>
      <c r="D92" s="26" t="s">
        <v>69</v>
      </c>
      <c r="E92" s="26" t="s">
        <v>46</v>
      </c>
      <c r="F92" s="28">
        <v>14910</v>
      </c>
      <c r="G92" s="26"/>
      <c r="H92" s="28">
        <v>-2298465</v>
      </c>
    </row>
    <row r="93" spans="1:8" hidden="1" x14ac:dyDescent="0.3">
      <c r="A93" t="s">
        <v>69</v>
      </c>
    </row>
    <row r="94" spans="1:8" hidden="1" x14ac:dyDescent="0.3">
      <c r="D94" t="s">
        <v>89</v>
      </c>
    </row>
    <row r="95" spans="1:8" hidden="1" x14ac:dyDescent="0.3">
      <c r="A95" s="26" t="s">
        <v>89</v>
      </c>
      <c r="B95" s="27">
        <v>46078</v>
      </c>
      <c r="C95" s="28">
        <v>4454</v>
      </c>
      <c r="D95" s="26" t="s">
        <v>69</v>
      </c>
      <c r="E95" s="26" t="s">
        <v>46</v>
      </c>
      <c r="F95" s="26"/>
      <c r="G95" s="28">
        <v>1050155</v>
      </c>
      <c r="H95" s="28">
        <v>-3348620</v>
      </c>
    </row>
    <row r="96" spans="1:8" hidden="1" x14ac:dyDescent="0.3">
      <c r="A96" t="s">
        <v>69</v>
      </c>
    </row>
    <row r="97" spans="1:8" hidden="1" x14ac:dyDescent="0.3">
      <c r="D97" t="s">
        <v>89</v>
      </c>
    </row>
    <row r="98" spans="1:8" hidden="1" x14ac:dyDescent="0.3">
      <c r="A98" s="26" t="s">
        <v>89</v>
      </c>
      <c r="B98" s="27">
        <v>46078</v>
      </c>
      <c r="C98" s="28">
        <v>4454</v>
      </c>
      <c r="D98" s="26" t="s">
        <v>69</v>
      </c>
      <c r="E98" s="26" t="s">
        <v>46</v>
      </c>
      <c r="F98" s="28">
        <v>827347</v>
      </c>
      <c r="G98" s="26"/>
      <c r="H98" s="28">
        <v>-2521273</v>
      </c>
    </row>
    <row r="99" spans="1:8" hidden="1" x14ac:dyDescent="0.3">
      <c r="A99" t="s">
        <v>69</v>
      </c>
    </row>
    <row r="100" spans="1:8" hidden="1" x14ac:dyDescent="0.3">
      <c r="D100" t="s">
        <v>89</v>
      </c>
    </row>
    <row r="101" spans="1:8" hidden="1" x14ac:dyDescent="0.3">
      <c r="A101" s="26" t="s">
        <v>89</v>
      </c>
      <c r="B101" s="27">
        <v>46078</v>
      </c>
      <c r="C101" s="28">
        <v>4454</v>
      </c>
      <c r="D101" s="26" t="s">
        <v>69</v>
      </c>
      <c r="E101" s="26" t="s">
        <v>46</v>
      </c>
      <c r="F101" s="28">
        <v>46725</v>
      </c>
      <c r="G101" s="26"/>
      <c r="H101" s="28">
        <v>-2474548</v>
      </c>
    </row>
    <row r="102" spans="1:8" hidden="1" x14ac:dyDescent="0.3">
      <c r="A102" t="s">
        <v>69</v>
      </c>
    </row>
    <row r="103" spans="1:8" hidden="1" x14ac:dyDescent="0.3">
      <c r="D103" t="s">
        <v>91</v>
      </c>
    </row>
    <row r="104" spans="1:8" hidden="1" x14ac:dyDescent="0.3">
      <c r="A104" s="13" t="s">
        <v>91</v>
      </c>
      <c r="B104" s="14">
        <v>46078</v>
      </c>
      <c r="C104" s="15">
        <v>4455</v>
      </c>
      <c r="D104" s="13" t="s">
        <v>53</v>
      </c>
      <c r="E104" s="13" t="s">
        <v>34</v>
      </c>
      <c r="F104" s="13"/>
      <c r="G104" s="15">
        <v>51431</v>
      </c>
      <c r="H104" s="15">
        <v>-2525979</v>
      </c>
    </row>
    <row r="105" spans="1:8" hidden="1" x14ac:dyDescent="0.3">
      <c r="A105" t="s">
        <v>53</v>
      </c>
    </row>
    <row r="106" spans="1:8" hidden="1" x14ac:dyDescent="0.3">
      <c r="D106" t="s">
        <v>92</v>
      </c>
    </row>
    <row r="107" spans="1:8" hidden="1" x14ac:dyDescent="0.3">
      <c r="A107" s="29" t="s">
        <v>92</v>
      </c>
      <c r="B107" s="30">
        <v>46078</v>
      </c>
      <c r="C107" s="31">
        <v>4456</v>
      </c>
      <c r="D107" s="29" t="s">
        <v>57</v>
      </c>
      <c r="E107" s="29" t="s">
        <v>28</v>
      </c>
      <c r="F107" s="29"/>
      <c r="G107" s="31">
        <v>44849</v>
      </c>
      <c r="H107" s="31">
        <v>-2570828</v>
      </c>
    </row>
    <row r="108" spans="1:8" hidden="1" x14ac:dyDescent="0.3">
      <c r="A108" t="s">
        <v>57</v>
      </c>
    </row>
    <row r="109" spans="1:8" hidden="1" x14ac:dyDescent="0.3">
      <c r="D109" t="s">
        <v>93</v>
      </c>
    </row>
    <row r="110" spans="1:8" s="5" customFormat="1" hidden="1" x14ac:dyDescent="0.3">
      <c r="A110" s="5" t="s">
        <v>93</v>
      </c>
      <c r="B110" s="6">
        <v>46078</v>
      </c>
      <c r="C110" s="7">
        <v>4457</v>
      </c>
      <c r="D110" s="5" t="s">
        <v>59</v>
      </c>
      <c r="E110" s="5" t="s">
        <v>37</v>
      </c>
      <c r="G110" s="7">
        <v>113423</v>
      </c>
      <c r="H110" s="7">
        <v>-2684251</v>
      </c>
    </row>
    <row r="111" spans="1:8" hidden="1" x14ac:dyDescent="0.3">
      <c r="A111" t="s">
        <v>59</v>
      </c>
    </row>
    <row r="112" spans="1:8" hidden="1" x14ac:dyDescent="0.3">
      <c r="D112" t="s">
        <v>94</v>
      </c>
    </row>
    <row r="113" spans="1:8" hidden="1" x14ac:dyDescent="0.3">
      <c r="A113" s="18" t="s">
        <v>94</v>
      </c>
      <c r="B113" s="19">
        <v>46078</v>
      </c>
      <c r="C113" s="20">
        <v>4458</v>
      </c>
      <c r="D113" s="18" t="s">
        <v>49</v>
      </c>
      <c r="E113" s="18" t="s">
        <v>43</v>
      </c>
      <c r="F113" s="18"/>
      <c r="G113" s="20">
        <v>1329047</v>
      </c>
      <c r="H113" s="20">
        <v>-4013298</v>
      </c>
    </row>
    <row r="114" spans="1:8" hidden="1" x14ac:dyDescent="0.3">
      <c r="A114" t="s">
        <v>49</v>
      </c>
    </row>
    <row r="115" spans="1:8" hidden="1" x14ac:dyDescent="0.3">
      <c r="D115" t="s">
        <v>94</v>
      </c>
    </row>
    <row r="116" spans="1:8" hidden="1" x14ac:dyDescent="0.3">
      <c r="A116" s="18" t="s">
        <v>94</v>
      </c>
      <c r="B116" s="19">
        <v>46078</v>
      </c>
      <c r="C116" s="20">
        <v>4458</v>
      </c>
      <c r="D116" s="18" t="s">
        <v>49</v>
      </c>
      <c r="E116" s="18" t="s">
        <v>43</v>
      </c>
      <c r="F116" s="20">
        <v>30702</v>
      </c>
      <c r="G116" s="18"/>
      <c r="H116" s="20">
        <v>-3982596</v>
      </c>
    </row>
    <row r="117" spans="1:8" hidden="1" x14ac:dyDescent="0.3">
      <c r="A117" t="s">
        <v>49</v>
      </c>
    </row>
    <row r="118" spans="1:8" hidden="1" x14ac:dyDescent="0.3">
      <c r="D118" t="s">
        <v>95</v>
      </c>
    </row>
    <row r="119" spans="1:8" hidden="1" x14ac:dyDescent="0.3">
      <c r="A119" s="18" t="s">
        <v>95</v>
      </c>
      <c r="B119" s="19">
        <v>46086</v>
      </c>
      <c r="C119" s="20">
        <v>4429</v>
      </c>
      <c r="D119" s="18" t="s">
        <v>96</v>
      </c>
      <c r="E119" s="18" t="s">
        <v>43</v>
      </c>
      <c r="F119" s="20">
        <v>233347</v>
      </c>
      <c r="G119" s="18"/>
      <c r="H119" s="20">
        <v>-3749249</v>
      </c>
    </row>
    <row r="120" spans="1:8" hidden="1" x14ac:dyDescent="0.3">
      <c r="A120" t="s">
        <v>96</v>
      </c>
    </row>
    <row r="121" spans="1:8" hidden="1" x14ac:dyDescent="0.3">
      <c r="D121" t="s">
        <v>97</v>
      </c>
    </row>
    <row r="122" spans="1:8" hidden="1" x14ac:dyDescent="0.3">
      <c r="A122" s="13" t="s">
        <v>97</v>
      </c>
      <c r="B122" s="14">
        <v>46093</v>
      </c>
      <c r="C122" s="15">
        <v>4433</v>
      </c>
      <c r="D122" s="13" t="s">
        <v>98</v>
      </c>
      <c r="E122" s="13" t="s">
        <v>34</v>
      </c>
      <c r="F122" s="15">
        <v>51431</v>
      </c>
      <c r="G122" s="13"/>
      <c r="H122" s="15">
        <v>-3697818</v>
      </c>
    </row>
    <row r="123" spans="1:8" hidden="1" x14ac:dyDescent="0.3">
      <c r="A123" t="s">
        <v>98</v>
      </c>
    </row>
    <row r="124" spans="1:8" hidden="1" x14ac:dyDescent="0.3">
      <c r="D124" t="s">
        <v>99</v>
      </c>
    </row>
    <row r="125" spans="1:8" hidden="1" x14ac:dyDescent="0.3">
      <c r="A125" s="9" t="s">
        <v>99</v>
      </c>
      <c r="B125" s="10">
        <v>46093</v>
      </c>
      <c r="C125" s="11">
        <v>4434</v>
      </c>
      <c r="D125" s="9" t="s">
        <v>100</v>
      </c>
      <c r="E125" s="9" t="s">
        <v>31</v>
      </c>
      <c r="F125" s="11">
        <v>38514</v>
      </c>
      <c r="G125" s="9"/>
      <c r="H125" s="11">
        <v>-3659304</v>
      </c>
    </row>
    <row r="126" spans="1:8" hidden="1" x14ac:dyDescent="0.3">
      <c r="A126" t="s">
        <v>100</v>
      </c>
    </row>
    <row r="127" spans="1:8" hidden="1" x14ac:dyDescent="0.3">
      <c r="D127" t="s">
        <v>101</v>
      </c>
    </row>
    <row r="128" spans="1:8" s="5" customFormat="1" hidden="1" x14ac:dyDescent="0.3">
      <c r="A128" s="5" t="s">
        <v>101</v>
      </c>
      <c r="B128" s="6">
        <v>46093</v>
      </c>
      <c r="C128" s="7">
        <v>4435</v>
      </c>
      <c r="D128" s="5" t="s">
        <v>102</v>
      </c>
      <c r="E128" s="5" t="s">
        <v>37</v>
      </c>
      <c r="F128" s="7">
        <v>113423</v>
      </c>
      <c r="H128" s="7">
        <v>-3545881</v>
      </c>
    </row>
    <row r="129" spans="1:8" hidden="1" x14ac:dyDescent="0.3">
      <c r="A129" t="s">
        <v>102</v>
      </c>
    </row>
    <row r="130" spans="1:8" hidden="1" x14ac:dyDescent="0.3">
      <c r="D130" t="s">
        <v>103</v>
      </c>
    </row>
    <row r="131" spans="1:8" hidden="1" x14ac:dyDescent="0.3">
      <c r="A131" s="26" t="s">
        <v>103</v>
      </c>
      <c r="B131" s="27">
        <v>46093</v>
      </c>
      <c r="C131" s="28">
        <v>4436</v>
      </c>
      <c r="D131" s="26" t="s">
        <v>104</v>
      </c>
      <c r="E131" s="26" t="s">
        <v>46</v>
      </c>
      <c r="F131" s="28">
        <v>1050155</v>
      </c>
      <c r="G131" s="26"/>
      <c r="H131" s="28">
        <v>-2495726</v>
      </c>
    </row>
    <row r="132" spans="1:8" hidden="1" x14ac:dyDescent="0.3">
      <c r="A132" t="s">
        <v>104</v>
      </c>
    </row>
    <row r="133" spans="1:8" hidden="1" x14ac:dyDescent="0.3">
      <c r="D133" t="s">
        <v>105</v>
      </c>
    </row>
    <row r="134" spans="1:8" hidden="1" x14ac:dyDescent="0.3">
      <c r="A134" s="18" t="s">
        <v>105</v>
      </c>
      <c r="B134" s="19">
        <v>46093</v>
      </c>
      <c r="C134" s="20">
        <v>4437</v>
      </c>
      <c r="D134" s="18" t="s">
        <v>106</v>
      </c>
      <c r="E134" s="18" t="s">
        <v>43</v>
      </c>
      <c r="F134" s="20">
        <v>1159047</v>
      </c>
      <c r="G134" s="18"/>
      <c r="H134" s="20">
        <v>-1336679</v>
      </c>
    </row>
    <row r="135" spans="1:8" hidden="1" x14ac:dyDescent="0.3">
      <c r="A135" t="s">
        <v>106</v>
      </c>
    </row>
    <row r="136" spans="1:8" hidden="1" x14ac:dyDescent="0.3">
      <c r="D136" t="s">
        <v>107</v>
      </c>
    </row>
    <row r="137" spans="1:8" hidden="1" x14ac:dyDescent="0.3">
      <c r="A137" s="29" t="s">
        <v>107</v>
      </c>
      <c r="B137" s="30">
        <v>46093</v>
      </c>
      <c r="C137" s="31">
        <v>4438</v>
      </c>
      <c r="D137" s="29" t="s">
        <v>106</v>
      </c>
      <c r="E137" s="29" t="s">
        <v>28</v>
      </c>
      <c r="F137" s="31">
        <v>44849</v>
      </c>
      <c r="G137" s="29"/>
      <c r="H137" s="31">
        <v>-1291830</v>
      </c>
    </row>
    <row r="138" spans="1:8" hidden="1" x14ac:dyDescent="0.3">
      <c r="A138" t="s">
        <v>106</v>
      </c>
    </row>
    <row r="139" spans="1:8" hidden="1" x14ac:dyDescent="0.3">
      <c r="D139" t="s">
        <v>108</v>
      </c>
    </row>
    <row r="140" spans="1:8" x14ac:dyDescent="0.3">
      <c r="A140" t="s">
        <v>108</v>
      </c>
      <c r="B140" s="1">
        <v>46100</v>
      </c>
      <c r="C140" s="2">
        <v>4633</v>
      </c>
      <c r="D140" t="s">
        <v>109</v>
      </c>
      <c r="E140" t="s">
        <v>12</v>
      </c>
      <c r="G140" s="2">
        <v>3990</v>
      </c>
      <c r="H140" s="2">
        <v>-1295820</v>
      </c>
    </row>
    <row r="141" spans="1:8" hidden="1" x14ac:dyDescent="0.3">
      <c r="A141" t="s">
        <v>109</v>
      </c>
    </row>
    <row r="142" spans="1:8" hidden="1" x14ac:dyDescent="0.3">
      <c r="D142" t="s">
        <v>110</v>
      </c>
    </row>
    <row r="143" spans="1:8" hidden="1" x14ac:dyDescent="0.3">
      <c r="A143" s="29" t="s">
        <v>110</v>
      </c>
      <c r="B143" s="30">
        <v>46107</v>
      </c>
      <c r="C143" s="31">
        <v>4594</v>
      </c>
      <c r="D143" s="29" t="s">
        <v>57</v>
      </c>
      <c r="E143" s="29" t="s">
        <v>28</v>
      </c>
      <c r="F143" s="29"/>
      <c r="G143" s="31">
        <v>775062</v>
      </c>
      <c r="H143" s="31">
        <v>-2070882</v>
      </c>
    </row>
    <row r="144" spans="1:8" hidden="1" x14ac:dyDescent="0.3">
      <c r="A144" t="s">
        <v>57</v>
      </c>
    </row>
    <row r="145" spans="1:8" hidden="1" x14ac:dyDescent="0.3">
      <c r="D145" t="s">
        <v>111</v>
      </c>
    </row>
    <row r="146" spans="1:8" hidden="1" x14ac:dyDescent="0.3">
      <c r="A146" s="9" t="s">
        <v>111</v>
      </c>
      <c r="B146" s="10">
        <v>46107</v>
      </c>
      <c r="C146" s="11">
        <v>4595</v>
      </c>
      <c r="D146" s="9" t="s">
        <v>55</v>
      </c>
      <c r="E146" s="9" t="s">
        <v>31</v>
      </c>
      <c r="F146" s="9"/>
      <c r="G146" s="11">
        <v>28900</v>
      </c>
      <c r="H146" s="11">
        <v>-2099782</v>
      </c>
    </row>
    <row r="147" spans="1:8" hidden="1" x14ac:dyDescent="0.3">
      <c r="A147" t="s">
        <v>55</v>
      </c>
    </row>
    <row r="148" spans="1:8" hidden="1" x14ac:dyDescent="0.3">
      <c r="D148" t="s">
        <v>112</v>
      </c>
    </row>
    <row r="149" spans="1:8" s="5" customFormat="1" hidden="1" x14ac:dyDescent="0.3">
      <c r="A149" s="5" t="s">
        <v>112</v>
      </c>
      <c r="B149" s="6">
        <v>46107</v>
      </c>
      <c r="C149" s="7">
        <v>4596</v>
      </c>
      <c r="D149" s="5" t="s">
        <v>59</v>
      </c>
      <c r="E149" s="5" t="s">
        <v>37</v>
      </c>
      <c r="G149" s="7">
        <v>2499421</v>
      </c>
      <c r="H149" s="7">
        <v>-4599203</v>
      </c>
    </row>
    <row r="150" spans="1:8" hidden="1" x14ac:dyDescent="0.3">
      <c r="A150" t="s">
        <v>59</v>
      </c>
    </row>
    <row r="151" spans="1:8" hidden="1" x14ac:dyDescent="0.3">
      <c r="D151" t="s">
        <v>113</v>
      </c>
    </row>
    <row r="152" spans="1:8" hidden="1" x14ac:dyDescent="0.3">
      <c r="A152" s="13" t="s">
        <v>113</v>
      </c>
      <c r="B152" s="14">
        <v>46107</v>
      </c>
      <c r="C152" s="15">
        <v>4597</v>
      </c>
      <c r="D152" s="13" t="s">
        <v>53</v>
      </c>
      <c r="E152" s="13" t="s">
        <v>34</v>
      </c>
      <c r="F152" s="13"/>
      <c r="G152" s="15">
        <v>98834</v>
      </c>
      <c r="H152" s="15">
        <v>-4698037</v>
      </c>
    </row>
    <row r="153" spans="1:8" hidden="1" x14ac:dyDescent="0.3">
      <c r="A153" t="s">
        <v>53</v>
      </c>
    </row>
    <row r="154" spans="1:8" hidden="1" x14ac:dyDescent="0.3">
      <c r="D154" t="s">
        <v>114</v>
      </c>
    </row>
    <row r="155" spans="1:8" hidden="1" x14ac:dyDescent="0.3">
      <c r="A155" s="18" t="s">
        <v>114</v>
      </c>
      <c r="B155" s="19">
        <v>46107</v>
      </c>
      <c r="C155" s="20">
        <v>4598</v>
      </c>
      <c r="D155" s="18" t="s">
        <v>49</v>
      </c>
      <c r="E155" s="18" t="s">
        <v>43</v>
      </c>
      <c r="F155" s="18"/>
      <c r="G155" s="20">
        <v>2211560</v>
      </c>
      <c r="H155" s="20">
        <v>-6909597</v>
      </c>
    </row>
    <row r="156" spans="1:8" hidden="1" x14ac:dyDescent="0.3">
      <c r="A156" t="s">
        <v>49</v>
      </c>
    </row>
    <row r="157" spans="1:8" hidden="1" x14ac:dyDescent="0.3">
      <c r="D157" t="s">
        <v>114</v>
      </c>
    </row>
    <row r="158" spans="1:8" hidden="1" x14ac:dyDescent="0.3">
      <c r="A158" s="18" t="s">
        <v>114</v>
      </c>
      <c r="B158" s="19">
        <v>46107</v>
      </c>
      <c r="C158" s="20">
        <v>4598</v>
      </c>
      <c r="D158" s="18" t="s">
        <v>49</v>
      </c>
      <c r="E158" s="18" t="s">
        <v>43</v>
      </c>
      <c r="F158" s="20">
        <v>170000</v>
      </c>
      <c r="G158" s="18"/>
      <c r="H158" s="20">
        <v>-6739597</v>
      </c>
    </row>
    <row r="159" spans="1:8" hidden="1" x14ac:dyDescent="0.3">
      <c r="A159" t="s">
        <v>49</v>
      </c>
    </row>
    <row r="160" spans="1:8" hidden="1" x14ac:dyDescent="0.3">
      <c r="D160" t="s">
        <v>115</v>
      </c>
    </row>
    <row r="161" spans="1:9" hidden="1" x14ac:dyDescent="0.3">
      <c r="A161" s="9" t="s">
        <v>115</v>
      </c>
      <c r="B161" s="10">
        <v>46112</v>
      </c>
      <c r="C161" s="11">
        <v>4634</v>
      </c>
      <c r="D161" s="9" t="s">
        <v>116</v>
      </c>
      <c r="E161" s="9" t="s">
        <v>31</v>
      </c>
      <c r="F161" s="9"/>
      <c r="G161" s="11">
        <v>528200</v>
      </c>
      <c r="H161" s="11">
        <v>-7267797</v>
      </c>
    </row>
    <row r="162" spans="1:9" hidden="1" x14ac:dyDescent="0.3">
      <c r="A162" t="s">
        <v>116</v>
      </c>
    </row>
    <row r="163" spans="1:9" hidden="1" x14ac:dyDescent="0.3"/>
    <row r="164" spans="1:9" hidden="1" x14ac:dyDescent="0.3">
      <c r="D164" t="s">
        <v>117</v>
      </c>
    </row>
    <row r="165" spans="1:9" hidden="1" x14ac:dyDescent="0.3">
      <c r="A165" t="s">
        <v>117</v>
      </c>
      <c r="D165" t="s">
        <v>118</v>
      </c>
      <c r="F165" s="2">
        <v>10704909</v>
      </c>
      <c r="G165" s="2">
        <v>17972706</v>
      </c>
    </row>
    <row r="166" spans="1:9" hidden="1" x14ac:dyDescent="0.3">
      <c r="A166" t="s">
        <v>118</v>
      </c>
      <c r="D166" t="s">
        <v>119</v>
      </c>
      <c r="H166" s="3">
        <v>-7267797</v>
      </c>
    </row>
    <row r="167" spans="1:9" hidden="1" x14ac:dyDescent="0.3">
      <c r="A167" t="s">
        <v>119</v>
      </c>
      <c r="D167" t="s">
        <v>120</v>
      </c>
    </row>
    <row r="168" spans="1:9" hidden="1" x14ac:dyDescent="0.3">
      <c r="A168" t="s">
        <v>120</v>
      </c>
      <c r="D168" t="s">
        <v>15</v>
      </c>
    </row>
    <row r="169" spans="1:9" hidden="1" x14ac:dyDescent="0.3">
      <c r="A169" t="s">
        <v>15</v>
      </c>
      <c r="B169" t="s">
        <v>16</v>
      </c>
      <c r="C169" t="s">
        <v>17</v>
      </c>
      <c r="E169" t="s">
        <v>18</v>
      </c>
      <c r="F169" t="s">
        <v>20</v>
      </c>
      <c r="G169" t="s">
        <v>21</v>
      </c>
      <c r="H169" t="s">
        <v>22</v>
      </c>
    </row>
    <row r="170" spans="1:9" hidden="1" x14ac:dyDescent="0.3">
      <c r="D170" t="s">
        <v>24</v>
      </c>
      <c r="H170">
        <v>0</v>
      </c>
    </row>
    <row r="171" spans="1:9" x14ac:dyDescent="0.3">
      <c r="A171" t="s">
        <v>24</v>
      </c>
      <c r="B171" s="1">
        <v>46023</v>
      </c>
      <c r="D171" t="s">
        <v>26</v>
      </c>
      <c r="E171" t="s">
        <v>25</v>
      </c>
      <c r="G171" s="3">
        <v>1153.68</v>
      </c>
      <c r="H171" s="3">
        <v>-1153.68</v>
      </c>
      <c r="I171" t="s">
        <v>124</v>
      </c>
    </row>
    <row r="172" spans="1:9" hidden="1" x14ac:dyDescent="0.3">
      <c r="A172" t="s">
        <v>26</v>
      </c>
    </row>
    <row r="173" spans="1:9" hidden="1" x14ac:dyDescent="0.3">
      <c r="D173" t="s">
        <v>48</v>
      </c>
    </row>
    <row r="174" spans="1:9" hidden="1" x14ac:dyDescent="0.3">
      <c r="A174" s="18" t="s">
        <v>48</v>
      </c>
      <c r="B174" s="19">
        <v>46050</v>
      </c>
      <c r="C174" s="20">
        <v>4242</v>
      </c>
      <c r="D174" s="18" t="s">
        <v>49</v>
      </c>
      <c r="E174" s="18" t="s">
        <v>43</v>
      </c>
      <c r="F174" s="18"/>
      <c r="G174" s="18">
        <v>230</v>
      </c>
      <c r="H174" s="21">
        <v>-1383.68</v>
      </c>
    </row>
    <row r="175" spans="1:9" hidden="1" x14ac:dyDescent="0.3">
      <c r="A175" t="s">
        <v>49</v>
      </c>
    </row>
    <row r="176" spans="1:9" hidden="1" x14ac:dyDescent="0.3">
      <c r="D176" t="s">
        <v>48</v>
      </c>
    </row>
    <row r="177" spans="1:8" hidden="1" x14ac:dyDescent="0.3">
      <c r="A177" s="18" t="s">
        <v>48</v>
      </c>
      <c r="B177" s="19">
        <v>46050</v>
      </c>
      <c r="C177" s="20">
        <v>4242</v>
      </c>
      <c r="D177" s="18" t="s">
        <v>49</v>
      </c>
      <c r="E177" s="18" t="s">
        <v>43</v>
      </c>
      <c r="F177" s="18">
        <v>48.56</v>
      </c>
      <c r="G177" s="18"/>
      <c r="H177" s="21">
        <v>-1335.12</v>
      </c>
    </row>
    <row r="178" spans="1:8" hidden="1" x14ac:dyDescent="0.3">
      <c r="A178" t="s">
        <v>49</v>
      </c>
    </row>
    <row r="179" spans="1:8" hidden="1" x14ac:dyDescent="0.3">
      <c r="D179" t="s">
        <v>50</v>
      </c>
    </row>
    <row r="180" spans="1:8" hidden="1" x14ac:dyDescent="0.3">
      <c r="A180" s="22" t="s">
        <v>50</v>
      </c>
      <c r="B180" s="23">
        <v>46050</v>
      </c>
      <c r="C180" s="24">
        <v>4243</v>
      </c>
      <c r="D180" s="22" t="s">
        <v>51</v>
      </c>
      <c r="E180" s="22" t="s">
        <v>40</v>
      </c>
      <c r="F180" s="22">
        <v>88.56</v>
      </c>
      <c r="G180" s="22"/>
      <c r="H180" s="25">
        <v>-1246.56</v>
      </c>
    </row>
    <row r="181" spans="1:8" hidden="1" x14ac:dyDescent="0.3">
      <c r="A181" t="s">
        <v>51</v>
      </c>
    </row>
    <row r="182" spans="1:8" hidden="1" x14ac:dyDescent="0.3">
      <c r="D182" t="s">
        <v>52</v>
      </c>
    </row>
    <row r="183" spans="1:8" hidden="1" x14ac:dyDescent="0.3">
      <c r="A183" s="13" t="s">
        <v>52</v>
      </c>
      <c r="B183" s="14">
        <v>46050</v>
      </c>
      <c r="C183" s="15">
        <v>4244</v>
      </c>
      <c r="D183" s="13" t="s">
        <v>53</v>
      </c>
      <c r="E183" s="13" t="s">
        <v>34</v>
      </c>
      <c r="F183" s="13"/>
      <c r="G183" s="13">
        <v>50.16</v>
      </c>
      <c r="H183" s="16">
        <v>-1296.72</v>
      </c>
    </row>
    <row r="184" spans="1:8" hidden="1" x14ac:dyDescent="0.3">
      <c r="A184" t="s">
        <v>53</v>
      </c>
    </row>
    <row r="185" spans="1:8" hidden="1" x14ac:dyDescent="0.3">
      <c r="D185" t="s">
        <v>52</v>
      </c>
    </row>
    <row r="186" spans="1:8" hidden="1" x14ac:dyDescent="0.3">
      <c r="A186" s="13" t="s">
        <v>52</v>
      </c>
      <c r="B186" s="14">
        <v>46050</v>
      </c>
      <c r="C186" s="15">
        <v>4244</v>
      </c>
      <c r="D186" s="13" t="s">
        <v>53</v>
      </c>
      <c r="E186" s="13" t="s">
        <v>34</v>
      </c>
      <c r="F186" s="13">
        <v>144.43</v>
      </c>
      <c r="G186" s="13"/>
      <c r="H186" s="16">
        <v>-1152.29</v>
      </c>
    </row>
    <row r="187" spans="1:8" hidden="1" x14ac:dyDescent="0.3">
      <c r="A187" t="s">
        <v>53</v>
      </c>
    </row>
    <row r="188" spans="1:8" hidden="1" x14ac:dyDescent="0.3">
      <c r="D188" t="s">
        <v>54</v>
      </c>
    </row>
    <row r="189" spans="1:8" hidden="1" x14ac:dyDescent="0.3">
      <c r="A189" s="9" t="s">
        <v>54</v>
      </c>
      <c r="B189" s="10">
        <v>46050</v>
      </c>
      <c r="C189" s="11">
        <v>4245</v>
      </c>
      <c r="D189" s="9" t="s">
        <v>55</v>
      </c>
      <c r="E189" s="9" t="s">
        <v>31</v>
      </c>
      <c r="F189" s="9">
        <v>101.42</v>
      </c>
      <c r="G189" s="9"/>
      <c r="H189" s="12">
        <v>-1050.8699999999999</v>
      </c>
    </row>
    <row r="190" spans="1:8" hidden="1" x14ac:dyDescent="0.3">
      <c r="A190" t="s">
        <v>55</v>
      </c>
    </row>
    <row r="191" spans="1:8" hidden="1" x14ac:dyDescent="0.3">
      <c r="D191" t="s">
        <v>56</v>
      </c>
    </row>
    <row r="192" spans="1:8" hidden="1" x14ac:dyDescent="0.3">
      <c r="A192" s="29" t="s">
        <v>56</v>
      </c>
      <c r="B192" s="30">
        <v>46050</v>
      </c>
      <c r="C192" s="31">
        <v>4246</v>
      </c>
      <c r="D192" s="29" t="s">
        <v>57</v>
      </c>
      <c r="E192" s="29" t="s">
        <v>28</v>
      </c>
      <c r="F192" s="29">
        <v>103.08</v>
      </c>
      <c r="G192" s="29"/>
      <c r="H192" s="29">
        <v>-947.79</v>
      </c>
    </row>
    <row r="193" spans="1:8" hidden="1" x14ac:dyDescent="0.3">
      <c r="A193" t="s">
        <v>57</v>
      </c>
    </row>
    <row r="194" spans="1:8" hidden="1" x14ac:dyDescent="0.3">
      <c r="D194" t="s">
        <v>58</v>
      </c>
    </row>
    <row r="195" spans="1:8" s="5" customFormat="1" hidden="1" x14ac:dyDescent="0.3">
      <c r="A195" s="5" t="s">
        <v>58</v>
      </c>
      <c r="B195" s="6">
        <v>46050</v>
      </c>
      <c r="C195" s="7">
        <v>4247</v>
      </c>
      <c r="D195" s="5" t="s">
        <v>59</v>
      </c>
      <c r="E195" s="5" t="s">
        <v>37</v>
      </c>
      <c r="F195" s="5">
        <v>667.63</v>
      </c>
      <c r="H195" s="5">
        <v>-280.16000000000003</v>
      </c>
    </row>
    <row r="196" spans="1:8" hidden="1" x14ac:dyDescent="0.3">
      <c r="A196" t="s">
        <v>59</v>
      </c>
    </row>
    <row r="197" spans="1:8" hidden="1" x14ac:dyDescent="0.3">
      <c r="D197" t="s">
        <v>88</v>
      </c>
    </row>
    <row r="198" spans="1:8" hidden="1" x14ac:dyDescent="0.3">
      <c r="A198" s="9" t="s">
        <v>88</v>
      </c>
      <c r="B198" s="10">
        <v>46078</v>
      </c>
      <c r="C198" s="11">
        <v>4453</v>
      </c>
      <c r="D198" s="9" t="s">
        <v>55</v>
      </c>
      <c r="E198" s="9" t="s">
        <v>31</v>
      </c>
      <c r="F198" s="9"/>
      <c r="G198" s="9">
        <v>25.06</v>
      </c>
      <c r="H198" s="9">
        <v>-305.22000000000003</v>
      </c>
    </row>
    <row r="199" spans="1:8" hidden="1" x14ac:dyDescent="0.3">
      <c r="A199" t="s">
        <v>55</v>
      </c>
    </row>
    <row r="200" spans="1:8" hidden="1" x14ac:dyDescent="0.3">
      <c r="D200" t="s">
        <v>91</v>
      </c>
    </row>
    <row r="201" spans="1:8" hidden="1" x14ac:dyDescent="0.3">
      <c r="A201" s="13" t="s">
        <v>91</v>
      </c>
      <c r="B201" s="14">
        <v>46078</v>
      </c>
      <c r="C201" s="15">
        <v>4455</v>
      </c>
      <c r="D201" s="13" t="s">
        <v>53</v>
      </c>
      <c r="E201" s="13" t="s">
        <v>34</v>
      </c>
      <c r="F201" s="13"/>
      <c r="G201" s="13">
        <v>98.84</v>
      </c>
      <c r="H201" s="13">
        <v>-404.06</v>
      </c>
    </row>
    <row r="202" spans="1:8" hidden="1" x14ac:dyDescent="0.3">
      <c r="A202" t="s">
        <v>53</v>
      </c>
    </row>
    <row r="203" spans="1:8" hidden="1" x14ac:dyDescent="0.3">
      <c r="D203" t="s">
        <v>91</v>
      </c>
    </row>
    <row r="204" spans="1:8" hidden="1" x14ac:dyDescent="0.3">
      <c r="A204" s="13" t="s">
        <v>91</v>
      </c>
      <c r="B204" s="14">
        <v>46078</v>
      </c>
      <c r="C204" s="15">
        <v>4455</v>
      </c>
      <c r="D204" s="13" t="s">
        <v>53</v>
      </c>
      <c r="E204" s="13" t="s">
        <v>34</v>
      </c>
      <c r="F204" s="13">
        <v>50.16</v>
      </c>
      <c r="G204" s="13"/>
      <c r="H204" s="13">
        <v>-353.9</v>
      </c>
    </row>
    <row r="205" spans="1:8" hidden="1" x14ac:dyDescent="0.3">
      <c r="A205" t="s">
        <v>53</v>
      </c>
    </row>
    <row r="206" spans="1:8" hidden="1" x14ac:dyDescent="0.3">
      <c r="D206" t="s">
        <v>92</v>
      </c>
    </row>
    <row r="207" spans="1:8" hidden="1" x14ac:dyDescent="0.3">
      <c r="A207" s="29" t="s">
        <v>92</v>
      </c>
      <c r="B207" s="30">
        <v>46078</v>
      </c>
      <c r="C207" s="31">
        <v>4456</v>
      </c>
      <c r="D207" s="29" t="s">
        <v>57</v>
      </c>
      <c r="E207" s="29" t="s">
        <v>28</v>
      </c>
      <c r="F207" s="29"/>
      <c r="G207" s="29">
        <v>472</v>
      </c>
      <c r="H207" s="29">
        <v>-825.9</v>
      </c>
    </row>
    <row r="208" spans="1:8" hidden="1" x14ac:dyDescent="0.3">
      <c r="A208" t="s">
        <v>57</v>
      </c>
    </row>
    <row r="209" spans="1:8" hidden="1" x14ac:dyDescent="0.3">
      <c r="D209" t="s">
        <v>93</v>
      </c>
    </row>
    <row r="210" spans="1:8" s="5" customFormat="1" hidden="1" x14ac:dyDescent="0.3">
      <c r="A210" s="5" t="s">
        <v>93</v>
      </c>
      <c r="B210" s="6">
        <v>46078</v>
      </c>
      <c r="C210" s="7">
        <v>4457</v>
      </c>
      <c r="D210" s="5" t="s">
        <v>59</v>
      </c>
      <c r="E210" s="5" t="s">
        <v>37</v>
      </c>
      <c r="G210" s="8">
        <v>2084.6</v>
      </c>
      <c r="H210" s="8">
        <v>-2910.5</v>
      </c>
    </row>
    <row r="211" spans="1:8" hidden="1" x14ac:dyDescent="0.3">
      <c r="A211" t="s">
        <v>59</v>
      </c>
    </row>
    <row r="212" spans="1:8" hidden="1" x14ac:dyDescent="0.3">
      <c r="D212" t="s">
        <v>94</v>
      </c>
    </row>
    <row r="213" spans="1:8" hidden="1" x14ac:dyDescent="0.3">
      <c r="A213" s="18" t="s">
        <v>94</v>
      </c>
      <c r="B213" s="19">
        <v>46078</v>
      </c>
      <c r="C213" s="20">
        <v>4458</v>
      </c>
      <c r="D213" s="18" t="s">
        <v>49</v>
      </c>
      <c r="E213" s="18" t="s">
        <v>43</v>
      </c>
      <c r="F213" s="18"/>
      <c r="G213" s="21">
        <v>1160.03</v>
      </c>
      <c r="H213" s="21">
        <v>-4070.53</v>
      </c>
    </row>
    <row r="214" spans="1:8" hidden="1" x14ac:dyDescent="0.3">
      <c r="A214" t="s">
        <v>49</v>
      </c>
    </row>
    <row r="215" spans="1:8" hidden="1" x14ac:dyDescent="0.3">
      <c r="D215" t="s">
        <v>94</v>
      </c>
    </row>
    <row r="216" spans="1:8" hidden="1" x14ac:dyDescent="0.3">
      <c r="A216" s="18" t="s">
        <v>94</v>
      </c>
      <c r="B216" s="19">
        <v>46078</v>
      </c>
      <c r="C216" s="20">
        <v>4458</v>
      </c>
      <c r="D216" s="18" t="s">
        <v>49</v>
      </c>
      <c r="E216" s="18" t="s">
        <v>43</v>
      </c>
      <c r="F216" s="18">
        <v>230</v>
      </c>
      <c r="G216" s="18"/>
      <c r="H216" s="21">
        <v>-3840.53</v>
      </c>
    </row>
    <row r="217" spans="1:8" hidden="1" x14ac:dyDescent="0.3">
      <c r="A217" t="s">
        <v>49</v>
      </c>
    </row>
    <row r="218" spans="1:8" hidden="1" x14ac:dyDescent="0.3">
      <c r="D218" t="s">
        <v>110</v>
      </c>
    </row>
    <row r="219" spans="1:8" hidden="1" x14ac:dyDescent="0.3">
      <c r="A219" s="29" t="s">
        <v>110</v>
      </c>
      <c r="B219" s="30">
        <v>46107</v>
      </c>
      <c r="C219" s="31">
        <v>4594</v>
      </c>
      <c r="D219" s="29" t="s">
        <v>57</v>
      </c>
      <c r="E219" s="29" t="s">
        <v>28</v>
      </c>
      <c r="F219" s="29"/>
      <c r="G219" s="29">
        <v>240.84</v>
      </c>
      <c r="H219" s="32">
        <v>-4081.37</v>
      </c>
    </row>
    <row r="220" spans="1:8" hidden="1" x14ac:dyDescent="0.3">
      <c r="A220" t="s">
        <v>57</v>
      </c>
    </row>
    <row r="221" spans="1:8" hidden="1" x14ac:dyDescent="0.3">
      <c r="D221" t="s">
        <v>110</v>
      </c>
    </row>
    <row r="222" spans="1:8" hidden="1" x14ac:dyDescent="0.3">
      <c r="A222" s="29" t="s">
        <v>110</v>
      </c>
      <c r="B222" s="30">
        <v>46107</v>
      </c>
      <c r="C222" s="31">
        <v>4594</v>
      </c>
      <c r="D222" s="29" t="s">
        <v>57</v>
      </c>
      <c r="E222" s="29" t="s">
        <v>28</v>
      </c>
      <c r="F222" s="29">
        <v>442</v>
      </c>
      <c r="G222" s="29"/>
      <c r="H222" s="32">
        <v>-3639.37</v>
      </c>
    </row>
    <row r="223" spans="1:8" hidden="1" x14ac:dyDescent="0.3">
      <c r="A223" t="s">
        <v>57</v>
      </c>
    </row>
    <row r="224" spans="1:8" hidden="1" x14ac:dyDescent="0.3">
      <c r="D224" t="s">
        <v>111</v>
      </c>
    </row>
    <row r="225" spans="1:8" hidden="1" x14ac:dyDescent="0.3">
      <c r="A225" s="9" t="s">
        <v>111</v>
      </c>
      <c r="B225" s="10">
        <v>46107</v>
      </c>
      <c r="C225" s="11">
        <v>4595</v>
      </c>
      <c r="D225" s="9" t="s">
        <v>55</v>
      </c>
      <c r="E225" s="9" t="s">
        <v>31</v>
      </c>
      <c r="F225" s="9"/>
      <c r="G225" s="9">
        <v>38.07</v>
      </c>
      <c r="H225" s="12">
        <v>-3677.44</v>
      </c>
    </row>
    <row r="226" spans="1:8" hidden="1" x14ac:dyDescent="0.3">
      <c r="A226" t="s">
        <v>55</v>
      </c>
    </row>
    <row r="227" spans="1:8" hidden="1" x14ac:dyDescent="0.3">
      <c r="D227" t="s">
        <v>111</v>
      </c>
    </row>
    <row r="228" spans="1:8" hidden="1" x14ac:dyDescent="0.3">
      <c r="A228" s="9" t="s">
        <v>111</v>
      </c>
      <c r="B228" s="10">
        <v>46107</v>
      </c>
      <c r="C228" s="11">
        <v>4595</v>
      </c>
      <c r="D228" s="9" t="s">
        <v>55</v>
      </c>
      <c r="E228" s="9" t="s">
        <v>31</v>
      </c>
      <c r="F228" s="9">
        <v>25.06</v>
      </c>
      <c r="G228" s="9"/>
      <c r="H228" s="12">
        <v>-3652.38</v>
      </c>
    </row>
    <row r="229" spans="1:8" hidden="1" x14ac:dyDescent="0.3">
      <c r="A229" t="s">
        <v>55</v>
      </c>
    </row>
    <row r="230" spans="1:8" hidden="1" x14ac:dyDescent="0.3">
      <c r="D230" t="s">
        <v>112</v>
      </c>
    </row>
    <row r="231" spans="1:8" s="5" customFormat="1" hidden="1" x14ac:dyDescent="0.3">
      <c r="A231" s="5" t="s">
        <v>112</v>
      </c>
      <c r="B231" s="6">
        <v>46107</v>
      </c>
      <c r="C231" s="7">
        <v>4596</v>
      </c>
      <c r="D231" s="5" t="s">
        <v>59</v>
      </c>
      <c r="E231" s="5" t="s">
        <v>37</v>
      </c>
      <c r="G231" s="5">
        <v>310.20999999999998</v>
      </c>
      <c r="H231" s="8">
        <v>-3962.59</v>
      </c>
    </row>
    <row r="232" spans="1:8" hidden="1" x14ac:dyDescent="0.3">
      <c r="A232" t="s">
        <v>59</v>
      </c>
    </row>
    <row r="233" spans="1:8" hidden="1" x14ac:dyDescent="0.3">
      <c r="D233" t="s">
        <v>112</v>
      </c>
    </row>
    <row r="234" spans="1:8" s="5" customFormat="1" hidden="1" x14ac:dyDescent="0.3">
      <c r="A234" s="5" t="s">
        <v>112</v>
      </c>
      <c r="B234" s="6">
        <v>46107</v>
      </c>
      <c r="C234" s="7">
        <v>4596</v>
      </c>
      <c r="D234" s="5" t="s">
        <v>59</v>
      </c>
      <c r="E234" s="5" t="s">
        <v>37</v>
      </c>
      <c r="F234" s="8">
        <v>2084.6</v>
      </c>
      <c r="H234" s="8">
        <v>-1877.99</v>
      </c>
    </row>
    <row r="235" spans="1:8" hidden="1" x14ac:dyDescent="0.3">
      <c r="A235" t="s">
        <v>59</v>
      </c>
    </row>
    <row r="236" spans="1:8" hidden="1" x14ac:dyDescent="0.3">
      <c r="D236" t="s">
        <v>113</v>
      </c>
    </row>
    <row r="237" spans="1:8" hidden="1" x14ac:dyDescent="0.3">
      <c r="A237" s="13" t="s">
        <v>113</v>
      </c>
      <c r="B237" s="14">
        <v>46107</v>
      </c>
      <c r="C237" s="15">
        <v>4597</v>
      </c>
      <c r="D237" s="13" t="s">
        <v>53</v>
      </c>
      <c r="E237" s="13" t="s">
        <v>34</v>
      </c>
      <c r="F237" s="13">
        <v>98.84</v>
      </c>
      <c r="G237" s="13"/>
      <c r="H237" s="16">
        <v>-1779.15</v>
      </c>
    </row>
    <row r="238" spans="1:8" hidden="1" x14ac:dyDescent="0.3">
      <c r="A238" t="s">
        <v>53</v>
      </c>
    </row>
    <row r="239" spans="1:8" hidden="1" x14ac:dyDescent="0.3">
      <c r="D239" t="s">
        <v>114</v>
      </c>
    </row>
    <row r="240" spans="1:8" hidden="1" x14ac:dyDescent="0.3">
      <c r="A240" s="18" t="s">
        <v>114</v>
      </c>
      <c r="B240" s="19">
        <v>46107</v>
      </c>
      <c r="C240" s="20">
        <v>4598</v>
      </c>
      <c r="D240" s="18" t="s">
        <v>49</v>
      </c>
      <c r="E240" s="18" t="s">
        <v>43</v>
      </c>
      <c r="F240" s="18"/>
      <c r="G240" s="18">
        <v>96.1</v>
      </c>
      <c r="H240" s="21">
        <v>-1875.25</v>
      </c>
    </row>
    <row r="241" spans="1:8" hidden="1" x14ac:dyDescent="0.3">
      <c r="A241" t="s">
        <v>49</v>
      </c>
    </row>
    <row r="242" spans="1:8" hidden="1" x14ac:dyDescent="0.3">
      <c r="D242" t="s">
        <v>114</v>
      </c>
    </row>
    <row r="243" spans="1:8" hidden="1" x14ac:dyDescent="0.3">
      <c r="A243" s="18" t="s">
        <v>114</v>
      </c>
      <c r="B243" s="19">
        <v>46107</v>
      </c>
      <c r="C243" s="20">
        <v>4598</v>
      </c>
      <c r="D243" s="18" t="s">
        <v>49</v>
      </c>
      <c r="E243" s="18" t="s">
        <v>43</v>
      </c>
      <c r="F243" s="21">
        <v>1160.03</v>
      </c>
      <c r="G243" s="18"/>
      <c r="H243" s="18">
        <v>-715.22</v>
      </c>
    </row>
    <row r="244" spans="1:8" hidden="1" x14ac:dyDescent="0.3">
      <c r="A244" t="s">
        <v>49</v>
      </c>
    </row>
    <row r="245" spans="1:8" hidden="1" x14ac:dyDescent="0.3"/>
    <row r="246" spans="1:8" hidden="1" x14ac:dyDescent="0.3"/>
    <row r="247" spans="1:8" hidden="1" x14ac:dyDescent="0.3">
      <c r="A247" t="s">
        <v>117</v>
      </c>
      <c r="F247" s="3">
        <v>5244.37</v>
      </c>
      <c r="G247" s="3">
        <v>5959.59</v>
      </c>
    </row>
    <row r="248" spans="1:8" hidden="1" x14ac:dyDescent="0.3">
      <c r="A248" t="s">
        <v>118</v>
      </c>
      <c r="H248">
        <v>-715.22</v>
      </c>
    </row>
    <row r="249" spans="1:8" hidden="1" x14ac:dyDescent="0.3">
      <c r="A249" t="s">
        <v>121</v>
      </c>
    </row>
    <row r="250" spans="1:8" hidden="1" x14ac:dyDescent="0.3">
      <c r="A250" t="s">
        <v>122</v>
      </c>
    </row>
    <row r="251" spans="1:8" hidden="1" x14ac:dyDescent="0.3"/>
    <row r="252" spans="1:8" hidden="1" x14ac:dyDescent="0.3"/>
    <row r="253" spans="1:8" hidden="1" x14ac:dyDescent="0.3"/>
    <row r="254" spans="1:8" hidden="1" x14ac:dyDescent="0.3"/>
    <row r="255" spans="1:8" hidden="1" x14ac:dyDescent="0.3"/>
    <row r="256" spans="1:8" hidden="1" x14ac:dyDescent="0.3"/>
    <row r="257" hidden="1" x14ac:dyDescent="0.3"/>
    <row r="258" hidden="1" x14ac:dyDescent="0.3"/>
  </sheetData>
  <autoFilter ref="A1:H258" xr:uid="{78F52C8A-9BB3-4F95-9AF6-96AA7CBD8AEE}">
    <filterColumn colId="1">
      <customFilters>
        <customFilter operator="notEqual" val=" "/>
      </customFilters>
    </filterColumn>
    <filterColumn colId="4">
      <filters>
        <filter val="DEMO MAGNUS ERP"/>
        <filter val="DESWIK CHILE SPA"/>
      </filters>
    </filterColumn>
  </autoFilter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5D46D5-871A-4118-B1DF-CC7BBF48A202}"/>
</file>

<file path=customXml/itemProps2.xml><?xml version="1.0" encoding="utf-8"?>
<ds:datastoreItem xmlns:ds="http://schemas.openxmlformats.org/officeDocument/2006/customXml" ds:itemID="{129D6575-6A7F-4876-BC46-FC7854257CBC}"/>
</file>

<file path=customXml/itemProps3.xml><?xml version="1.0" encoding="utf-8"?>
<ds:datastoreItem xmlns:ds="http://schemas.openxmlformats.org/officeDocument/2006/customXml" ds:itemID="{947CAAE3-A096-4594-A7B9-7FF0E285C5CA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MGMayorContableOF_CtaRel ma (2)</vt:lpstr>
      <vt:lpstr>MGMayorContableOF_CtaRel mar26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2026-04-24T15:59:03Z</dcterms:created>
  <dcterms:modified xsi:type="dcterms:W3CDTF">2026-04-24T19:46:22Z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06789-7178-42ed-a2cb-2f310395f8e0_Enabled">
    <vt:lpwstr>true</vt:lpwstr>
  </property>
  <property fmtid="{D5CDD505-2E9C-101B-9397-08002B2CF9AE}" pid="3" name="MSIP_Label_88606789-7178-42ed-a2cb-2f310395f8e0_SetDate">
    <vt:lpwstr>2026-04-24T15:59:03Z</vt:lpwstr>
  </property>
  <property fmtid="{D5CDD505-2E9C-101B-9397-08002B2CF9AE}" pid="4" name="MSIP_Label_88606789-7178-42ed-a2cb-2f310395f8e0_Method">
    <vt:lpwstr>Standard</vt:lpwstr>
  </property>
  <property fmtid="{D5CDD505-2E9C-101B-9397-08002B2CF9AE}" pid="5" name="MSIP_Label_88606789-7178-42ed-a2cb-2f310395f8e0_Name">
    <vt:lpwstr>Publica</vt:lpwstr>
  </property>
  <property fmtid="{D5CDD505-2E9C-101B-9397-08002B2CF9AE}" pid="6" name="MSIP_Label_88606789-7178-42ed-a2cb-2f310395f8e0_SiteId">
    <vt:lpwstr>ad9dc499-26eb-41de-90c1-2c7cfce752f9</vt:lpwstr>
  </property>
  <property fmtid="{D5CDD505-2E9C-101B-9397-08002B2CF9AE}" pid="7" name="MSIP_Label_88606789-7178-42ed-a2cb-2f310395f8e0_ActionId">
    <vt:lpwstr>b999d22a-f081-4ac5-a537-8610c45a2bb1</vt:lpwstr>
  </property>
  <property fmtid="{D5CDD505-2E9C-101B-9397-08002B2CF9AE}" pid="8" name="MSIP_Label_88606789-7178-42ed-a2cb-2f310395f8e0_ContentBits">
    <vt:lpwstr>0</vt:lpwstr>
  </property>
  <property fmtid="{D5CDD505-2E9C-101B-9397-08002B2CF9AE}" pid="9" name="ContentTypeId">
    <vt:lpwstr>0x0101008C0FDD3EE9C26F4CA38A0CE1A876A831</vt:lpwstr>
  </property>
</Properties>
</file>