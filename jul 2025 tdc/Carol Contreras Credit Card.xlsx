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DESWIK/TDC/jul/"/>
    </mc:Choice>
  </mc:AlternateContent>
  <xr:revisionPtr revIDLastSave="92" documentId="8_{2C3171F0-1789-42FD-A2FC-059A826ACE01}" xr6:coauthVersionLast="47" xr6:coauthVersionMax="47" xr10:uidLastSave="{DA10227C-0937-446A-A104-1BF6B8D5AE95}"/>
  <bookViews>
    <workbookView xWindow="-28770" yWindow="5835" windowWidth="29130" windowHeight="8475" xr2:uid="{5614FAD5-7252-4635-991D-ED36E09EA1AC}"/>
  </bookViews>
  <sheets>
    <sheet name="Hoja1" sheetId="1" r:id="rId1"/>
    <sheet name="Hoja2" sheetId="2" r:id="rId2"/>
    <sheet name="Hoja3" sheetId="3" r:id="rId3"/>
  </sheets>
  <definedNames>
    <definedName name="_xlnm.Print_Area" localSheetId="0">Hoja1!$A$1:$L$67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" l="1"/>
  <c r="P13" i="1"/>
  <c r="P7" i="1"/>
  <c r="P8" i="1"/>
  <c r="P9" i="1"/>
  <c r="P10" i="1"/>
  <c r="P11" i="1"/>
  <c r="P12" i="1"/>
  <c r="P14" i="1" l="1"/>
  <c r="Q14" i="1" s="1"/>
</calcChain>
</file>

<file path=xl/sharedStrings.xml><?xml version="1.0" encoding="utf-8"?>
<sst xmlns="http://schemas.openxmlformats.org/spreadsheetml/2006/main" count="260" uniqueCount="75">
  <si>
    <t>Fecha</t>
  </si>
  <si>
    <t>Descripción</t>
  </si>
  <si>
    <t>Tipo de Tarjeta:</t>
  </si>
  <si>
    <t>Cuotas</t>
  </si>
  <si>
    <t>Montos</t>
  </si>
  <si>
    <t>Movimientos Nacionales</t>
  </si>
  <si>
    <t>Categoría</t>
  </si>
  <si>
    <t>Moneda:</t>
  </si>
  <si>
    <t>Pesos Chilenos (CLP)</t>
  </si>
  <si>
    <t>Nombre Empresa:</t>
  </si>
  <si>
    <t>Rut:</t>
  </si>
  <si>
    <t xml:space="preserve">Sr(a).: </t>
  </si>
  <si>
    <t>Monto Facturado</t>
  </si>
  <si>
    <t>Pago Mínimo</t>
  </si>
  <si>
    <t>Fecha  de Facturación</t>
  </si>
  <si>
    <t>Pagar Hasta</t>
  </si>
  <si>
    <t>Total de Pagos, Compras, Cuotas y Avance</t>
  </si>
  <si>
    <t>Total Cargos, Comisiones, Impuestos y Abonos</t>
  </si>
  <si>
    <r>
      <rPr>
        <b/>
        <sz val="20"/>
        <color indexed="8"/>
        <rFont val="Arial"/>
        <family val="2"/>
      </rPr>
      <t>Movimientos Facturados</t>
    </r>
    <r>
      <rPr>
        <b/>
        <sz val="18"/>
        <color indexed="8"/>
        <rFont val="Arial"/>
        <family val="2"/>
      </rPr>
      <t/>
    </r>
  </si>
  <si>
    <t>CONTRERAS M. CAROL</t>
  </si>
  <si>
    <t>Deswik Chile SpA</t>
  </si>
  <si>
    <t>76388284-5</t>
  </si>
  <si>
    <t>Mastercard Corporate Estandar ****1282</t>
  </si>
  <si>
    <t>29/07/2025</t>
  </si>
  <si>
    <t>27/08/2025</t>
  </si>
  <si>
    <t>25/07/2025</t>
  </si>
  <si>
    <t>MERCADOPAGO *CABIFY25 Las Condes</t>
  </si>
  <si>
    <t>01/01</t>
  </si>
  <si>
    <t>23/07/2025</t>
  </si>
  <si>
    <t>KUSHKI *JUSTO CHILE SANTIAGO</t>
  </si>
  <si>
    <t>UNIMARC LOS MILITARES SANTIAGO</t>
  </si>
  <si>
    <t>22/07/2025</t>
  </si>
  <si>
    <t>MELBOURNE CAFE SANTIAGO</t>
  </si>
  <si>
    <t>21/07/2025</t>
  </si>
  <si>
    <t>LA DANESA PASTELERIA SANTIAGO</t>
  </si>
  <si>
    <t>I.I.A. SANTIAGO</t>
  </si>
  <si>
    <t>DP *FALABELLA.COM SANTIAGO</t>
  </si>
  <si>
    <t>10/07/2025</t>
  </si>
  <si>
    <t>PAGO AUTOMATICO</t>
  </si>
  <si>
    <t>09/07/2025</t>
  </si>
  <si>
    <t>MOVISTAR Providencia</t>
  </si>
  <si>
    <t>07/07/2025</t>
  </si>
  <si>
    <t>MERCADOPAGO *MICOCACO Las Condes</t>
  </si>
  <si>
    <t>DP *IKEA COM SANTIAGO</t>
  </si>
  <si>
    <t>05/07/2025</t>
  </si>
  <si>
    <t>IBIS LAS CONDES. SANTIAGO</t>
  </si>
  <si>
    <t>04/07/2025</t>
  </si>
  <si>
    <t>PAYU *UBER EATS SANTIAGO</t>
  </si>
  <si>
    <t>03/07/2025</t>
  </si>
  <si>
    <t>02/07/2025</t>
  </si>
  <si>
    <t>SOCIEDAD BLACK CHICK SANTIAGO</t>
  </si>
  <si>
    <t>01/07/2025</t>
  </si>
  <si>
    <t>MERCADOPAGO *LOCALNUN Las Condes</t>
  </si>
  <si>
    <t>30/06/2025</t>
  </si>
  <si>
    <t>SOLER CURICO SPA SANTIAGO</t>
  </si>
  <si>
    <t>COMISION MENSUAL POR MANTENCION</t>
  </si>
  <si>
    <t>GL6716 Taxis</t>
  </si>
  <si>
    <t>GL6453 Meals</t>
  </si>
  <si>
    <t>GL6451 Staff Amenities</t>
  </si>
  <si>
    <t>GL 6451 Staff Amenites</t>
  </si>
  <si>
    <t>GL6112 - Conferences</t>
  </si>
  <si>
    <t>GL6714 Meals travel</t>
  </si>
  <si>
    <t>Restante Nueva inmobiliaria apoquindo</t>
  </si>
  <si>
    <t>GL6415 Staff amenities</t>
  </si>
  <si>
    <t>Factura 458883 computers and other comsumables</t>
  </si>
  <si>
    <t>Movistar</t>
  </si>
  <si>
    <t>GL6113 Attended</t>
  </si>
  <si>
    <t>HL 6451 Staff amenities</t>
  </si>
  <si>
    <t>TAXIS, TRENES Y BUSES</t>
  </si>
  <si>
    <t>GASTOS RECHAZADOS CLP</t>
  </si>
  <si>
    <t>OTROS GASTOS GENERALES CLP</t>
  </si>
  <si>
    <t>PROVEEDORES EN CLP</t>
  </si>
  <si>
    <t>ALIMENTACION EN VIAJES</t>
  </si>
  <si>
    <t>CONFERENCIAS Y FERIAS</t>
  </si>
  <si>
    <t>CONFERENCIAS Y FERIAS Hosted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</si>
</sst>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Santiago, &quot;dd\ mmmm\ yyyy"/>
    <numFmt numFmtId="165" formatCode="&quot;$&quot;\ #,##0"/>
    <numFmt numFmtId="166" formatCode="dd\/mm\/yyyy"/>
  </numFmts>
  <fonts count="28">
    <font>
      <sz val="11"/>
      <color theme="1"/>
      <name val="Calibri"/>
      <family val="2"/>
      <scheme val="minor"/>
    </font>
    <font>
      <sz val="11"/>
      <name val="Arial"/>
      <family val="2"/>
    </font>
    <font>
      <sz val="14"/>
      <color indexed="8"/>
      <name val="Arial"/>
      <family val="2"/>
    </font>
    <font>
      <b/>
      <sz val="12"/>
      <color indexed="8"/>
      <name val="Arial"/>
      <family val="2"/>
    </font>
    <font>
      <b/>
      <sz val="18"/>
      <color indexed="8"/>
      <name val="Arial"/>
      <family val="2"/>
    </font>
    <font>
      <b/>
      <sz val="20"/>
      <color indexed="8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8"/>
      <color theme="1" tint="0.14999847407452621"/>
      <name val="Arial"/>
      <family val="2"/>
    </font>
    <font>
      <sz val="11"/>
      <color theme="1"/>
      <name val="Arial"/>
      <family val="2"/>
    </font>
    <font>
      <sz val="11"/>
      <color theme="1" tint="0.499984740745262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"/>
      <name val="Arial"/>
      <family val="2"/>
    </font>
    <font>
      <b/>
      <sz val="11"/>
      <color theme="0"/>
      <name val="Arial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6"/>
      <color theme="0" tint="-0.34998626667073579"/>
      <name val="Arial"/>
      <family val="2"/>
    </font>
    <font>
      <sz val="10"/>
      <color theme="1"/>
      <name val="Arial Unicode MS"/>
      <family val="2"/>
    </font>
    <font>
      <sz val="20"/>
      <color theme="1"/>
      <name val="Arial"/>
      <family val="2"/>
    </font>
    <font>
      <b/>
      <sz val="20"/>
      <color theme="1" tint="0.14999847407452621"/>
      <name val="Arial"/>
      <family val="2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 tint="-0.14999847407452621"/>
      </left>
      <right/>
      <top/>
      <bottom/>
      <diagonal/>
    </border>
    <border diagonalDown="1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 style="thin">
        <color theme="0"/>
      </diagonal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 style="medium">
        <color theme="0" tint="-0.14999847407452621"/>
      </top>
      <bottom/>
      <diagonal/>
    </border>
    <border>
      <left/>
      <right/>
      <top/>
      <bottom style="medium">
        <color theme="0" tint="-0.14999847407452621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14999847407452621"/>
      </left>
      <right/>
      <top style="medium">
        <color theme="0" tint="-0.14999847407452621"/>
      </top>
      <bottom/>
      <diagonal/>
    </border>
    <border>
      <left style="medium">
        <color theme="0" tint="-0.14999847407452621"/>
      </left>
      <right/>
      <top/>
      <bottom style="medium">
        <color theme="0" tint="-0.14999847407452621"/>
      </bottom>
      <diagonal/>
    </border>
    <border>
      <left/>
      <right style="medium">
        <color theme="0" tint="-0.14999847407452621"/>
      </right>
      <top style="medium">
        <color theme="0" tint="-0.14999847407452621"/>
      </top>
      <bottom/>
      <diagonal/>
    </border>
    <border>
      <left/>
      <right style="medium">
        <color theme="0" tint="-0.14999847407452621"/>
      </right>
      <top/>
      <bottom style="medium">
        <color theme="0" tint="-0.14999847407452621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6" fillId="2" borderId="1" applyNumberFormat="0" applyFont="0" applyAlignment="0" applyProtection="0"/>
  </cellStyleXfs>
  <cellXfs count="12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3" borderId="0" xfId="0" applyFill="1"/>
    <xf numFmtId="14" fontId="0" fillId="0" borderId="0" xfId="0" applyNumberFormat="1"/>
    <xf numFmtId="0" fontId="8" fillId="3" borderId="0" xfId="0" applyFont="1" applyFill="1" applyAlignment="1">
      <alignment vertical="center" wrapText="1"/>
    </xf>
    <xf numFmtId="0" fontId="9" fillId="0" borderId="6" xfId="0" applyFont="1" applyBorder="1"/>
    <xf numFmtId="0" fontId="10" fillId="0" borderId="12" xfId="0" applyFont="1" applyBorder="1" applyAlignment="1">
      <alignment horizontal="left"/>
    </xf>
    <xf numFmtId="0" fontId="9" fillId="0" borderId="0" xfId="0" applyFont="1"/>
    <xf numFmtId="0" fontId="0" fillId="0" borderId="13" xfId="0" applyBorder="1"/>
    <xf numFmtId="0" fontId="8" fillId="3" borderId="7" xfId="0" applyFont="1" applyFill="1" applyBorder="1" applyAlignment="1">
      <alignment vertical="center" wrapText="1"/>
    </xf>
    <xf numFmtId="0" fontId="0" fillId="0" borderId="14" xfId="0" applyBorder="1"/>
    <xf numFmtId="0" fontId="0" fillId="0" borderId="15" xfId="0" applyBorder="1"/>
    <xf numFmtId="0" fontId="10" fillId="0" borderId="16" xfId="0" applyFont="1" applyBorder="1" applyAlignment="1">
      <alignment horizontal="left"/>
    </xf>
    <xf numFmtId="0" fontId="8" fillId="3" borderId="13" xfId="0" applyFont="1" applyFill="1" applyBorder="1" applyAlignment="1">
      <alignment horizontal="left" vertical="center"/>
    </xf>
    <xf numFmtId="0" fontId="11" fillId="0" borderId="9" xfId="0" applyFont="1" applyBorder="1"/>
    <xf numFmtId="0" fontId="11" fillId="0" borderId="11" xfId="0" applyFont="1" applyBorder="1"/>
    <xf numFmtId="0" fontId="11" fillId="0" borderId="2" xfId="0" applyFont="1" applyBorder="1"/>
    <xf numFmtId="0" fontId="11" fillId="0" borderId="12" xfId="0" applyFont="1" applyBorder="1"/>
    <xf numFmtId="0" fontId="11" fillId="0" borderId="17" xfId="0" applyFont="1" applyBorder="1"/>
    <xf numFmtId="0" fontId="11" fillId="0" borderId="8" xfId="0" applyFont="1" applyBorder="1"/>
    <xf numFmtId="0" fontId="11" fillId="0" borderId="0" xfId="0" applyFont="1"/>
    <xf numFmtId="164" fontId="12" fillId="0" borderId="9" xfId="0" applyNumberFormat="1" applyFont="1" applyBorder="1"/>
    <xf numFmtId="20" fontId="13" fillId="0" borderId="9" xfId="0" applyNumberFormat="1" applyFont="1" applyBorder="1"/>
    <xf numFmtId="0" fontId="11" fillId="0" borderId="6" xfId="0" applyFont="1" applyBorder="1"/>
    <xf numFmtId="0" fontId="13" fillId="0" borderId="9" xfId="0" applyFont="1" applyBorder="1"/>
    <xf numFmtId="0" fontId="14" fillId="0" borderId="7" xfId="1" applyFont="1" applyBorder="1"/>
    <xf numFmtId="0" fontId="15" fillId="0" borderId="17" xfId="0" applyFont="1" applyBorder="1"/>
    <xf numFmtId="0" fontId="11" fillId="0" borderId="3" xfId="0" applyFont="1" applyBorder="1"/>
    <xf numFmtId="0" fontId="11" fillId="0" borderId="13" xfId="0" applyFont="1" applyBorder="1"/>
    <xf numFmtId="0" fontId="16" fillId="4" borderId="18" xfId="0" applyFont="1" applyFill="1" applyBorder="1" applyAlignment="1">
      <alignment horizontal="left" vertical="center" indent="1"/>
    </xf>
    <xf numFmtId="0" fontId="11" fillId="3" borderId="0" xfId="0" applyFont="1" applyFill="1"/>
    <xf numFmtId="0" fontId="17" fillId="3" borderId="0" xfId="0" applyFont="1" applyFill="1" applyAlignment="1">
      <alignment horizontal="center" vertical="center"/>
    </xf>
    <xf numFmtId="0" fontId="18" fillId="3" borderId="4" xfId="0" applyFont="1" applyFill="1" applyBorder="1" applyAlignment="1">
      <alignment horizontal="left" vertical="center" wrapText="1"/>
    </xf>
    <xf numFmtId="0" fontId="18" fillId="3" borderId="14" xfId="0" applyFont="1" applyFill="1" applyBorder="1" applyAlignment="1">
      <alignment horizontal="left" vertical="center" wrapText="1"/>
    </xf>
    <xf numFmtId="0" fontId="18" fillId="3" borderId="0" xfId="0" applyFont="1" applyFill="1" applyAlignment="1">
      <alignment horizontal="left" vertical="center" wrapText="1"/>
    </xf>
    <xf numFmtId="0" fontId="19" fillId="0" borderId="3" xfId="0" applyFont="1" applyBorder="1"/>
    <xf numFmtId="0" fontId="16" fillId="4" borderId="19" xfId="0" applyFont="1" applyFill="1" applyBorder="1" applyAlignment="1">
      <alignment horizontal="left" vertical="center" indent="1"/>
    </xf>
    <xf numFmtId="0" fontId="16" fillId="3" borderId="20" xfId="0" applyFont="1" applyFill="1" applyBorder="1" applyAlignment="1">
      <alignment horizontal="left" vertical="center" indent="1"/>
    </xf>
    <xf numFmtId="165" fontId="11" fillId="3" borderId="21" xfId="0" applyNumberFormat="1" applyFont="1" applyFill="1" applyBorder="1" applyAlignment="1">
      <alignment vertical="center" wrapText="1"/>
    </xf>
    <xf numFmtId="12" fontId="11" fillId="3" borderId="23" xfId="0" applyNumberFormat="1" applyFont="1" applyFill="1" applyBorder="1" applyAlignment="1">
      <alignment horizontal="center" vertical="center" wrapText="1"/>
    </xf>
    <xf numFmtId="0" fontId="16" fillId="3" borderId="24" xfId="0" applyFont="1" applyFill="1" applyBorder="1" applyAlignment="1">
      <alignment vertical="center"/>
    </xf>
    <xf numFmtId="0" fontId="16" fillId="3" borderId="21" xfId="0" applyFont="1" applyFill="1" applyBorder="1" applyAlignment="1">
      <alignment vertical="center"/>
    </xf>
    <xf numFmtId="0" fontId="11" fillId="3" borderId="21" xfId="0" applyFont="1" applyFill="1" applyBorder="1" applyAlignment="1">
      <alignment vertical="center" wrapText="1"/>
    </xf>
    <xf numFmtId="0" fontId="16" fillId="3" borderId="23" xfId="0" applyFont="1" applyFill="1" applyBorder="1" applyAlignment="1">
      <alignment vertical="center"/>
    </xf>
    <xf numFmtId="0" fontId="11" fillId="3" borderId="23" xfId="0" applyFont="1" applyFill="1" applyBorder="1" applyAlignment="1">
      <alignment vertical="center" wrapText="1"/>
    </xf>
    <xf numFmtId="165" fontId="11" fillId="3" borderId="22" xfId="0" applyNumberFormat="1" applyFont="1" applyFill="1" applyBorder="1" applyAlignment="1">
      <alignment vertical="center" wrapText="1"/>
    </xf>
    <xf numFmtId="165" fontId="11" fillId="3" borderId="23" xfId="0" applyNumberFormat="1" applyFont="1" applyFill="1" applyBorder="1" applyAlignment="1">
      <alignment vertical="center" wrapText="1"/>
    </xf>
    <xf numFmtId="165" fontId="11" fillId="3" borderId="25" xfId="0" applyNumberFormat="1" applyFont="1" applyFill="1" applyBorder="1" applyAlignment="1">
      <alignment vertical="center" wrapText="1"/>
    </xf>
    <xf numFmtId="0" fontId="0" fillId="0" borderId="10" xfId="0" applyBorder="1" applyAlignment="1">
      <alignment wrapText="1"/>
    </xf>
    <xf numFmtId="0" fontId="0" fillId="0" borderId="0" xfId="0" applyAlignment="1">
      <alignment wrapText="1"/>
    </xf>
    <xf numFmtId="166" fontId="11" fillId="3" borderId="23" xfId="0" applyNumberFormat="1" applyFont="1" applyFill="1" applyBorder="1" applyAlignment="1">
      <alignment horizontal="left" vertical="center" wrapText="1"/>
    </xf>
    <xf numFmtId="0" fontId="11" fillId="3" borderId="24" xfId="0" applyFont="1" applyFill="1" applyBorder="1" applyAlignment="1">
      <alignment horizontal="left" vertical="center" wrapText="1"/>
    </xf>
    <xf numFmtId="0" fontId="11" fillId="3" borderId="23" xfId="0" applyFont="1" applyFill="1" applyBorder="1" applyAlignment="1">
      <alignment horizontal="left" vertical="center" wrapText="1"/>
    </xf>
    <xf numFmtId="0" fontId="11" fillId="0" borderId="14" xfId="0" applyFont="1" applyBorder="1"/>
    <xf numFmtId="0" fontId="11" fillId="3" borderId="18" xfId="0" applyFont="1" applyFill="1" applyBorder="1" applyAlignment="1">
      <alignment horizontal="left" vertical="center" wrapText="1" indent="1"/>
    </xf>
    <xf numFmtId="0" fontId="13" fillId="0" borderId="6" xfId="0" applyFont="1" applyBorder="1"/>
    <xf numFmtId="0" fontId="11" fillId="0" borderId="6" xfId="0" applyFont="1" applyBorder="1" applyAlignment="1">
      <alignment horizontal="left"/>
    </xf>
    <xf numFmtId="0" fontId="18" fillId="3" borderId="0" xfId="0" applyFont="1" applyFill="1" applyAlignment="1">
      <alignment horizontal="center" vertical="center"/>
    </xf>
    <xf numFmtId="0" fontId="13" fillId="0" borderId="6" xfId="0" applyFont="1" applyBorder="1" applyAlignment="1">
      <alignment horizontal="left"/>
    </xf>
    <xf numFmtId="0" fontId="18" fillId="3" borderId="26" xfId="0" applyFont="1" applyFill="1" applyBorder="1" applyAlignment="1">
      <alignment vertical="center"/>
    </xf>
    <xf numFmtId="0" fontId="18" fillId="3" borderId="27" xfId="0" applyFont="1" applyFill="1" applyBorder="1" applyAlignment="1">
      <alignment vertical="center"/>
    </xf>
    <xf numFmtId="12" fontId="11" fillId="3" borderId="28" xfId="0" applyNumberFormat="1" applyFont="1" applyFill="1" applyBorder="1" applyAlignment="1">
      <alignment horizontal="left" vertical="center" wrapText="1" indent="1"/>
    </xf>
    <xf numFmtId="14" fontId="1" fillId="3" borderId="2" xfId="2" applyNumberFormat="1" applyFont="1" applyFill="1" applyBorder="1" applyAlignment="1"/>
    <xf numFmtId="14" fontId="1" fillId="3" borderId="0" xfId="2" applyNumberFormat="1" applyFont="1" applyFill="1" applyBorder="1" applyAlignment="1"/>
    <xf numFmtId="0" fontId="11" fillId="0" borderId="4" xfId="0" applyFont="1" applyBorder="1"/>
    <xf numFmtId="0" fontId="11" fillId="0" borderId="5" xfId="0" applyFont="1" applyBorder="1"/>
    <xf numFmtId="0" fontId="11" fillId="0" borderId="16" xfId="0" applyFont="1" applyBorder="1"/>
    <xf numFmtId="0" fontId="11" fillId="0" borderId="9" xfId="0" applyFont="1" applyBorder="1" applyAlignment="1">
      <alignment horizontal="left"/>
    </xf>
    <xf numFmtId="14" fontId="1" fillId="3" borderId="9" xfId="2" applyNumberFormat="1" applyFont="1" applyFill="1" applyBorder="1" applyAlignment="1"/>
    <xf numFmtId="166" fontId="11" fillId="0" borderId="9" xfId="0" applyNumberFormat="1" applyFont="1" applyBorder="1" applyAlignment="1">
      <alignment horizontal="left"/>
    </xf>
    <xf numFmtId="0" fontId="20" fillId="0" borderId="3" xfId="0" applyFont="1" applyBorder="1" applyAlignment="1">
      <alignment vertical="center"/>
    </xf>
    <xf numFmtId="0" fontId="17" fillId="3" borderId="3" xfId="0" applyFont="1" applyFill="1" applyBorder="1" applyAlignment="1">
      <alignment horizontal="center" vertical="center"/>
    </xf>
    <xf numFmtId="0" fontId="11" fillId="0" borderId="30" xfId="0" applyFont="1" applyBorder="1"/>
    <xf numFmtId="0" fontId="18" fillId="3" borderId="7" xfId="0" applyFont="1" applyFill="1" applyBorder="1" applyAlignment="1">
      <alignment vertical="center" wrapText="1"/>
    </xf>
    <xf numFmtId="0" fontId="25" fillId="3" borderId="2" xfId="0" applyFont="1" applyFill="1" applyBorder="1" applyAlignment="1">
      <alignment wrapText="1"/>
    </xf>
    <xf numFmtId="0" fontId="25" fillId="3" borderId="0" xfId="0" applyFont="1" applyFill="1" applyAlignment="1">
      <alignment vertical="top" wrapText="1"/>
    </xf>
    <xf numFmtId="0" fontId="25" fillId="3" borderId="30" xfId="0" applyFont="1" applyFill="1" applyBorder="1" applyAlignment="1">
      <alignment vertical="top" wrapText="1"/>
    </xf>
    <xf numFmtId="0" fontId="11" fillId="3" borderId="19" xfId="0" applyFont="1" applyFill="1" applyBorder="1" applyAlignment="1">
      <alignment horizontal="left" vertical="center" wrapText="1" indent="1"/>
    </xf>
    <xf numFmtId="0" fontId="11" fillId="3" borderId="29" xfId="0" applyFont="1" applyFill="1" applyBorder="1" applyAlignment="1">
      <alignment horizontal="left" vertical="center" wrapText="1" indent="1"/>
    </xf>
    <xf numFmtId="0" fontId="11" fillId="3" borderId="28" xfId="0" applyFont="1" applyFill="1" applyBorder="1" applyAlignment="1">
      <alignment horizontal="left" vertical="center" wrapText="1" indent="1"/>
    </xf>
    <xf numFmtId="3" fontId="11" fillId="3" borderId="19" xfId="0" applyNumberFormat="1" applyFont="1" applyFill="1" applyBorder="1" applyAlignment="1">
      <alignment horizontal="right" vertical="center" wrapText="1" indent="1"/>
    </xf>
    <xf numFmtId="3" fontId="11" fillId="3" borderId="29" xfId="0" applyNumberFormat="1" applyFont="1" applyFill="1" applyBorder="1" applyAlignment="1">
      <alignment horizontal="right" vertical="center" wrapText="1" indent="1"/>
    </xf>
    <xf numFmtId="3" fontId="11" fillId="3" borderId="31" xfId="0" applyNumberFormat="1" applyFont="1" applyFill="1" applyBorder="1" applyAlignment="1">
      <alignment horizontal="right" vertical="center" wrapText="1" indent="1"/>
    </xf>
    <xf numFmtId="0" fontId="5" fillId="0" borderId="14" xfId="0" applyFont="1" applyBorder="1" applyAlignment="1">
      <alignment horizontal="left" wrapText="1"/>
    </xf>
    <xf numFmtId="0" fontId="21" fillId="0" borderId="2" xfId="0" applyFont="1" applyBorder="1" applyAlignment="1">
      <alignment horizontal="left" wrapText="1"/>
    </xf>
    <xf numFmtId="0" fontId="21" fillId="0" borderId="13" xfId="0" applyFont="1" applyBorder="1" applyAlignment="1">
      <alignment horizontal="left" wrapText="1"/>
    </xf>
    <xf numFmtId="0" fontId="3" fillId="3" borderId="32" xfId="0" applyFont="1" applyFill="1" applyBorder="1" applyAlignment="1">
      <alignment horizontal="center" wrapText="1"/>
    </xf>
    <xf numFmtId="0" fontId="2" fillId="3" borderId="26" xfId="0" applyFont="1" applyFill="1" applyBorder="1" applyAlignment="1">
      <alignment horizontal="center" wrapText="1"/>
    </xf>
    <xf numFmtId="0" fontId="22" fillId="0" borderId="12" xfId="0" applyFont="1" applyBorder="1" applyAlignment="1">
      <alignment horizontal="left"/>
    </xf>
    <xf numFmtId="0" fontId="22" fillId="0" borderId="2" xfId="0" applyFont="1" applyBorder="1" applyAlignment="1">
      <alignment horizontal="left"/>
    </xf>
    <xf numFmtId="0" fontId="22" fillId="0" borderId="13" xfId="0" applyFont="1" applyBorder="1" applyAlignment="1">
      <alignment horizontal="left"/>
    </xf>
    <xf numFmtId="166" fontId="11" fillId="0" borderId="9" xfId="0" applyNumberFormat="1" applyFont="1" applyBorder="1" applyAlignment="1">
      <alignment horizontal="left"/>
    </xf>
    <xf numFmtId="0" fontId="11" fillId="0" borderId="9" xfId="0" applyFont="1" applyBorder="1" applyAlignment="1">
      <alignment horizontal="left"/>
    </xf>
    <xf numFmtId="3" fontId="23" fillId="3" borderId="33" xfId="0" applyNumberFormat="1" applyFont="1" applyFill="1" applyBorder="1" applyAlignment="1">
      <alignment horizontal="center" vertical="top"/>
    </xf>
    <xf numFmtId="3" fontId="23" fillId="3" borderId="27" xfId="0" applyNumberFormat="1" applyFont="1" applyFill="1" applyBorder="1" applyAlignment="1">
      <alignment horizontal="center" vertical="top"/>
    </xf>
    <xf numFmtId="0" fontId="3" fillId="3" borderId="26" xfId="0" applyFont="1" applyFill="1" applyBorder="1" applyAlignment="1">
      <alignment horizontal="center" wrapText="1"/>
    </xf>
    <xf numFmtId="0" fontId="23" fillId="3" borderId="26" xfId="0" applyFont="1" applyFill="1" applyBorder="1" applyAlignment="1">
      <alignment horizontal="center" wrapText="1"/>
    </xf>
    <xf numFmtId="14" fontId="23" fillId="3" borderId="27" xfId="0" applyNumberFormat="1" applyFont="1" applyFill="1" applyBorder="1" applyAlignment="1">
      <alignment horizontal="center" vertical="top"/>
    </xf>
    <xf numFmtId="0" fontId="23" fillId="3" borderId="27" xfId="0" applyFont="1" applyFill="1" applyBorder="1" applyAlignment="1">
      <alignment horizontal="center" vertical="top"/>
    </xf>
    <xf numFmtId="0" fontId="23" fillId="3" borderId="34" xfId="0" applyFont="1" applyFill="1" applyBorder="1" applyAlignment="1">
      <alignment horizontal="center" wrapText="1"/>
    </xf>
    <xf numFmtId="0" fontId="23" fillId="3" borderId="35" xfId="0" applyFont="1" applyFill="1" applyBorder="1" applyAlignment="1">
      <alignment horizontal="center" vertical="top"/>
    </xf>
    <xf numFmtId="0" fontId="16" fillId="4" borderId="19" xfId="0" applyFont="1" applyFill="1" applyBorder="1" applyAlignment="1">
      <alignment horizontal="center" vertical="center"/>
    </xf>
    <xf numFmtId="0" fontId="16" fillId="4" borderId="29" xfId="0" applyFont="1" applyFill="1" applyBorder="1" applyAlignment="1">
      <alignment horizontal="center" vertical="center"/>
    </xf>
    <xf numFmtId="0" fontId="16" fillId="4" borderId="31" xfId="0" applyFont="1" applyFill="1" applyBorder="1" applyAlignment="1">
      <alignment horizontal="center" vertical="center"/>
    </xf>
    <xf numFmtId="0" fontId="24" fillId="0" borderId="14" xfId="0" applyFont="1" applyBorder="1" applyAlignment="1">
      <alignment horizontal="left" wrapText="1"/>
    </xf>
    <xf numFmtId="0" fontId="24" fillId="0" borderId="2" xfId="0" applyFont="1" applyBorder="1" applyAlignment="1">
      <alignment horizontal="left" wrapText="1"/>
    </xf>
    <xf numFmtId="0" fontId="24" fillId="0" borderId="13" xfId="0" applyFont="1" applyBorder="1" applyAlignment="1">
      <alignment horizontal="left" wrapText="1"/>
    </xf>
    <xf numFmtId="0" fontId="21" fillId="0" borderId="14" xfId="0" applyFont="1" applyBorder="1" applyAlignment="1">
      <alignment horizontal="left" wrapText="1"/>
    </xf>
    <xf numFmtId="0" fontId="26" fillId="0" borderId="0" xfId="0" applyFont="1"/>
    <xf numFmtId="3" fontId="0" fillId="0" borderId="0" xfId="0" applyNumberFormat="1"/>
    <xf numFmtId="0" fontId="27" fillId="0" borderId="0" xfId="0" applyFont="1"/>
    <xf numFmtId="0" fontId="0" fillId="5" borderId="0" xfId="0" applyFill="1"/>
    <xf numFmtId="0" fontId="0" fillId="5" borderId="0" xfId="0" applyFill="1" applyAlignment="1">
      <alignment wrapText="1"/>
    </xf>
    <xf numFmtId="0" fontId="0" fillId="5" borderId="0" xfId="0" applyFill="1" applyBorder="1" applyAlignment="1">
      <alignment wrapText="1"/>
    </xf>
    <xf numFmtId="3" fontId="11" fillId="5" borderId="19" xfId="0" applyNumberFormat="1" applyFont="1" applyFill="1" applyBorder="1" applyAlignment="1">
      <alignment horizontal="right" vertical="center" wrapText="1" indent="1"/>
    </xf>
    <xf numFmtId="3" fontId="11" fillId="5" borderId="29" xfId="0" applyNumberFormat="1" applyFont="1" applyFill="1" applyBorder="1" applyAlignment="1">
      <alignment horizontal="right" vertical="center" wrapText="1" indent="1"/>
    </xf>
    <xf numFmtId="3" fontId="11" fillId="5" borderId="31" xfId="0" applyNumberFormat="1" applyFont="1" applyFill="1" applyBorder="1" applyAlignment="1">
      <alignment horizontal="right" vertical="center" wrapText="1" indent="1"/>
    </xf>
  </cellXfs>
  <cellStyles count="3">
    <cellStyle name="Hipervínculo" xfId="1" builtinId="8"/>
    <cellStyle name="Normal" xfId="0" builtinId="0"/>
    <cellStyle name="Notas" xfId="2" builtinId="1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1</xdr:row>
      <xdr:rowOff>6350</xdr:rowOff>
    </xdr:from>
    <xdr:to>
      <xdr:col>2</xdr:col>
      <xdr:colOff>1327150</xdr:colOff>
      <xdr:row>3</xdr:row>
      <xdr:rowOff>146050</xdr:rowOff>
    </xdr:to>
    <xdr:pic>
      <xdr:nvPicPr>
        <xdr:cNvPr id="1485" name="1 Imagen" descr="http://upload.wikimedia.org/wikipedia/en/a/aa/Banco_de_Chile_Logo.png">
          <a:extLst>
            <a:ext uri="{FF2B5EF4-FFF2-40B4-BE49-F238E27FC236}">
              <a16:creationId xmlns:a16="http://schemas.microsoft.com/office/drawing/2014/main" id="{3ED4C3F7-8C8A-DA41-4BC3-E2D1A18FA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349250"/>
          <a:ext cx="295275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DC229-7484-432E-931C-F3C926FF07C0}">
  <sheetPr codeName="Hoja1"/>
  <dimension ref="A1:W135"/>
  <sheetViews>
    <sheetView tabSelected="1" zoomScale="90" zoomScaleNormal="90" workbookViewId="0">
      <selection activeCell="H29" activeCellId="1" sqref="H27:K27 H29:K29"/>
    </sheetView>
  </sheetViews>
  <sheetFormatPr baseColWidth="10" defaultRowHeight="15"/>
  <cols>
    <col min="2" max="2" width="23.42578125" customWidth="1"/>
    <col min="3" max="3" width="22" customWidth="1"/>
    <col min="4" max="4" width="26.42578125" customWidth="1"/>
    <col min="5" max="5" width="9.85546875" customWidth="1"/>
    <col min="6" max="6" width="27.42578125" customWidth="1"/>
    <col min="7" max="7" width="25.28515625" customWidth="1"/>
    <col min="8" max="8" width="2.42578125" hidden="1" customWidth="1"/>
    <col min="9" max="9" width="2" hidden="1" customWidth="1"/>
    <col min="10" max="10" width="27.140625" customWidth="1"/>
    <col min="11" max="11" width="1.140625" customWidth="1"/>
    <col min="12" max="12" width="17.28515625" customWidth="1"/>
  </cols>
  <sheetData>
    <row r="1" spans="1:17" ht="27" customHeight="1">
      <c r="A1" s="7"/>
      <c r="B1" s="8"/>
      <c r="C1" s="10"/>
      <c r="D1" s="10"/>
      <c r="E1" s="6"/>
      <c r="F1" s="2"/>
      <c r="G1" s="2"/>
      <c r="H1" s="2"/>
      <c r="I1" s="8"/>
      <c r="J1" s="8"/>
      <c r="K1" s="5"/>
      <c r="L1" s="5"/>
    </row>
    <row r="2" spans="1:17">
      <c r="A2" s="6"/>
      <c r="B2" s="24"/>
      <c r="C2" s="25"/>
      <c r="D2" s="25"/>
      <c r="E2" s="26"/>
      <c r="F2" s="24"/>
      <c r="G2" s="24"/>
      <c r="H2" s="24"/>
      <c r="I2" s="25"/>
      <c r="J2" s="24"/>
      <c r="K2" s="27"/>
      <c r="L2" s="11"/>
    </row>
    <row r="3" spans="1:17">
      <c r="A3" s="10"/>
      <c r="B3" s="28"/>
      <c r="C3" s="29"/>
      <c r="D3" s="29"/>
      <c r="E3" s="24"/>
      <c r="F3" s="28"/>
      <c r="G3" s="24"/>
      <c r="H3" s="28"/>
      <c r="I3" s="30"/>
      <c r="J3" s="31"/>
      <c r="K3" s="32"/>
      <c r="L3" s="9"/>
      <c r="M3" s="21"/>
    </row>
    <row r="4" spans="1:17">
      <c r="A4" s="10"/>
      <c r="B4" s="37"/>
      <c r="C4" s="37"/>
      <c r="D4" s="37"/>
      <c r="E4" s="63"/>
      <c r="F4" s="37"/>
      <c r="G4" s="37"/>
      <c r="H4" s="37"/>
      <c r="I4" s="37"/>
      <c r="J4" s="37"/>
      <c r="K4" s="37"/>
      <c r="L4" s="11"/>
    </row>
    <row r="5" spans="1:17" ht="6" customHeight="1">
      <c r="A5" s="10"/>
      <c r="B5" s="24"/>
      <c r="C5" s="24"/>
      <c r="D5" s="24"/>
      <c r="E5" s="24"/>
      <c r="F5" s="24"/>
      <c r="G5" s="24"/>
      <c r="H5" s="24"/>
      <c r="I5" s="24"/>
      <c r="J5" s="24"/>
      <c r="K5" s="24"/>
      <c r="L5" s="15"/>
    </row>
    <row r="6" spans="1:17" ht="17.25" customHeight="1">
      <c r="A6" s="10"/>
      <c r="B6" s="98"/>
      <c r="C6" s="99"/>
      <c r="D6" s="99"/>
      <c r="E6" s="100"/>
      <c r="F6" s="74"/>
      <c r="G6" s="74"/>
      <c r="H6" s="74"/>
      <c r="I6" s="37"/>
      <c r="J6" s="74"/>
      <c r="K6" s="75"/>
      <c r="L6" s="5"/>
      <c r="O6" s="54">
        <v>8051416</v>
      </c>
      <c r="P6" s="52">
        <f>SUMIF(N:N,O6,M:M)</f>
        <v>572650</v>
      </c>
    </row>
    <row r="7" spans="1:17" ht="9" customHeight="1">
      <c r="A7" s="10"/>
      <c r="B7" s="16"/>
      <c r="C7" s="16"/>
      <c r="D7" s="22"/>
      <c r="E7" s="22"/>
      <c r="F7" s="76"/>
      <c r="G7" s="76"/>
      <c r="H7" s="76"/>
      <c r="I7" s="76"/>
      <c r="J7" s="76"/>
      <c r="K7" s="76"/>
      <c r="L7" s="6"/>
      <c r="O7" s="54">
        <v>8051403</v>
      </c>
      <c r="P7" s="52">
        <f t="shared" ref="P7:P13" si="0">SUMIF(N:N,O7,M:M)</f>
        <v>460685</v>
      </c>
    </row>
    <row r="8" spans="1:17">
      <c r="A8" s="10"/>
      <c r="B8" s="34" t="s">
        <v>11</v>
      </c>
      <c r="C8" s="27" t="s">
        <v>19</v>
      </c>
      <c r="D8" s="24"/>
      <c r="E8" s="24"/>
      <c r="F8" s="24"/>
      <c r="G8" s="102"/>
      <c r="H8" s="102"/>
      <c r="I8" s="102"/>
      <c r="J8" s="102"/>
      <c r="K8" s="77"/>
      <c r="L8" s="9"/>
      <c r="O8" s="54">
        <v>8040606</v>
      </c>
      <c r="P8" s="52">
        <f t="shared" si="0"/>
        <v>57456</v>
      </c>
    </row>
    <row r="9" spans="1:17">
      <c r="A9" s="10"/>
      <c r="B9" s="65" t="s">
        <v>9</v>
      </c>
      <c r="C9" s="72" t="s">
        <v>20</v>
      </c>
      <c r="D9" s="78"/>
      <c r="E9" s="24"/>
      <c r="F9" s="77"/>
      <c r="G9" s="101"/>
      <c r="H9" s="101"/>
      <c r="I9" s="101"/>
      <c r="J9" s="101"/>
      <c r="K9" s="101"/>
      <c r="L9" s="9"/>
      <c r="M9" s="13"/>
      <c r="O9" s="54">
        <v>8040708</v>
      </c>
      <c r="P9" s="52">
        <f t="shared" si="0"/>
        <v>108114</v>
      </c>
    </row>
    <row r="10" spans="1:17">
      <c r="A10" s="10"/>
      <c r="B10" s="68" t="s">
        <v>10</v>
      </c>
      <c r="C10" s="66" t="s">
        <v>21</v>
      </c>
      <c r="D10" s="77"/>
      <c r="E10" s="77"/>
      <c r="F10" s="77"/>
      <c r="G10" s="79"/>
      <c r="H10" s="79"/>
      <c r="I10" s="79"/>
      <c r="J10" s="79"/>
      <c r="K10" s="79"/>
      <c r="L10" s="6"/>
      <c r="M10" s="13"/>
      <c r="O10" s="54">
        <v>8050701</v>
      </c>
      <c r="P10" s="52">
        <f t="shared" si="0"/>
        <v>0</v>
      </c>
    </row>
    <row r="11" spans="1:17">
      <c r="A11" s="10"/>
      <c r="B11" s="34" t="s">
        <v>2</v>
      </c>
      <c r="C11" s="63" t="s">
        <v>22</v>
      </c>
      <c r="D11" s="24"/>
      <c r="E11" s="24"/>
      <c r="F11" s="77"/>
      <c r="G11" s="79"/>
      <c r="H11" s="79"/>
      <c r="I11" s="79"/>
      <c r="J11" s="79"/>
      <c r="K11" s="79"/>
      <c r="L11" s="6"/>
      <c r="M11" s="13"/>
      <c r="O11" s="54">
        <v>8040604</v>
      </c>
      <c r="P11" s="52">
        <f t="shared" si="0"/>
        <v>24044</v>
      </c>
    </row>
    <row r="12" spans="1:17">
      <c r="A12" s="10"/>
      <c r="B12" s="65" t="s">
        <v>7</v>
      </c>
      <c r="C12" s="73" t="s">
        <v>8</v>
      </c>
      <c r="D12" s="73"/>
      <c r="E12" s="29"/>
      <c r="F12" s="28"/>
      <c r="G12" s="28"/>
      <c r="H12" s="28"/>
      <c r="I12" s="28"/>
      <c r="J12" s="28"/>
      <c r="K12" s="28"/>
      <c r="L12" s="5"/>
      <c r="O12" s="54">
        <v>8040706</v>
      </c>
      <c r="P12" s="52">
        <f t="shared" si="0"/>
        <v>151661</v>
      </c>
    </row>
    <row r="13" spans="1:17" ht="24" customHeight="1">
      <c r="A13" s="10"/>
      <c r="B13" s="28"/>
      <c r="C13" s="28"/>
      <c r="D13" s="35"/>
      <c r="E13" s="28"/>
      <c r="F13" s="28"/>
      <c r="G13" s="28"/>
      <c r="H13" s="28"/>
      <c r="I13" s="24"/>
      <c r="J13" s="36"/>
      <c r="K13" s="33"/>
      <c r="L13" s="15"/>
      <c r="O13" s="54">
        <v>3030101</v>
      </c>
      <c r="P13" s="52">
        <f t="shared" si="0"/>
        <v>487265</v>
      </c>
    </row>
    <row r="14" spans="1:17" ht="27" thickBot="1">
      <c r="A14" s="11"/>
      <c r="B14" s="93" t="s">
        <v>18</v>
      </c>
      <c r="C14" s="94"/>
      <c r="D14" s="94"/>
      <c r="E14" s="95"/>
      <c r="F14" s="45"/>
      <c r="G14" s="37"/>
      <c r="H14" s="38"/>
      <c r="I14" s="38"/>
      <c r="J14" s="37"/>
      <c r="K14" s="26"/>
      <c r="L14" s="11"/>
      <c r="P14" s="118">
        <f>SUM(P6:P13)</f>
        <v>1861875</v>
      </c>
      <c r="Q14" s="119">
        <f>B16-P14</f>
        <v>0</v>
      </c>
    </row>
    <row r="15" spans="1:17" ht="24.95" customHeight="1">
      <c r="A15" s="11"/>
      <c r="B15" s="96" t="s">
        <v>12</v>
      </c>
      <c r="C15" s="97"/>
      <c r="D15" s="105" t="s">
        <v>13</v>
      </c>
      <c r="E15" s="106"/>
      <c r="F15" s="105" t="s">
        <v>14</v>
      </c>
      <c r="G15" s="106"/>
      <c r="H15" s="69"/>
      <c r="I15" s="69"/>
      <c r="J15" s="105" t="s">
        <v>15</v>
      </c>
      <c r="K15" s="109"/>
      <c r="L15" s="9"/>
    </row>
    <row r="16" spans="1:17" ht="24.95" customHeight="1" thickBot="1">
      <c r="A16" s="6"/>
      <c r="B16" s="103">
        <v>1861875</v>
      </c>
      <c r="C16" s="104"/>
      <c r="D16" s="104">
        <v>41078</v>
      </c>
      <c r="E16" s="104"/>
      <c r="F16" s="107" t="s">
        <v>23</v>
      </c>
      <c r="G16" s="108"/>
      <c r="H16" s="70"/>
      <c r="I16" s="70"/>
      <c r="J16" s="107" t="s">
        <v>24</v>
      </c>
      <c r="K16" s="110"/>
      <c r="L16" s="5"/>
      <c r="M16" s="17"/>
    </row>
    <row r="17" spans="1:23" ht="17.25" customHeight="1">
      <c r="A17" s="6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5"/>
      <c r="M17" s="17"/>
    </row>
    <row r="18" spans="1:23" ht="24.75" customHeight="1">
      <c r="A18" s="7"/>
      <c r="B18" s="114" t="s">
        <v>5</v>
      </c>
      <c r="C18" s="115"/>
      <c r="D18" s="115"/>
      <c r="E18" s="116"/>
      <c r="F18" s="117"/>
      <c r="G18" s="94"/>
      <c r="H18" s="94"/>
      <c r="I18" s="95"/>
      <c r="J18" s="117"/>
      <c r="K18" s="94"/>
      <c r="L18" s="5"/>
    </row>
    <row r="19" spans="1:23" ht="23.25" customHeight="1">
      <c r="A19" s="9"/>
      <c r="B19" s="46" t="s">
        <v>6</v>
      </c>
      <c r="C19" s="39" t="s">
        <v>0</v>
      </c>
      <c r="D19" s="111" t="s">
        <v>1</v>
      </c>
      <c r="E19" s="112"/>
      <c r="F19" s="113"/>
      <c r="G19" s="39" t="s">
        <v>3</v>
      </c>
      <c r="H19" s="111" t="s">
        <v>4</v>
      </c>
      <c r="I19" s="112"/>
      <c r="J19" s="112"/>
      <c r="K19" s="113"/>
      <c r="L19" s="9"/>
      <c r="R19" s="47"/>
      <c r="S19" s="47"/>
      <c r="T19" s="50"/>
      <c r="U19" s="53"/>
      <c r="V19" s="51"/>
      <c r="W19" s="51"/>
    </row>
    <row r="20" spans="1:23" ht="42.95" customHeight="1">
      <c r="A20" s="58"/>
      <c r="B20" s="64" t="s">
        <v>16</v>
      </c>
      <c r="C20" s="64" t="s">
        <v>25</v>
      </c>
      <c r="D20" s="87" t="s">
        <v>26</v>
      </c>
      <c r="E20" s="88"/>
      <c r="F20" s="89"/>
      <c r="G20" s="71" t="s">
        <v>27</v>
      </c>
      <c r="H20" s="90">
        <v>11765</v>
      </c>
      <c r="I20" s="91"/>
      <c r="J20" s="91"/>
      <c r="K20" s="92"/>
      <c r="L20" s="58" t="s">
        <v>56</v>
      </c>
      <c r="M20" s="121">
        <v>11765</v>
      </c>
      <c r="N20">
        <v>8040708</v>
      </c>
      <c r="O20" s="120" t="s">
        <v>68</v>
      </c>
      <c r="R20" s="62"/>
      <c r="S20" s="49"/>
      <c r="T20" s="57"/>
      <c r="U20" s="55"/>
      <c r="V20" s="56"/>
      <c r="W20" s="48"/>
    </row>
    <row r="21" spans="1:23" s="59" customFormat="1" ht="42.95" customHeight="1">
      <c r="A21" s="58"/>
      <c r="B21" s="64" t="s">
        <v>16</v>
      </c>
      <c r="C21" s="64" t="s">
        <v>25</v>
      </c>
      <c r="D21" s="87" t="s">
        <v>26</v>
      </c>
      <c r="E21" s="88"/>
      <c r="F21" s="89"/>
      <c r="G21" s="71" t="s">
        <v>27</v>
      </c>
      <c r="H21" s="90">
        <v>14788</v>
      </c>
      <c r="I21" s="91"/>
      <c r="J21" s="91"/>
      <c r="K21" s="92"/>
      <c r="L21" s="58" t="s">
        <v>56</v>
      </c>
      <c r="M21" s="122">
        <v>14788</v>
      </c>
      <c r="N21">
        <v>8040708</v>
      </c>
      <c r="O21" s="120" t="s">
        <v>68</v>
      </c>
      <c r="R21" s="62"/>
      <c r="S21" s="49"/>
      <c r="T21" s="57"/>
      <c r="U21" s="55"/>
      <c r="V21" s="56"/>
      <c r="W21" s="48"/>
    </row>
    <row r="22" spans="1:23" ht="42.95" customHeight="1">
      <c r="A22" s="58"/>
      <c r="B22" s="64" t="s">
        <v>16</v>
      </c>
      <c r="C22" s="64" t="s">
        <v>25</v>
      </c>
      <c r="D22" s="87" t="s">
        <v>26</v>
      </c>
      <c r="E22" s="88"/>
      <c r="F22" s="89"/>
      <c r="G22" s="71" t="s">
        <v>27</v>
      </c>
      <c r="H22" s="90">
        <v>14145</v>
      </c>
      <c r="I22" s="91"/>
      <c r="J22" s="91"/>
      <c r="K22" s="92"/>
      <c r="L22" s="58" t="s">
        <v>56</v>
      </c>
      <c r="M22" s="121">
        <v>14145</v>
      </c>
      <c r="N22">
        <v>8040708</v>
      </c>
      <c r="O22" s="120" t="s">
        <v>68</v>
      </c>
      <c r="R22" s="62"/>
      <c r="S22" s="49"/>
      <c r="T22" s="57"/>
      <c r="U22" s="55"/>
      <c r="V22" s="56"/>
      <c r="W22" s="48"/>
    </row>
    <row r="23" spans="1:23" ht="42.95" customHeight="1">
      <c r="A23" s="58"/>
      <c r="B23" s="64" t="s">
        <v>16</v>
      </c>
      <c r="C23" s="64" t="s">
        <v>28</v>
      </c>
      <c r="D23" s="87" t="s">
        <v>29</v>
      </c>
      <c r="E23" s="88"/>
      <c r="F23" s="89"/>
      <c r="G23" s="71" t="s">
        <v>27</v>
      </c>
      <c r="H23" s="90">
        <v>39300</v>
      </c>
      <c r="I23" s="91"/>
      <c r="J23" s="91"/>
      <c r="K23" s="92"/>
      <c r="L23" s="58" t="s">
        <v>57</v>
      </c>
      <c r="M23" s="121">
        <v>39300</v>
      </c>
      <c r="N23">
        <v>8051403</v>
      </c>
      <c r="O23" s="60" t="s">
        <v>69</v>
      </c>
      <c r="R23" s="62"/>
      <c r="S23" s="49"/>
      <c r="T23" s="57"/>
      <c r="U23" s="55"/>
      <c r="V23" s="56"/>
      <c r="W23" s="48"/>
    </row>
    <row r="24" spans="1:23" ht="42.95" customHeight="1">
      <c r="A24" s="58"/>
      <c r="B24" s="64" t="s">
        <v>16</v>
      </c>
      <c r="C24" s="64" t="s">
        <v>28</v>
      </c>
      <c r="D24" s="87" t="s">
        <v>30</v>
      </c>
      <c r="E24" s="88"/>
      <c r="F24" s="89"/>
      <c r="G24" s="71" t="s">
        <v>27</v>
      </c>
      <c r="H24" s="90">
        <v>17890</v>
      </c>
      <c r="I24" s="91"/>
      <c r="J24" s="91"/>
      <c r="K24" s="92"/>
      <c r="L24" s="58" t="s">
        <v>59</v>
      </c>
      <c r="M24" s="121">
        <v>17890</v>
      </c>
      <c r="N24" s="59">
        <v>8051416</v>
      </c>
      <c r="O24" s="60" t="s">
        <v>70</v>
      </c>
      <c r="R24" s="62"/>
      <c r="S24" s="49"/>
      <c r="T24" s="57"/>
      <c r="U24" s="55"/>
      <c r="V24" s="56"/>
      <c r="W24" s="48"/>
    </row>
    <row r="25" spans="1:23" s="59" customFormat="1" ht="42.95" customHeight="1">
      <c r="A25" s="58"/>
      <c r="B25" s="64" t="s">
        <v>16</v>
      </c>
      <c r="C25" s="64" t="s">
        <v>31</v>
      </c>
      <c r="D25" s="87" t="s">
        <v>32</v>
      </c>
      <c r="E25" s="88"/>
      <c r="F25" s="89"/>
      <c r="G25" s="71" t="s">
        <v>27</v>
      </c>
      <c r="H25" s="90">
        <v>101700</v>
      </c>
      <c r="I25" s="91"/>
      <c r="J25" s="91"/>
      <c r="K25" s="92"/>
      <c r="L25" s="58" t="s">
        <v>59</v>
      </c>
      <c r="M25" s="122">
        <v>101700</v>
      </c>
      <c r="N25" s="59">
        <v>8051416</v>
      </c>
      <c r="O25" s="60" t="s">
        <v>70</v>
      </c>
      <c r="P25" s="52"/>
      <c r="Q25" s="61"/>
      <c r="R25" s="62"/>
      <c r="S25" s="49"/>
      <c r="T25" s="57"/>
      <c r="U25" s="55"/>
      <c r="V25" s="56"/>
      <c r="W25" s="48"/>
    </row>
    <row r="26" spans="1:23" s="59" customFormat="1" ht="42.95" customHeight="1">
      <c r="A26" s="58"/>
      <c r="B26" s="64" t="s">
        <v>16</v>
      </c>
      <c r="C26" s="64" t="s">
        <v>33</v>
      </c>
      <c r="D26" s="87" t="s">
        <v>34</v>
      </c>
      <c r="E26" s="88"/>
      <c r="F26" s="89"/>
      <c r="G26" s="71" t="s">
        <v>27</v>
      </c>
      <c r="H26" s="90">
        <v>61700</v>
      </c>
      <c r="I26" s="91"/>
      <c r="J26" s="91"/>
      <c r="K26" s="92"/>
      <c r="L26" s="58" t="s">
        <v>58</v>
      </c>
      <c r="M26" s="122">
        <v>61700</v>
      </c>
      <c r="N26" s="59">
        <v>8051416</v>
      </c>
      <c r="O26" s="60" t="s">
        <v>70</v>
      </c>
      <c r="P26" s="52"/>
      <c r="Q26" s="61"/>
      <c r="R26" s="62"/>
      <c r="S26" s="49"/>
      <c r="T26" s="57"/>
      <c r="U26" s="55"/>
      <c r="V26" s="56"/>
      <c r="W26" s="48"/>
    </row>
    <row r="27" spans="1:23" s="59" customFormat="1" ht="42.95" customHeight="1">
      <c r="A27" s="58"/>
      <c r="B27" s="64" t="s">
        <v>16</v>
      </c>
      <c r="C27" s="64" t="s">
        <v>33</v>
      </c>
      <c r="D27" s="87" t="s">
        <v>35</v>
      </c>
      <c r="E27" s="88"/>
      <c r="F27" s="89"/>
      <c r="G27" s="71" t="s">
        <v>27</v>
      </c>
      <c r="H27" s="124">
        <v>11644</v>
      </c>
      <c r="I27" s="125"/>
      <c r="J27" s="125"/>
      <c r="K27" s="126"/>
      <c r="L27" s="58" t="s">
        <v>64</v>
      </c>
      <c r="M27" s="122">
        <v>11644</v>
      </c>
      <c r="N27">
        <v>3030101</v>
      </c>
      <c r="O27" t="s">
        <v>71</v>
      </c>
      <c r="P27" s="52"/>
      <c r="Q27" s="61"/>
      <c r="R27" s="62"/>
      <c r="S27" s="49"/>
      <c r="T27" s="57"/>
      <c r="U27" s="55"/>
      <c r="V27" s="56"/>
      <c r="W27" s="48"/>
    </row>
    <row r="28" spans="1:23" ht="42.95" customHeight="1">
      <c r="A28" s="58"/>
      <c r="B28" s="64" t="s">
        <v>16</v>
      </c>
      <c r="C28" s="64" t="s">
        <v>33</v>
      </c>
      <c r="D28" s="87" t="s">
        <v>36</v>
      </c>
      <c r="E28" s="88"/>
      <c r="F28" s="89"/>
      <c r="G28" s="71" t="s">
        <v>27</v>
      </c>
      <c r="H28" s="90">
        <v>55990</v>
      </c>
      <c r="I28" s="91"/>
      <c r="J28" s="91"/>
      <c r="K28" s="92"/>
      <c r="L28" s="58" t="s">
        <v>58</v>
      </c>
      <c r="M28" s="123">
        <v>55990</v>
      </c>
      <c r="N28" s="59">
        <v>8051416</v>
      </c>
      <c r="O28" s="60" t="s">
        <v>70</v>
      </c>
      <c r="P28" s="52"/>
      <c r="Q28" s="61"/>
      <c r="R28" s="62"/>
      <c r="S28" s="49"/>
      <c r="T28" s="57"/>
      <c r="U28" s="55"/>
      <c r="V28" s="56"/>
      <c r="W28" s="48"/>
    </row>
    <row r="29" spans="1:23" ht="42.95" customHeight="1">
      <c r="A29" s="58"/>
      <c r="B29" s="64" t="s">
        <v>16</v>
      </c>
      <c r="C29" s="64" t="s">
        <v>33</v>
      </c>
      <c r="D29" s="87" t="s">
        <v>35</v>
      </c>
      <c r="E29" s="88"/>
      <c r="F29" s="89"/>
      <c r="G29" s="71" t="s">
        <v>27</v>
      </c>
      <c r="H29" s="124">
        <v>61284</v>
      </c>
      <c r="I29" s="125"/>
      <c r="J29" s="125"/>
      <c r="K29" s="126"/>
      <c r="L29" s="58" t="s">
        <v>64</v>
      </c>
      <c r="M29" s="123">
        <v>61284</v>
      </c>
      <c r="N29">
        <v>3030101</v>
      </c>
      <c r="O29" t="s">
        <v>71</v>
      </c>
      <c r="P29" s="52"/>
      <c r="Q29" s="61"/>
      <c r="R29" s="62"/>
      <c r="S29" s="49"/>
      <c r="T29" s="57"/>
      <c r="U29" s="55"/>
      <c r="V29" s="56"/>
      <c r="W29" s="48"/>
    </row>
    <row r="30" spans="1:23" s="59" customFormat="1" ht="42.95" customHeight="1">
      <c r="A30" s="58"/>
      <c r="B30" s="64" t="s">
        <v>16</v>
      </c>
      <c r="C30" s="64" t="s">
        <v>37</v>
      </c>
      <c r="D30" s="87" t="s">
        <v>38</v>
      </c>
      <c r="E30" s="88"/>
      <c r="F30" s="89"/>
      <c r="G30" s="71" t="s">
        <v>27</v>
      </c>
      <c r="H30" s="90">
        <v>-981428</v>
      </c>
      <c r="I30" s="91"/>
      <c r="J30" s="91"/>
      <c r="K30" s="92"/>
      <c r="L30" s="58"/>
      <c r="N30" s="60"/>
      <c r="O30" s="54"/>
      <c r="P30" s="52"/>
      <c r="Q30" s="61"/>
      <c r="R30" s="62"/>
      <c r="S30" s="49"/>
      <c r="T30" s="57"/>
      <c r="U30" s="55"/>
      <c r="V30" s="56"/>
      <c r="W30" s="48"/>
    </row>
    <row r="31" spans="1:23" s="59" customFormat="1" ht="42.95" customHeight="1">
      <c r="A31" s="58"/>
      <c r="B31" s="64" t="s">
        <v>16</v>
      </c>
      <c r="C31" s="64" t="s">
        <v>39</v>
      </c>
      <c r="D31" s="87" t="s">
        <v>40</v>
      </c>
      <c r="E31" s="88"/>
      <c r="F31" s="89"/>
      <c r="G31" s="71" t="s">
        <v>27</v>
      </c>
      <c r="H31" s="90">
        <v>325418</v>
      </c>
      <c r="I31" s="91"/>
      <c r="J31" s="91"/>
      <c r="K31" s="92"/>
      <c r="L31" s="58" t="s">
        <v>65</v>
      </c>
      <c r="M31" s="122">
        <v>325418</v>
      </c>
      <c r="N31">
        <v>3030101</v>
      </c>
      <c r="O31" t="s">
        <v>71</v>
      </c>
      <c r="P31" s="52"/>
      <c r="Q31" s="61"/>
      <c r="R31" s="62"/>
      <c r="S31" s="49"/>
      <c r="T31" s="57"/>
      <c r="U31" s="55"/>
      <c r="V31" s="56"/>
      <c r="W31" s="48"/>
    </row>
    <row r="32" spans="1:23" s="59" customFormat="1" ht="42.95" customHeight="1">
      <c r="A32" s="58"/>
      <c r="B32" s="64" t="s">
        <v>16</v>
      </c>
      <c r="C32" s="64" t="s">
        <v>41</v>
      </c>
      <c r="D32" s="87" t="s">
        <v>42</v>
      </c>
      <c r="E32" s="88"/>
      <c r="F32" s="89"/>
      <c r="G32" s="71" t="s">
        <v>27</v>
      </c>
      <c r="H32" s="90">
        <v>110490</v>
      </c>
      <c r="I32" s="91"/>
      <c r="J32" s="91"/>
      <c r="K32" s="92"/>
      <c r="L32" s="58" t="s">
        <v>58</v>
      </c>
      <c r="M32" s="122">
        <v>110490</v>
      </c>
      <c r="N32" s="59">
        <v>8051416</v>
      </c>
      <c r="O32" s="60" t="s">
        <v>70</v>
      </c>
      <c r="P32" s="52"/>
      <c r="Q32" s="61"/>
      <c r="R32" s="62"/>
      <c r="S32" s="49"/>
      <c r="T32" s="57"/>
      <c r="U32" s="55"/>
      <c r="V32" s="56"/>
      <c r="W32" s="48"/>
    </row>
    <row r="33" spans="1:23" ht="42.95" customHeight="1">
      <c r="A33" s="58"/>
      <c r="B33" s="64" t="s">
        <v>16</v>
      </c>
      <c r="C33" s="64" t="s">
        <v>41</v>
      </c>
      <c r="D33" s="87" t="s">
        <v>43</v>
      </c>
      <c r="E33" s="88"/>
      <c r="F33" s="89"/>
      <c r="G33" s="71" t="s">
        <v>27</v>
      </c>
      <c r="H33" s="90">
        <v>42950</v>
      </c>
      <c r="I33" s="91"/>
      <c r="J33" s="91"/>
      <c r="K33" s="92"/>
      <c r="L33" s="58" t="s">
        <v>63</v>
      </c>
      <c r="M33" s="122">
        <v>42950</v>
      </c>
      <c r="N33" s="59">
        <v>8051416</v>
      </c>
      <c r="O33" s="60" t="s">
        <v>70</v>
      </c>
      <c r="P33" s="52"/>
      <c r="Q33" s="61"/>
      <c r="R33" s="62"/>
      <c r="S33" s="49"/>
      <c r="T33" s="57"/>
      <c r="U33" s="55"/>
      <c r="V33" s="56"/>
      <c r="W33" s="48"/>
    </row>
    <row r="34" spans="1:23" ht="42.95" customHeight="1">
      <c r="A34" s="58"/>
      <c r="B34" s="64" t="s">
        <v>16</v>
      </c>
      <c r="C34" s="64" t="s">
        <v>41</v>
      </c>
      <c r="D34" s="87" t="s">
        <v>34</v>
      </c>
      <c r="E34" s="88"/>
      <c r="F34" s="89"/>
      <c r="G34" s="71" t="s">
        <v>27</v>
      </c>
      <c r="H34" s="90">
        <v>40590</v>
      </c>
      <c r="I34" s="91"/>
      <c r="J34" s="91"/>
      <c r="K34" s="92"/>
      <c r="L34" s="58" t="s">
        <v>57</v>
      </c>
      <c r="M34" s="122">
        <v>40590</v>
      </c>
      <c r="N34">
        <v>8051403</v>
      </c>
      <c r="O34" s="60" t="s">
        <v>69</v>
      </c>
      <c r="P34" s="52"/>
      <c r="Q34" s="61"/>
      <c r="R34" s="62"/>
      <c r="S34" s="49"/>
      <c r="T34" s="57"/>
      <c r="U34" s="55"/>
      <c r="V34" s="56"/>
      <c r="W34" s="48"/>
    </row>
    <row r="35" spans="1:23" s="59" customFormat="1" ht="42.95" customHeight="1">
      <c r="A35" s="58"/>
      <c r="B35" s="64" t="s">
        <v>16</v>
      </c>
      <c r="C35" s="64" t="s">
        <v>41</v>
      </c>
      <c r="D35" s="87" t="s">
        <v>26</v>
      </c>
      <c r="E35" s="88"/>
      <c r="F35" s="89"/>
      <c r="G35" s="71" t="s">
        <v>27</v>
      </c>
      <c r="H35" s="90">
        <v>20040</v>
      </c>
      <c r="I35" s="91"/>
      <c r="J35" s="91"/>
      <c r="K35" s="92"/>
      <c r="L35" s="58" t="s">
        <v>56</v>
      </c>
      <c r="M35" s="122">
        <v>20040</v>
      </c>
      <c r="N35">
        <v>8040708</v>
      </c>
      <c r="O35" s="120" t="s">
        <v>68</v>
      </c>
      <c r="P35" s="52"/>
      <c r="Q35" s="61"/>
      <c r="R35" s="62"/>
      <c r="S35" s="49"/>
      <c r="T35" s="57"/>
      <c r="U35" s="55"/>
      <c r="V35" s="56"/>
      <c r="W35" s="48"/>
    </row>
    <row r="36" spans="1:23" s="59" customFormat="1" ht="42.95" customHeight="1">
      <c r="A36" s="58"/>
      <c r="B36" s="64" t="s">
        <v>16</v>
      </c>
      <c r="C36" s="64" t="s">
        <v>44</v>
      </c>
      <c r="D36" s="87" t="s">
        <v>26</v>
      </c>
      <c r="E36" s="88"/>
      <c r="F36" s="89"/>
      <c r="G36" s="71" t="s">
        <v>27</v>
      </c>
      <c r="H36" s="90">
        <v>18470</v>
      </c>
      <c r="I36" s="91"/>
      <c r="J36" s="91"/>
      <c r="K36" s="92"/>
      <c r="L36" s="58" t="s">
        <v>56</v>
      </c>
      <c r="M36" s="122">
        <v>18470</v>
      </c>
      <c r="N36">
        <v>8040708</v>
      </c>
      <c r="O36" s="120" t="s">
        <v>68</v>
      </c>
      <c r="P36" s="52"/>
      <c r="Q36" s="61"/>
      <c r="R36" s="62"/>
      <c r="S36" s="49"/>
      <c r="T36" s="57"/>
      <c r="U36" s="55"/>
      <c r="V36" s="56"/>
      <c r="W36" s="48"/>
    </row>
    <row r="37" spans="1:23" s="59" customFormat="1" ht="42.95" customHeight="1">
      <c r="A37" s="58"/>
      <c r="B37" s="64" t="s">
        <v>16</v>
      </c>
      <c r="C37" s="64" t="s">
        <v>44</v>
      </c>
      <c r="D37" s="87" t="s">
        <v>45</v>
      </c>
      <c r="E37" s="88"/>
      <c r="F37" s="89"/>
      <c r="G37" s="71" t="s">
        <v>27</v>
      </c>
      <c r="H37" s="90">
        <v>151661</v>
      </c>
      <c r="I37" s="91"/>
      <c r="J37" s="91"/>
      <c r="K37" s="92"/>
      <c r="L37" s="58" t="s">
        <v>61</v>
      </c>
      <c r="M37" s="122">
        <v>151661</v>
      </c>
      <c r="N37">
        <v>8040706</v>
      </c>
      <c r="O37" t="s">
        <v>72</v>
      </c>
      <c r="P37" s="52"/>
      <c r="Q37" s="61"/>
      <c r="R37" s="62"/>
      <c r="S37" s="49"/>
      <c r="T37" s="57"/>
      <c r="U37" s="55"/>
      <c r="V37" s="56"/>
      <c r="W37" s="48"/>
    </row>
    <row r="38" spans="1:23" ht="42.95" customHeight="1">
      <c r="A38" s="58"/>
      <c r="B38" s="64" t="s">
        <v>16</v>
      </c>
      <c r="C38" s="64" t="s">
        <v>46</v>
      </c>
      <c r="D38" s="87" t="s">
        <v>47</v>
      </c>
      <c r="E38" s="88"/>
      <c r="F38" s="89"/>
      <c r="G38" s="71" t="s">
        <v>27</v>
      </c>
      <c r="H38" s="90">
        <v>43170</v>
      </c>
      <c r="I38" s="91"/>
      <c r="J38" s="91"/>
      <c r="K38" s="92"/>
      <c r="L38" s="58" t="s">
        <v>57</v>
      </c>
      <c r="M38" s="122">
        <v>43170</v>
      </c>
      <c r="N38">
        <v>8051403</v>
      </c>
      <c r="O38" s="60" t="s">
        <v>69</v>
      </c>
      <c r="P38" s="52"/>
      <c r="Q38" s="61"/>
      <c r="R38" s="62"/>
      <c r="S38" s="49"/>
      <c r="T38" s="57"/>
      <c r="U38" s="55"/>
      <c r="V38" s="56"/>
      <c r="W38" s="48"/>
    </row>
    <row r="39" spans="1:23" ht="42.95" customHeight="1">
      <c r="A39" s="58"/>
      <c r="B39" s="64" t="s">
        <v>16</v>
      </c>
      <c r="C39" s="64" t="s">
        <v>46</v>
      </c>
      <c r="D39" s="87" t="s">
        <v>45</v>
      </c>
      <c r="E39" s="88"/>
      <c r="F39" s="89"/>
      <c r="G39" s="71" t="s">
        <v>27</v>
      </c>
      <c r="H39" s="90">
        <v>85000</v>
      </c>
      <c r="I39" s="91"/>
      <c r="J39" s="91"/>
      <c r="K39" s="92"/>
      <c r="L39" s="58" t="s">
        <v>62</v>
      </c>
      <c r="M39" s="122">
        <v>85000</v>
      </c>
      <c r="N39">
        <v>3030101</v>
      </c>
      <c r="O39" t="s">
        <v>71</v>
      </c>
      <c r="P39" s="52"/>
      <c r="Q39" s="61"/>
      <c r="R39" s="62"/>
      <c r="S39" s="49"/>
      <c r="T39" s="57"/>
      <c r="U39" s="55"/>
      <c r="V39" s="56"/>
      <c r="W39" s="48"/>
    </row>
    <row r="40" spans="1:23" ht="42.95" customHeight="1">
      <c r="A40" s="58"/>
      <c r="B40" s="64" t="s">
        <v>16</v>
      </c>
      <c r="C40" s="64" t="s">
        <v>48</v>
      </c>
      <c r="D40" s="87" t="s">
        <v>26</v>
      </c>
      <c r="E40" s="88"/>
      <c r="F40" s="89"/>
      <c r="G40" s="71" t="s">
        <v>27</v>
      </c>
      <c r="H40" s="90">
        <v>9516</v>
      </c>
      <c r="I40" s="91"/>
      <c r="J40" s="91"/>
      <c r="K40" s="92"/>
      <c r="L40" s="58" t="s">
        <v>60</v>
      </c>
      <c r="M40" s="122">
        <v>9516</v>
      </c>
      <c r="N40">
        <v>8040604</v>
      </c>
      <c r="O40" t="s">
        <v>73</v>
      </c>
      <c r="P40" s="52"/>
      <c r="Q40" s="61"/>
      <c r="R40" s="62"/>
      <c r="S40" s="49"/>
      <c r="T40" s="57"/>
      <c r="U40" s="55"/>
      <c r="V40" s="56"/>
      <c r="W40" s="48"/>
    </row>
    <row r="41" spans="1:23" ht="42.95" customHeight="1">
      <c r="A41" s="58"/>
      <c r="B41" s="64" t="s">
        <v>16</v>
      </c>
      <c r="C41" s="64" t="s">
        <v>48</v>
      </c>
      <c r="D41" s="87" t="s">
        <v>26</v>
      </c>
      <c r="E41" s="88"/>
      <c r="F41" s="89"/>
      <c r="G41" s="71" t="s">
        <v>27</v>
      </c>
      <c r="H41" s="90">
        <v>41693</v>
      </c>
      <c r="I41" s="91"/>
      <c r="J41" s="91"/>
      <c r="K41" s="92"/>
      <c r="L41" s="58" t="s">
        <v>66</v>
      </c>
      <c r="M41" s="59">
        <v>41693</v>
      </c>
      <c r="N41">
        <v>8040606</v>
      </c>
      <c r="O41" t="s">
        <v>74</v>
      </c>
      <c r="P41" s="52"/>
      <c r="Q41" s="61"/>
      <c r="R41" s="62"/>
      <c r="S41" s="49"/>
      <c r="T41" s="57"/>
      <c r="U41" s="55"/>
      <c r="V41" s="56"/>
      <c r="W41" s="48"/>
    </row>
    <row r="42" spans="1:23" ht="42.95" customHeight="1">
      <c r="A42" s="58"/>
      <c r="B42" s="64" t="s">
        <v>16</v>
      </c>
      <c r="C42" s="64" t="s">
        <v>48</v>
      </c>
      <c r="D42" s="87" t="s">
        <v>26</v>
      </c>
      <c r="E42" s="88"/>
      <c r="F42" s="89"/>
      <c r="G42" s="71" t="s">
        <v>27</v>
      </c>
      <c r="H42" s="90">
        <v>15763</v>
      </c>
      <c r="I42" s="91"/>
      <c r="J42" s="91"/>
      <c r="K42" s="92"/>
      <c r="L42" s="58" t="s">
        <v>66</v>
      </c>
      <c r="M42" s="59">
        <v>15763</v>
      </c>
      <c r="N42">
        <v>8040606</v>
      </c>
      <c r="O42" t="s">
        <v>74</v>
      </c>
      <c r="P42" s="52"/>
      <c r="Q42" s="61"/>
      <c r="R42" s="62"/>
      <c r="S42" s="49"/>
      <c r="T42" s="57"/>
      <c r="U42" s="55"/>
      <c r="V42" s="56"/>
      <c r="W42" s="48"/>
    </row>
    <row r="43" spans="1:23" ht="42.95" customHeight="1">
      <c r="A43" s="58"/>
      <c r="B43" s="64" t="s">
        <v>16</v>
      </c>
      <c r="C43" s="64" t="s">
        <v>48</v>
      </c>
      <c r="D43" s="87" t="s">
        <v>26</v>
      </c>
      <c r="E43" s="88"/>
      <c r="F43" s="89"/>
      <c r="G43" s="71" t="s">
        <v>27</v>
      </c>
      <c r="H43" s="90">
        <v>5000</v>
      </c>
      <c r="I43" s="91"/>
      <c r="J43" s="91"/>
      <c r="K43" s="92"/>
      <c r="L43" s="58" t="s">
        <v>60</v>
      </c>
      <c r="M43" s="122">
        <v>5000</v>
      </c>
      <c r="N43">
        <v>8040604</v>
      </c>
      <c r="O43" t="s">
        <v>73</v>
      </c>
      <c r="P43" s="52"/>
      <c r="Q43" s="61"/>
      <c r="R43" s="62"/>
      <c r="S43" s="49"/>
      <c r="T43" s="57"/>
      <c r="U43" s="55"/>
      <c r="V43" s="56"/>
      <c r="W43" s="48"/>
    </row>
    <row r="44" spans="1:23" ht="42.95" customHeight="1">
      <c r="A44" s="58"/>
      <c r="B44" s="64" t="s">
        <v>16</v>
      </c>
      <c r="C44" s="64" t="s">
        <v>48</v>
      </c>
      <c r="D44" s="87" t="s">
        <v>26</v>
      </c>
      <c r="E44" s="88"/>
      <c r="F44" s="89"/>
      <c r="G44" s="71" t="s">
        <v>27</v>
      </c>
      <c r="H44" s="90">
        <v>9528</v>
      </c>
      <c r="I44" s="91"/>
      <c r="J44" s="91"/>
      <c r="K44" s="92"/>
      <c r="L44" s="58" t="s">
        <v>60</v>
      </c>
      <c r="M44" s="122">
        <v>9528</v>
      </c>
      <c r="N44">
        <v>8040604</v>
      </c>
      <c r="O44" t="s">
        <v>73</v>
      </c>
      <c r="P44" s="52"/>
      <c r="Q44" s="61"/>
      <c r="R44" s="62"/>
      <c r="S44" s="49"/>
      <c r="T44" s="57"/>
      <c r="U44" s="55"/>
      <c r="V44" s="56"/>
      <c r="W44" s="48"/>
    </row>
    <row r="45" spans="1:23" ht="42.95" customHeight="1">
      <c r="A45" s="58"/>
      <c r="B45" s="64" t="s">
        <v>16</v>
      </c>
      <c r="C45" s="64" t="s">
        <v>48</v>
      </c>
      <c r="D45" s="87" t="s">
        <v>47</v>
      </c>
      <c r="E45" s="88"/>
      <c r="F45" s="89"/>
      <c r="G45" s="71" t="s">
        <v>27</v>
      </c>
      <c r="H45" s="90">
        <v>26085</v>
      </c>
      <c r="I45" s="91"/>
      <c r="J45" s="91"/>
      <c r="K45" s="92"/>
      <c r="L45" s="58" t="s">
        <v>57</v>
      </c>
      <c r="M45" s="122">
        <v>26085</v>
      </c>
      <c r="N45">
        <v>8051403</v>
      </c>
      <c r="O45" s="60" t="s">
        <v>69</v>
      </c>
      <c r="P45" s="52"/>
      <c r="Q45" s="61"/>
      <c r="R45" s="62"/>
      <c r="S45" s="49"/>
      <c r="T45" s="57"/>
      <c r="U45" s="55"/>
      <c r="V45" s="56"/>
      <c r="W45" s="48"/>
    </row>
    <row r="46" spans="1:23" ht="42.95" customHeight="1">
      <c r="A46" s="58"/>
      <c r="B46" s="64" t="s">
        <v>16</v>
      </c>
      <c r="C46" s="64" t="s">
        <v>48</v>
      </c>
      <c r="D46" s="87" t="s">
        <v>26</v>
      </c>
      <c r="E46" s="88"/>
      <c r="F46" s="89"/>
      <c r="G46" s="71" t="s">
        <v>27</v>
      </c>
      <c r="H46" s="90">
        <v>6000</v>
      </c>
      <c r="I46" s="91"/>
      <c r="J46" s="91"/>
      <c r="K46" s="92"/>
      <c r="L46" s="58" t="s">
        <v>56</v>
      </c>
      <c r="M46" s="122">
        <v>6000</v>
      </c>
      <c r="N46">
        <v>8040708</v>
      </c>
      <c r="O46" s="120" t="s">
        <v>68</v>
      </c>
      <c r="P46" s="52"/>
      <c r="Q46" s="61"/>
      <c r="R46" s="62"/>
      <c r="S46" s="49"/>
      <c r="T46" s="57"/>
      <c r="U46" s="55"/>
      <c r="V46" s="56"/>
      <c r="W46" s="48"/>
    </row>
    <row r="47" spans="1:23" ht="42.95" customHeight="1">
      <c r="A47" s="58"/>
      <c r="B47" s="64" t="s">
        <v>16</v>
      </c>
      <c r="C47" s="64" t="s">
        <v>48</v>
      </c>
      <c r="D47" s="87" t="s">
        <v>26</v>
      </c>
      <c r="E47" s="88"/>
      <c r="F47" s="89"/>
      <c r="G47" s="71" t="s">
        <v>27</v>
      </c>
      <c r="H47" s="90">
        <v>6000</v>
      </c>
      <c r="I47" s="91"/>
      <c r="J47" s="91"/>
      <c r="K47" s="92"/>
      <c r="L47" s="58" t="s">
        <v>56</v>
      </c>
      <c r="M47" s="122">
        <v>6000</v>
      </c>
      <c r="N47">
        <v>8040708</v>
      </c>
      <c r="O47" s="120" t="s">
        <v>68</v>
      </c>
      <c r="P47" s="52"/>
      <c r="Q47" s="61"/>
      <c r="R47" s="62"/>
      <c r="S47" s="49"/>
      <c r="T47" s="57"/>
      <c r="U47" s="55"/>
      <c r="V47" s="56"/>
      <c r="W47" s="48"/>
    </row>
    <row r="48" spans="1:23" ht="42.95" customHeight="1">
      <c r="A48" s="58"/>
      <c r="B48" s="64" t="s">
        <v>16</v>
      </c>
      <c r="C48" s="64" t="s">
        <v>49</v>
      </c>
      <c r="D48" s="87" t="s">
        <v>50</v>
      </c>
      <c r="E48" s="88"/>
      <c r="F48" s="89"/>
      <c r="G48" s="71" t="s">
        <v>27</v>
      </c>
      <c r="H48" s="90">
        <v>15980</v>
      </c>
      <c r="I48" s="91"/>
      <c r="J48" s="91"/>
      <c r="K48" s="92"/>
      <c r="L48" s="58" t="s">
        <v>57</v>
      </c>
      <c r="M48" s="122">
        <v>15980</v>
      </c>
      <c r="N48">
        <v>8051403</v>
      </c>
      <c r="O48" s="60" t="s">
        <v>69</v>
      </c>
      <c r="P48" s="52"/>
      <c r="Q48" s="61"/>
      <c r="R48" s="62"/>
      <c r="S48" s="49"/>
      <c r="T48" s="57"/>
      <c r="U48" s="55"/>
      <c r="V48" s="56"/>
      <c r="W48" s="48"/>
    </row>
    <row r="49" spans="1:23" ht="42.95" customHeight="1">
      <c r="A49" s="58"/>
      <c r="B49" s="64" t="s">
        <v>16</v>
      </c>
      <c r="C49" s="64" t="s">
        <v>49</v>
      </c>
      <c r="D49" s="87" t="s">
        <v>47</v>
      </c>
      <c r="E49" s="88"/>
      <c r="F49" s="89"/>
      <c r="G49" s="71" t="s">
        <v>27</v>
      </c>
      <c r="H49" s="90">
        <v>15793</v>
      </c>
      <c r="I49" s="91"/>
      <c r="J49" s="91"/>
      <c r="K49" s="92"/>
      <c r="L49" s="58" t="s">
        <v>57</v>
      </c>
      <c r="M49" s="122">
        <v>15793</v>
      </c>
      <c r="N49">
        <v>8051403</v>
      </c>
      <c r="O49" s="60" t="s">
        <v>69</v>
      </c>
      <c r="P49" s="52"/>
      <c r="Q49" s="61"/>
      <c r="R49" s="62"/>
      <c r="S49" s="49"/>
      <c r="T49" s="57"/>
      <c r="U49" s="55"/>
      <c r="V49" s="56"/>
      <c r="W49" s="48"/>
    </row>
    <row r="50" spans="1:23" ht="42.95" customHeight="1">
      <c r="A50" s="58"/>
      <c r="B50" s="64" t="s">
        <v>16</v>
      </c>
      <c r="C50" s="64" t="s">
        <v>49</v>
      </c>
      <c r="D50" s="87" t="s">
        <v>47</v>
      </c>
      <c r="E50" s="88"/>
      <c r="F50" s="89"/>
      <c r="G50" s="71" t="s">
        <v>27</v>
      </c>
      <c r="H50" s="90">
        <v>117976</v>
      </c>
      <c r="I50" s="91"/>
      <c r="J50" s="91"/>
      <c r="K50" s="92"/>
      <c r="L50" s="58" t="s">
        <v>57</v>
      </c>
      <c r="M50" s="122">
        <v>117976</v>
      </c>
      <c r="N50">
        <v>8051403</v>
      </c>
      <c r="O50" s="60" t="s">
        <v>69</v>
      </c>
      <c r="P50" s="52"/>
      <c r="Q50" s="61"/>
      <c r="R50" s="62"/>
      <c r="S50" s="49"/>
      <c r="T50" s="57"/>
      <c r="U50" s="55"/>
      <c r="V50" s="56"/>
      <c r="W50" s="48"/>
    </row>
    <row r="51" spans="1:23" ht="42.95" customHeight="1">
      <c r="A51" s="58"/>
      <c r="B51" s="64" t="s">
        <v>16</v>
      </c>
      <c r="C51" s="64" t="s">
        <v>49</v>
      </c>
      <c r="D51" s="87" t="s">
        <v>47</v>
      </c>
      <c r="E51" s="88"/>
      <c r="F51" s="89"/>
      <c r="G51" s="71" t="s">
        <v>27</v>
      </c>
      <c r="H51" s="90">
        <v>789</v>
      </c>
      <c r="I51" s="91"/>
      <c r="J51" s="91"/>
      <c r="K51" s="92"/>
      <c r="L51" s="58" t="s">
        <v>57</v>
      </c>
      <c r="M51" s="122">
        <v>789</v>
      </c>
      <c r="N51">
        <v>8051403</v>
      </c>
      <c r="O51" s="60" t="s">
        <v>69</v>
      </c>
      <c r="P51" s="52"/>
      <c r="Q51" s="61"/>
      <c r="R51" s="62"/>
      <c r="S51" s="49"/>
      <c r="T51" s="57"/>
      <c r="U51" s="55"/>
      <c r="V51" s="56"/>
      <c r="W51" s="48"/>
    </row>
    <row r="52" spans="1:23" ht="42.95" customHeight="1">
      <c r="A52" s="58"/>
      <c r="B52" s="64" t="s">
        <v>16</v>
      </c>
      <c r="C52" s="64" t="s">
        <v>51</v>
      </c>
      <c r="D52" s="87" t="s">
        <v>26</v>
      </c>
      <c r="E52" s="88"/>
      <c r="F52" s="89"/>
      <c r="G52" s="71" t="s">
        <v>27</v>
      </c>
      <c r="H52" s="90">
        <v>16906</v>
      </c>
      <c r="I52" s="91"/>
      <c r="J52" s="91"/>
      <c r="K52" s="92"/>
      <c r="L52" s="58" t="s">
        <v>56</v>
      </c>
      <c r="M52" s="122">
        <v>16906</v>
      </c>
      <c r="N52">
        <v>8040708</v>
      </c>
      <c r="O52" s="120" t="s">
        <v>68</v>
      </c>
      <c r="P52" s="52"/>
      <c r="Q52" s="61"/>
      <c r="R52" s="62"/>
      <c r="S52" s="49"/>
      <c r="T52" s="57"/>
      <c r="U52" s="55"/>
      <c r="V52" s="56"/>
      <c r="W52" s="48"/>
    </row>
    <row r="53" spans="1:23" ht="42.95" customHeight="1">
      <c r="A53" s="58"/>
      <c r="B53" s="64" t="s">
        <v>16</v>
      </c>
      <c r="C53" s="64" t="s">
        <v>51</v>
      </c>
      <c r="D53" s="87" t="s">
        <v>36</v>
      </c>
      <c r="E53" s="88"/>
      <c r="F53" s="89"/>
      <c r="G53" s="71" t="s">
        <v>27</v>
      </c>
      <c r="H53" s="90">
        <v>80980</v>
      </c>
      <c r="I53" s="91"/>
      <c r="J53" s="91"/>
      <c r="K53" s="92"/>
      <c r="L53" s="58" t="s">
        <v>58</v>
      </c>
      <c r="M53" s="122">
        <v>80980</v>
      </c>
      <c r="N53" s="59">
        <v>8051416</v>
      </c>
      <c r="O53" s="60" t="s">
        <v>70</v>
      </c>
      <c r="P53" s="52"/>
      <c r="Q53" s="61"/>
      <c r="R53" s="62"/>
      <c r="S53" s="49"/>
      <c r="T53" s="57"/>
      <c r="U53" s="55"/>
      <c r="V53" s="56"/>
      <c r="W53" s="48"/>
    </row>
    <row r="54" spans="1:23" ht="42.95" customHeight="1">
      <c r="A54" s="58"/>
      <c r="B54" s="64" t="s">
        <v>16</v>
      </c>
      <c r="C54" s="64" t="s">
        <v>51</v>
      </c>
      <c r="D54" s="87" t="s">
        <v>47</v>
      </c>
      <c r="E54" s="88"/>
      <c r="F54" s="89"/>
      <c r="G54" s="71" t="s">
        <v>27</v>
      </c>
      <c r="H54" s="90">
        <v>23602</v>
      </c>
      <c r="I54" s="91"/>
      <c r="J54" s="91"/>
      <c r="K54" s="92"/>
      <c r="L54" s="58" t="s">
        <v>57</v>
      </c>
      <c r="M54" s="122">
        <v>23602</v>
      </c>
      <c r="N54">
        <v>8051403</v>
      </c>
      <c r="O54" s="60" t="s">
        <v>69</v>
      </c>
      <c r="P54" s="52"/>
      <c r="Q54" s="61"/>
      <c r="R54" s="62"/>
      <c r="S54" s="49"/>
      <c r="T54" s="57"/>
      <c r="U54" s="55"/>
      <c r="V54" s="56"/>
      <c r="W54" s="48"/>
    </row>
    <row r="55" spans="1:23" ht="42.95" customHeight="1">
      <c r="A55" s="58"/>
      <c r="B55" s="64" t="s">
        <v>16</v>
      </c>
      <c r="C55" s="64" t="s">
        <v>51</v>
      </c>
      <c r="D55" s="87" t="s">
        <v>52</v>
      </c>
      <c r="E55" s="88"/>
      <c r="F55" s="89"/>
      <c r="G55" s="71" t="s">
        <v>27</v>
      </c>
      <c r="H55" s="90">
        <v>68640</v>
      </c>
      <c r="I55" s="91"/>
      <c r="J55" s="91"/>
      <c r="K55" s="92"/>
      <c r="L55" s="58" t="s">
        <v>57</v>
      </c>
      <c r="M55" s="122">
        <v>68640</v>
      </c>
      <c r="N55">
        <v>8051403</v>
      </c>
      <c r="O55" s="60" t="s">
        <v>69</v>
      </c>
      <c r="P55" s="52"/>
      <c r="Q55" s="61"/>
      <c r="R55" s="62"/>
      <c r="S55" s="49"/>
      <c r="T55" s="57"/>
      <c r="U55" s="55"/>
      <c r="V55" s="56"/>
      <c r="W55" s="48"/>
    </row>
    <row r="56" spans="1:23" ht="42.95" customHeight="1">
      <c r="A56" s="58"/>
      <c r="B56" s="64" t="s">
        <v>16</v>
      </c>
      <c r="C56" s="64" t="s">
        <v>53</v>
      </c>
      <c r="D56" s="87" t="s">
        <v>36</v>
      </c>
      <c r="E56" s="88"/>
      <c r="F56" s="89"/>
      <c r="G56" s="71" t="s">
        <v>27</v>
      </c>
      <c r="H56" s="90">
        <v>100950</v>
      </c>
      <c r="I56" s="91"/>
      <c r="J56" s="91"/>
      <c r="K56" s="92"/>
      <c r="L56" s="58" t="s">
        <v>67</v>
      </c>
      <c r="M56" s="122">
        <v>100950</v>
      </c>
      <c r="N56" s="59">
        <v>8051416</v>
      </c>
      <c r="O56" s="60" t="s">
        <v>70</v>
      </c>
      <c r="P56" s="52"/>
      <c r="Q56" s="61"/>
      <c r="R56" s="62"/>
      <c r="S56" s="49"/>
      <c r="T56" s="57"/>
      <c r="U56" s="55"/>
      <c r="V56" s="56"/>
      <c r="W56" s="48"/>
    </row>
    <row r="57" spans="1:23" ht="42.95" customHeight="1">
      <c r="A57" s="58"/>
      <c r="B57" s="64" t="s">
        <v>16</v>
      </c>
      <c r="C57" s="64" t="s">
        <v>53</v>
      </c>
      <c r="D57" s="87" t="s">
        <v>50</v>
      </c>
      <c r="E57" s="88"/>
      <c r="F57" s="89"/>
      <c r="G57" s="71" t="s">
        <v>27</v>
      </c>
      <c r="H57" s="90">
        <v>47960</v>
      </c>
      <c r="I57" s="91"/>
      <c r="J57" s="91"/>
      <c r="K57" s="92"/>
      <c r="L57" s="58" t="s">
        <v>57</v>
      </c>
      <c r="M57" s="122">
        <v>47960</v>
      </c>
      <c r="N57">
        <v>8051403</v>
      </c>
      <c r="O57" s="60" t="s">
        <v>69</v>
      </c>
      <c r="P57" s="52"/>
      <c r="Q57" s="61"/>
      <c r="R57" s="62"/>
      <c r="S57" s="49"/>
      <c r="T57" s="57"/>
      <c r="U57" s="55"/>
      <c r="V57" s="56"/>
      <c r="W57" s="48"/>
    </row>
    <row r="58" spans="1:23" ht="42.95" customHeight="1">
      <c r="A58" s="58"/>
      <c r="B58" s="64" t="s">
        <v>16</v>
      </c>
      <c r="C58" s="64" t="s">
        <v>53</v>
      </c>
      <c r="D58" s="87" t="s">
        <v>54</v>
      </c>
      <c r="E58" s="88"/>
      <c r="F58" s="89"/>
      <c r="G58" s="71" t="s">
        <v>27</v>
      </c>
      <c r="H58" s="90">
        <v>20800</v>
      </c>
      <c r="I58" s="91"/>
      <c r="J58" s="91"/>
      <c r="K58" s="92"/>
      <c r="L58" s="58" t="s">
        <v>57</v>
      </c>
      <c r="M58" s="122">
        <v>20800</v>
      </c>
      <c r="N58">
        <v>8051403</v>
      </c>
      <c r="O58" s="60" t="s">
        <v>69</v>
      </c>
      <c r="P58" s="52"/>
      <c r="Q58" s="61"/>
      <c r="R58" s="62"/>
      <c r="S58" s="49"/>
      <c r="T58" s="57"/>
      <c r="U58" s="55"/>
      <c r="V58" s="56"/>
      <c r="W58" s="48"/>
    </row>
    <row r="59" spans="1:23" ht="42.95" customHeight="1">
      <c r="A59" s="58"/>
      <c r="B59" s="64" t="s">
        <v>17</v>
      </c>
      <c r="C59" s="64" t="s">
        <v>23</v>
      </c>
      <c r="D59" s="87" t="s">
        <v>55</v>
      </c>
      <c r="E59" s="88"/>
      <c r="F59" s="89"/>
      <c r="G59" s="71" t="s">
        <v>27</v>
      </c>
      <c r="H59" s="90">
        <v>3919</v>
      </c>
      <c r="I59" s="91"/>
      <c r="J59" s="91"/>
      <c r="K59" s="92"/>
      <c r="L59" s="58"/>
      <c r="M59" s="122">
        <v>3919</v>
      </c>
      <c r="N59">
        <v>3030101</v>
      </c>
      <c r="O59" t="s">
        <v>71</v>
      </c>
      <c r="P59" s="52"/>
      <c r="Q59" s="61"/>
      <c r="R59" s="62"/>
      <c r="S59" s="49"/>
      <c r="T59" s="57"/>
      <c r="U59" s="55"/>
      <c r="V59" s="56"/>
      <c r="W59" s="48"/>
    </row>
    <row r="60" spans="1:23" ht="15" customHeight="1">
      <c r="B60" s="8"/>
      <c r="C60" s="8"/>
      <c r="D60" s="8"/>
      <c r="E60" s="8"/>
      <c r="F60" s="8"/>
      <c r="G60" s="8"/>
      <c r="H60" s="8"/>
      <c r="I60" s="8"/>
      <c r="J60" s="8"/>
      <c r="K60" s="8"/>
    </row>
    <row r="61" spans="1:23" ht="15" customHeight="1">
      <c r="A61" s="9"/>
      <c r="B61" s="80"/>
      <c r="C61" s="81"/>
      <c r="D61" s="81"/>
      <c r="E61" s="81"/>
      <c r="F61" s="81"/>
      <c r="G61" s="81"/>
      <c r="H61" s="81"/>
      <c r="I61" s="81"/>
      <c r="J61" s="81"/>
      <c r="K61" s="81"/>
      <c r="L61" s="9"/>
    </row>
    <row r="62" spans="1:23" ht="15" customHeight="1">
      <c r="A62" s="20"/>
      <c r="B62" s="40"/>
      <c r="C62" s="41"/>
      <c r="D62" s="41"/>
      <c r="E62" s="41"/>
      <c r="F62" s="41"/>
      <c r="G62" s="41"/>
      <c r="H62" s="41"/>
      <c r="I62" s="41"/>
      <c r="J62" s="41"/>
      <c r="K62" s="41"/>
      <c r="L62" s="9"/>
    </row>
    <row r="63" spans="1:23" ht="26.25" customHeight="1">
      <c r="A63" s="10"/>
      <c r="B63" s="28"/>
      <c r="C63" s="30"/>
      <c r="D63" s="83"/>
      <c r="E63" s="83"/>
      <c r="F63" s="83"/>
      <c r="G63" s="83"/>
      <c r="H63" s="83"/>
      <c r="I63" s="83"/>
      <c r="J63" s="83"/>
      <c r="K63" s="82"/>
      <c r="L63" s="9"/>
    </row>
    <row r="64" spans="1:23" ht="13.5" customHeight="1">
      <c r="A64" s="10"/>
      <c r="B64" s="42"/>
      <c r="C64" s="43"/>
      <c r="D64" s="84"/>
      <c r="E64" s="84"/>
      <c r="F64" s="84"/>
      <c r="G64" s="84"/>
      <c r="H64" s="84"/>
      <c r="I64" s="84"/>
      <c r="J64" s="84"/>
      <c r="K64" s="25"/>
      <c r="L64" s="9"/>
    </row>
    <row r="65" spans="1:12" ht="23.25" customHeight="1">
      <c r="A65" s="8"/>
      <c r="B65" s="44"/>
      <c r="C65" s="44"/>
      <c r="D65" s="85"/>
      <c r="E65" s="85"/>
      <c r="F65" s="85"/>
      <c r="G65" s="85"/>
      <c r="H65" s="85"/>
      <c r="I65" s="85"/>
      <c r="J65" s="86"/>
      <c r="K65" s="24"/>
      <c r="L65" s="9"/>
    </row>
    <row r="66" spans="1:12" ht="15" customHeight="1">
      <c r="A66" s="6"/>
      <c r="B66" s="12"/>
      <c r="C66" s="12"/>
      <c r="D66" s="14"/>
      <c r="E66" s="19"/>
      <c r="F66" s="14"/>
      <c r="G66" s="14"/>
      <c r="H66" s="14"/>
      <c r="I66" s="14"/>
      <c r="J66" s="14"/>
      <c r="K66" s="23"/>
      <c r="L66" s="9"/>
    </row>
    <row r="67" spans="1:12" ht="29.25" customHeight="1">
      <c r="A67" s="18"/>
      <c r="C67" s="3"/>
      <c r="E67" s="2"/>
      <c r="G67" s="4"/>
      <c r="H67" s="4"/>
      <c r="I67" s="4"/>
      <c r="J67" s="4"/>
      <c r="K67" s="3"/>
      <c r="L67" s="1"/>
    </row>
    <row r="68" spans="1:12" ht="15" customHeight="1">
      <c r="A68" s="3"/>
    </row>
    <row r="69" spans="1:12" ht="21" customHeight="1"/>
    <row r="70" spans="1:12" ht="15" customHeight="1"/>
    <row r="71" spans="1:12" ht="15" customHeight="1"/>
    <row r="72" spans="1:12" ht="24" customHeight="1"/>
    <row r="73" spans="1:12" ht="15" customHeight="1"/>
    <row r="74" spans="1:12" ht="15" customHeight="1"/>
    <row r="75" spans="1:12" ht="15" customHeight="1"/>
    <row r="76" spans="1:12" ht="15" customHeight="1"/>
    <row r="77" spans="1:12" ht="26.25" customHeight="1"/>
    <row r="78" spans="1:12" ht="23.25" customHeight="1"/>
    <row r="79" spans="1:12" ht="23.25" customHeight="1"/>
    <row r="80" spans="1:12" ht="15" customHeight="1"/>
    <row r="81" ht="29.25" customHeight="1"/>
    <row r="82" ht="15" customHeight="1"/>
    <row r="83" ht="21" customHeight="1"/>
    <row r="84" ht="15" customHeight="1"/>
    <row r="85" ht="15" customHeight="1"/>
    <row r="86" ht="24" customHeight="1"/>
    <row r="87" ht="15" customHeight="1"/>
    <row r="88" ht="15" customHeight="1"/>
    <row r="89" ht="15" customHeight="1"/>
    <row r="90" ht="15" customHeight="1"/>
    <row r="91" ht="26.25" customHeight="1"/>
    <row r="92" ht="23.25" customHeight="1"/>
    <row r="93" ht="23.25" customHeight="1"/>
    <row r="94" ht="15" customHeight="1"/>
    <row r="95" ht="29.25" customHeight="1"/>
    <row r="96" ht="15" customHeight="1"/>
    <row r="97" ht="21" customHeight="1"/>
    <row r="98" ht="15" customHeight="1"/>
    <row r="99" ht="15" customHeight="1"/>
    <row r="100" ht="24" customHeight="1"/>
    <row r="101" ht="15" customHeight="1"/>
    <row r="102" ht="15" customHeight="1"/>
    <row r="103" ht="15" customHeight="1"/>
    <row r="104" ht="15" customHeight="1"/>
    <row r="105" ht="18.75" customHeight="1"/>
    <row r="106" ht="20.25" customHeight="1"/>
    <row r="107" ht="19.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</sheetData>
  <mergeCells count="97">
    <mergeCell ref="J16:K16"/>
    <mergeCell ref="H19:K19"/>
    <mergeCell ref="D19:F19"/>
    <mergeCell ref="B18:E18"/>
    <mergeCell ref="F18:I18"/>
    <mergeCell ref="J18:K18"/>
    <mergeCell ref="B16:C16"/>
    <mergeCell ref="D15:E15"/>
    <mergeCell ref="D16:E16"/>
    <mergeCell ref="F15:G15"/>
    <mergeCell ref="F16:G16"/>
    <mergeCell ref="B14:E14"/>
    <mergeCell ref="B15:C15"/>
    <mergeCell ref="B6:E6"/>
    <mergeCell ref="G9:K9"/>
    <mergeCell ref="G8:J8"/>
    <mergeCell ref="J15:K15"/>
    <mergeCell ref="H20:K20"/>
    <mergeCell ref="D20:F20"/>
    <mergeCell ref="D21:F21"/>
    <mergeCell ref="H21:K21"/>
    <mergeCell ref="D22:F22"/>
    <mergeCell ref="H22:K22"/>
    <mergeCell ref="D23:F23"/>
    <mergeCell ref="H23:K23"/>
    <mergeCell ref="D24:F24"/>
    <mergeCell ref="H24:K24"/>
    <mergeCell ref="D25:F25"/>
    <mergeCell ref="H25:K25"/>
    <mergeCell ref="D26:F26"/>
    <mergeCell ref="H26:K26"/>
    <mergeCell ref="D27:F27"/>
    <mergeCell ref="H27:K27"/>
    <mergeCell ref="D28:F28"/>
    <mergeCell ref="H28:K28"/>
    <mergeCell ref="D29:F29"/>
    <mergeCell ref="H29:K29"/>
    <mergeCell ref="D30:F30"/>
    <mergeCell ref="H30:K30"/>
    <mergeCell ref="D31:F31"/>
    <mergeCell ref="H31:K31"/>
    <mergeCell ref="D32:F32"/>
    <mergeCell ref="H32:K32"/>
    <mergeCell ref="D33:F33"/>
    <mergeCell ref="H33:K33"/>
    <mergeCell ref="D34:F34"/>
    <mergeCell ref="H34:K34"/>
    <mergeCell ref="D35:F35"/>
    <mergeCell ref="H35:K35"/>
    <mergeCell ref="D36:F36"/>
    <mergeCell ref="H36:K36"/>
    <mergeCell ref="D37:F37"/>
    <mergeCell ref="H37:K37"/>
    <mergeCell ref="D38:F38"/>
    <mergeCell ref="H38:K38"/>
    <mergeCell ref="D39:F39"/>
    <mergeCell ref="H39:K39"/>
    <mergeCell ref="D40:F40"/>
    <mergeCell ref="H40:K40"/>
    <mergeCell ref="D41:F41"/>
    <mergeCell ref="H41:K41"/>
    <mergeCell ref="D42:F42"/>
    <mergeCell ref="H42:K42"/>
    <mergeCell ref="D43:F43"/>
    <mergeCell ref="H43:K43"/>
    <mergeCell ref="D44:F44"/>
    <mergeCell ref="H44:K44"/>
    <mergeCell ref="D45:F45"/>
    <mergeCell ref="H45:K45"/>
    <mergeCell ref="D46:F46"/>
    <mergeCell ref="H46:K46"/>
    <mergeCell ref="D47:F47"/>
    <mergeCell ref="H47:K47"/>
    <mergeCell ref="D48:F48"/>
    <mergeCell ref="H48:K48"/>
    <mergeCell ref="D49:F49"/>
    <mergeCell ref="H49:K49"/>
    <mergeCell ref="D50:F50"/>
    <mergeCell ref="H50:K50"/>
    <mergeCell ref="D51:F51"/>
    <mergeCell ref="H51:K51"/>
    <mergeCell ref="D52:F52"/>
    <mergeCell ref="H52:K52"/>
    <mergeCell ref="D53:F53"/>
    <mergeCell ref="H53:K53"/>
    <mergeCell ref="D54:F54"/>
    <mergeCell ref="H54:K54"/>
    <mergeCell ref="D55:F55"/>
    <mergeCell ref="H55:K55"/>
    <mergeCell ref="D59:F59"/>
    <mergeCell ref="H59:K59"/>
    <mergeCell ref="D56:F56"/>
    <mergeCell ref="H56:K56"/>
    <mergeCell ref="D57:F57"/>
    <mergeCell ref="H57:K57"/>
    <mergeCell ref="D58:F58"/>
    <mergeCell ref="H58:K58"/>
  </mergeCells>
  <pageMargins left="0.23622047244094491" right="0.23622047244094491" top="0.74803149606299213" bottom="0.74803149606299213" header="0.31496062992125984" footer="0.31496062992125984"/>
  <pageSetup scale="50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B9C7F-E9DB-443B-9FFF-E01F47A0DFF6}">
  <sheetPr codeName="Hoja2"/>
  <dimension ref="A1"/>
  <sheetViews>
    <sheetView workbookViewId="0"/>
  </sheetViews>
  <sheetFormatPr baseColWidth="10" defaultRowHeight="15"/>
  <sheetData/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9983-A1C9-402D-B97B-81D2AAC0F994}">
  <sheetPr codeName="Hoja3"/>
  <dimension ref="A1"/>
  <sheetViews>
    <sheetView workbookViewId="0">
      <selection activeCell="D9" sqref="D9"/>
    </sheetView>
  </sheetViews>
  <sheetFormatPr baseColWidth="10" defaultRowHeight="15"/>
  <sheetData/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d745ab360262bb857df02af1a33bfe20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eb64c9e94d6b2a91590b4df7037309e8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A281BA-0A86-477F-A9E0-4701C89E644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2.xml><?xml version="1.0" encoding="utf-8"?>
<ds:datastoreItem xmlns:ds="http://schemas.openxmlformats.org/officeDocument/2006/customXml" ds:itemID="{145B5A04-0836-4882-95F7-F8E1374BAE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F3536E-62D1-4F29-A1A8-2E6619F466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Company>Banco de Chile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Carolina Cabrera</cp:lastModifiedBy>
  <cp:lastPrinted>2015-05-26T20:16:05Z</cp:lastPrinted>
  <dcterms:created xsi:type="dcterms:W3CDTF">2015-01-02T18:12:30Z</dcterms:created>
  <dcterms:modified xsi:type="dcterms:W3CDTF">2025-08-28T21:17:58Z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