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jul/"/>
    </mc:Choice>
  </mc:AlternateContent>
  <xr:revisionPtr revIDLastSave="19" documentId="8_{1A0E6DBE-7477-463E-B276-9347E0A85C0E}" xr6:coauthVersionLast="47" xr6:coauthVersionMax="47" xr10:uidLastSave="{5E4F6664-F1F5-4877-801E-FD0D8EADE25A}"/>
  <bookViews>
    <workbookView xWindow="-28785" yWindow="4305" windowWidth="29130" windowHeight="9735" xr2:uid="{050E1169-DAEC-47ED-8D0B-E99D2FFF1A42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12" i="1"/>
  <c r="P10" i="1"/>
  <c r="P14" i="1" l="1"/>
</calcChain>
</file>

<file path=xl/sharedStrings.xml><?xml version="1.0" encoding="utf-8"?>
<sst xmlns="http://schemas.openxmlformats.org/spreadsheetml/2006/main" count="77" uniqueCount="42">
  <si>
    <t>Fecha</t>
  </si>
  <si>
    <t>Descripción</t>
  </si>
  <si>
    <t>Tipo de Tarjeta:</t>
  </si>
  <si>
    <t>Cuotas</t>
  </si>
  <si>
    <t>Montos</t>
  </si>
  <si>
    <t>Movimientos Nacionales</t>
  </si>
  <si>
    <t>Categoría</t>
  </si>
  <si>
    <t>Moneda:</t>
  </si>
  <si>
    <t>Pesos Chilenos (CLP)</t>
  </si>
  <si>
    <t>Nombre Empresa:</t>
  </si>
  <si>
    <t>Rut:</t>
  </si>
  <si>
    <t xml:space="preserve">Sr(a).: </t>
  </si>
  <si>
    <t>Monto Facturado</t>
  </si>
  <si>
    <t>Pago Mínimo</t>
  </si>
  <si>
    <t>Fecha  de Facturación</t>
  </si>
  <si>
    <t>Pagar Hasta</t>
  </si>
  <si>
    <t>Total de Pagos, Compras, Cuotas y Avance</t>
  </si>
  <si>
    <t>Total Cargos, Comisiones, Impuestos y Abonos</t>
  </si>
  <si>
    <r>
      <rPr>
        <b/>
        <sz val="20"/>
        <color indexed="8"/>
        <rFont val="Arial"/>
        <family val="2"/>
      </rPr>
      <t>Movimientos Facturados</t>
    </r>
    <r>
      <rPr>
        <b/>
        <sz val="18"/>
        <color indexed="8"/>
        <rFont val="Arial"/>
        <family val="2"/>
      </rPr>
      <t/>
    </r>
  </si>
  <si>
    <t>CARVALLO J. JUAN</t>
  </si>
  <si>
    <t>Deswik Chile SpA</t>
  </si>
  <si>
    <t>76388284-5</t>
  </si>
  <si>
    <t>Mastercard Corporate Estandar ****1225</t>
  </si>
  <si>
    <t>29/07/2025</t>
  </si>
  <si>
    <t>27/08/2025</t>
  </si>
  <si>
    <t>25/07/2025</t>
  </si>
  <si>
    <t>COPEMSA SUR SPA SANTIAGO</t>
  </si>
  <si>
    <t>01/01</t>
  </si>
  <si>
    <t>24/07/2025</t>
  </si>
  <si>
    <t>RESTAURANT HOTEL CHAGA COPIAPO</t>
  </si>
  <si>
    <t>MERCADOPAGO *DESERTQ Las Condes</t>
  </si>
  <si>
    <t>21/07/2025</t>
  </si>
  <si>
    <t>NEW ARRIVALS ATACAMA COPIAPO</t>
  </si>
  <si>
    <t>10/07/2025</t>
  </si>
  <si>
    <t>07/07/2025</t>
  </si>
  <si>
    <t>TUU*REMOTOBIRRAS PUDAHUEL</t>
  </si>
  <si>
    <t>MARIA ISABEL MONCADA COPIAPO</t>
  </si>
  <si>
    <t>COMISION MENSUAL POR MANTENCION</t>
  </si>
  <si>
    <t>GL6012 - Bank fee</t>
  </si>
  <si>
    <t>GL5021 - Expense Recoverable</t>
  </si>
  <si>
    <t>GASTOS BANCARIOS CLP</t>
  </si>
  <si>
    <t>GASTOS RECUPERABLES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</si>
</sst>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antiago, &quot;dd\ mmmm\ yyyy"/>
    <numFmt numFmtId="165" formatCode="&quot;$&quot;\ #,##0"/>
    <numFmt numFmtId="166" formatCode="dd\/mm\/yyyy"/>
  </numFmts>
  <fonts count="27">
    <font>
      <sz val="11"/>
      <color theme="1"/>
      <name val="Calibri"/>
      <family val="2"/>
      <scheme val="minor"/>
    </font>
    <font>
      <sz val="11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8"/>
      <color indexed="8"/>
      <name val="Arial"/>
      <family val="2"/>
    </font>
    <font>
      <b/>
      <sz val="2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 tint="0.14999847407452621"/>
      <name val="Arial"/>
      <family val="2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b/>
      <sz val="11"/>
      <color theme="0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6"/>
      <color theme="0" tint="-0.34998626667073579"/>
      <name val="Arial"/>
      <family val="2"/>
    </font>
    <font>
      <sz val="10"/>
      <color theme="1"/>
      <name val="Arial Unicode MS"/>
      <family val="2"/>
    </font>
    <font>
      <sz val="20"/>
      <color theme="1"/>
      <name val="Arial"/>
      <family val="2"/>
    </font>
    <font>
      <b/>
      <sz val="20"/>
      <color theme="1" tint="0.1499984740745262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333333"/>
        <bgColor indexed="64"/>
      </patternFill>
    </fill>
  </fills>
  <borders count="3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 tint="-0.14999847407452621"/>
      </left>
      <right/>
      <top/>
      <bottom/>
      <diagonal/>
    </border>
    <border diagonalDown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medium">
        <color theme="0" tint="-0.14999847407452621"/>
      </top>
      <bottom/>
      <diagonal/>
    </border>
    <border>
      <left/>
      <right/>
      <top/>
      <bottom style="medium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6" fillId="2" borderId="1" applyNumberFormat="0" applyFont="0" applyAlignment="0" applyProtection="0"/>
  </cellStyleXfs>
  <cellXfs count="1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0" xfId="0" applyFill="1"/>
    <xf numFmtId="14" fontId="0" fillId="0" borderId="0" xfId="0" applyNumberFormat="1"/>
    <xf numFmtId="0" fontId="8" fillId="3" borderId="0" xfId="0" applyFont="1" applyFill="1" applyAlignment="1">
      <alignment vertical="center" wrapText="1"/>
    </xf>
    <xf numFmtId="0" fontId="9" fillId="0" borderId="6" xfId="0" applyFont="1" applyBorder="1"/>
    <xf numFmtId="0" fontId="10" fillId="0" borderId="12" xfId="0" applyFont="1" applyBorder="1" applyAlignment="1">
      <alignment horizontal="left"/>
    </xf>
    <xf numFmtId="0" fontId="9" fillId="0" borderId="0" xfId="0" applyFont="1"/>
    <xf numFmtId="0" fontId="0" fillId="0" borderId="13" xfId="0" applyBorder="1"/>
    <xf numFmtId="0" fontId="8" fillId="3" borderId="7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0" fillId="0" borderId="16" xfId="0" applyFont="1" applyBorder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11" fillId="0" borderId="9" xfId="0" applyFont="1" applyBorder="1"/>
    <xf numFmtId="0" fontId="11" fillId="0" borderId="11" xfId="0" applyFont="1" applyBorder="1"/>
    <xf numFmtId="0" fontId="11" fillId="0" borderId="2" xfId="0" applyFont="1" applyBorder="1"/>
    <xf numFmtId="0" fontId="11" fillId="0" borderId="12" xfId="0" applyFont="1" applyBorder="1"/>
    <xf numFmtId="0" fontId="11" fillId="0" borderId="17" xfId="0" applyFont="1" applyBorder="1"/>
    <xf numFmtId="0" fontId="11" fillId="0" borderId="8" xfId="0" applyFont="1" applyBorder="1"/>
    <xf numFmtId="0" fontId="11" fillId="0" borderId="0" xfId="0" applyFont="1"/>
    <xf numFmtId="164" fontId="12" fillId="0" borderId="9" xfId="0" applyNumberFormat="1" applyFont="1" applyBorder="1"/>
    <xf numFmtId="20" fontId="13" fillId="0" borderId="9" xfId="0" applyNumberFormat="1" applyFont="1" applyBorder="1"/>
    <xf numFmtId="0" fontId="11" fillId="0" borderId="6" xfId="0" applyFont="1" applyBorder="1"/>
    <xf numFmtId="0" fontId="13" fillId="0" borderId="9" xfId="0" applyFont="1" applyBorder="1"/>
    <xf numFmtId="0" fontId="14" fillId="0" borderId="7" xfId="1" applyFont="1" applyBorder="1"/>
    <xf numFmtId="0" fontId="15" fillId="0" borderId="17" xfId="0" applyFont="1" applyBorder="1"/>
    <xf numFmtId="0" fontId="11" fillId="0" borderId="3" xfId="0" applyFont="1" applyBorder="1"/>
    <xf numFmtId="0" fontId="11" fillId="0" borderId="13" xfId="0" applyFont="1" applyBorder="1"/>
    <xf numFmtId="0" fontId="16" fillId="4" borderId="18" xfId="0" applyFont="1" applyFill="1" applyBorder="1" applyAlignment="1">
      <alignment horizontal="left" vertical="center" indent="1"/>
    </xf>
    <xf numFmtId="0" fontId="11" fillId="3" borderId="0" xfId="0" applyFont="1" applyFill="1"/>
    <xf numFmtId="0" fontId="17" fillId="3" borderId="0" xfId="0" applyFont="1" applyFill="1" applyAlignment="1">
      <alignment horizontal="center" vertical="center"/>
    </xf>
    <xf numFmtId="0" fontId="18" fillId="3" borderId="4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9" fillId="0" borderId="3" xfId="0" applyFont="1" applyBorder="1"/>
    <xf numFmtId="0" fontId="16" fillId="4" borderId="19" xfId="0" applyFont="1" applyFill="1" applyBorder="1" applyAlignment="1">
      <alignment horizontal="left" vertical="center" indent="1"/>
    </xf>
    <xf numFmtId="0" fontId="16" fillId="3" borderId="20" xfId="0" applyFont="1" applyFill="1" applyBorder="1" applyAlignment="1">
      <alignment horizontal="left" vertical="center" indent="1"/>
    </xf>
    <xf numFmtId="165" fontId="11" fillId="3" borderId="21" xfId="0" applyNumberFormat="1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indent="1"/>
    </xf>
    <xf numFmtId="12" fontId="11" fillId="3" borderId="24" xfId="0" applyNumberFormat="1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vertical="center"/>
    </xf>
    <xf numFmtId="0" fontId="16" fillId="3" borderId="21" xfId="0" applyFont="1" applyFill="1" applyBorder="1" applyAlignment="1">
      <alignment vertical="center"/>
    </xf>
    <xf numFmtId="0" fontId="11" fillId="3" borderId="21" xfId="0" applyFont="1" applyFill="1" applyBorder="1" applyAlignment="1">
      <alignment vertical="center" wrapText="1"/>
    </xf>
    <xf numFmtId="0" fontId="16" fillId="3" borderId="24" xfId="0" applyFont="1" applyFill="1" applyBorder="1" applyAlignment="1">
      <alignment vertical="center"/>
    </xf>
    <xf numFmtId="0" fontId="11" fillId="3" borderId="24" xfId="0" applyFont="1" applyFill="1" applyBorder="1" applyAlignment="1">
      <alignment vertical="center" wrapText="1"/>
    </xf>
    <xf numFmtId="165" fontId="11" fillId="3" borderId="23" xfId="0" applyNumberFormat="1" applyFont="1" applyFill="1" applyBorder="1" applyAlignment="1">
      <alignment vertical="center" wrapText="1"/>
    </xf>
    <xf numFmtId="165" fontId="11" fillId="3" borderId="24" xfId="0" applyNumberFormat="1" applyFont="1" applyFill="1" applyBorder="1" applyAlignment="1">
      <alignment vertical="center" wrapText="1"/>
    </xf>
    <xf numFmtId="165" fontId="11" fillId="3" borderId="26" xfId="0" applyNumberFormat="1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1" fillId="3" borderId="25" xfId="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left" vertical="center" wrapText="1"/>
    </xf>
    <xf numFmtId="0" fontId="11" fillId="0" borderId="14" xfId="0" applyFont="1" applyBorder="1"/>
    <xf numFmtId="0" fontId="11" fillId="3" borderId="18" xfId="0" applyFont="1" applyFill="1" applyBorder="1" applyAlignment="1">
      <alignment horizontal="left" vertical="center" wrapText="1" indent="1"/>
    </xf>
    <xf numFmtId="0" fontId="13" fillId="0" borderId="6" xfId="0" applyFont="1" applyBorder="1"/>
    <xf numFmtId="0" fontId="11" fillId="0" borderId="6" xfId="0" applyFont="1" applyBorder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13" fillId="0" borderId="6" xfId="0" applyFont="1" applyBorder="1" applyAlignment="1">
      <alignment horizontal="left"/>
    </xf>
    <xf numFmtId="0" fontId="18" fillId="3" borderId="27" xfId="0" applyFont="1" applyFill="1" applyBorder="1" applyAlignment="1">
      <alignment vertical="center"/>
    </xf>
    <xf numFmtId="0" fontId="18" fillId="3" borderId="28" xfId="0" applyFont="1" applyFill="1" applyBorder="1" applyAlignment="1">
      <alignment vertical="center"/>
    </xf>
    <xf numFmtId="12" fontId="11" fillId="3" borderId="29" xfId="0" applyNumberFormat="1" applyFont="1" applyFill="1" applyBorder="1" applyAlignment="1">
      <alignment horizontal="left" vertical="center" wrapText="1" indent="1"/>
    </xf>
    <xf numFmtId="14" fontId="1" fillId="3" borderId="2" xfId="2" applyNumberFormat="1" applyFont="1" applyFill="1" applyBorder="1" applyAlignment="1"/>
    <xf numFmtId="14" fontId="1" fillId="3" borderId="0" xfId="2" applyNumberFormat="1" applyFont="1" applyFill="1" applyBorder="1" applyAlignment="1"/>
    <xf numFmtId="0" fontId="11" fillId="0" borderId="4" xfId="0" applyFont="1" applyBorder="1"/>
    <xf numFmtId="0" fontId="11" fillId="0" borderId="5" xfId="0" applyFont="1" applyBorder="1"/>
    <xf numFmtId="0" fontId="11" fillId="0" borderId="16" xfId="0" applyFont="1" applyBorder="1"/>
    <xf numFmtId="0" fontId="11" fillId="0" borderId="9" xfId="0" applyFont="1" applyBorder="1" applyAlignment="1">
      <alignment horizontal="left"/>
    </xf>
    <xf numFmtId="14" fontId="1" fillId="3" borderId="9" xfId="2" applyNumberFormat="1" applyFont="1" applyFill="1" applyBorder="1" applyAlignment="1"/>
    <xf numFmtId="166" fontId="11" fillId="0" borderId="9" xfId="0" applyNumberFormat="1" applyFont="1" applyBorder="1" applyAlignment="1">
      <alignment horizontal="left"/>
    </xf>
    <xf numFmtId="0" fontId="20" fillId="0" borderId="3" xfId="0" applyFont="1" applyBorder="1" applyAlignment="1">
      <alignment vertical="center"/>
    </xf>
    <xf numFmtId="0" fontId="17" fillId="3" borderId="3" xfId="0" applyFont="1" applyFill="1" applyBorder="1" applyAlignment="1">
      <alignment horizontal="center" vertical="center"/>
    </xf>
    <xf numFmtId="0" fontId="11" fillId="0" borderId="31" xfId="0" applyFont="1" applyBorder="1"/>
    <xf numFmtId="0" fontId="18" fillId="3" borderId="7" xfId="0" applyFont="1" applyFill="1" applyBorder="1" applyAlignment="1">
      <alignment vertical="center" wrapText="1"/>
    </xf>
    <xf numFmtId="0" fontId="25" fillId="3" borderId="2" xfId="0" applyFont="1" applyFill="1" applyBorder="1" applyAlignment="1">
      <alignment wrapText="1"/>
    </xf>
    <xf numFmtId="0" fontId="25" fillId="3" borderId="0" xfId="0" applyFont="1" applyFill="1" applyAlignment="1">
      <alignment vertical="top" wrapText="1"/>
    </xf>
    <xf numFmtId="0" fontId="25" fillId="3" borderId="31" xfId="0" applyFont="1" applyFill="1" applyBorder="1" applyAlignment="1">
      <alignment vertical="top" wrapText="1"/>
    </xf>
    <xf numFmtId="0" fontId="11" fillId="3" borderId="19" xfId="0" applyFont="1" applyFill="1" applyBorder="1" applyAlignment="1">
      <alignment horizontal="left" vertical="center" wrapText="1" indent="1"/>
    </xf>
    <xf numFmtId="0" fontId="11" fillId="3" borderId="30" xfId="0" applyFont="1" applyFill="1" applyBorder="1" applyAlignment="1">
      <alignment horizontal="left" vertical="center" wrapText="1" indent="1"/>
    </xf>
    <xf numFmtId="0" fontId="11" fillId="3" borderId="29" xfId="0" applyFont="1" applyFill="1" applyBorder="1" applyAlignment="1">
      <alignment horizontal="left" vertical="center" wrapText="1" indent="1"/>
    </xf>
    <xf numFmtId="3" fontId="11" fillId="3" borderId="19" xfId="0" applyNumberFormat="1" applyFont="1" applyFill="1" applyBorder="1" applyAlignment="1">
      <alignment horizontal="right" vertical="center" wrapText="1" indent="1"/>
    </xf>
    <xf numFmtId="3" fontId="11" fillId="3" borderId="30" xfId="0" applyNumberFormat="1" applyFont="1" applyFill="1" applyBorder="1" applyAlignment="1">
      <alignment horizontal="right" vertical="center" wrapText="1" indent="1"/>
    </xf>
    <xf numFmtId="3" fontId="11" fillId="3" borderId="32" xfId="0" applyNumberFormat="1" applyFont="1" applyFill="1" applyBorder="1" applyAlignment="1">
      <alignment horizontal="right" vertical="center" wrapText="1" indent="1"/>
    </xf>
    <xf numFmtId="0" fontId="5" fillId="0" borderId="14" xfId="0" applyFont="1" applyBorder="1" applyAlignment="1">
      <alignment horizontal="left" wrapText="1"/>
    </xf>
    <xf numFmtId="0" fontId="21" fillId="0" borderId="2" xfId="0" applyFont="1" applyBorder="1" applyAlignment="1">
      <alignment horizontal="left" wrapText="1"/>
    </xf>
    <xf numFmtId="0" fontId="21" fillId="0" borderId="13" xfId="0" applyFont="1" applyBorder="1" applyAlignment="1">
      <alignment horizontal="left" wrapText="1"/>
    </xf>
    <xf numFmtId="0" fontId="3" fillId="3" borderId="33" xfId="0" applyFont="1" applyFill="1" applyBorder="1" applyAlignment="1">
      <alignment horizontal="center" wrapText="1"/>
    </xf>
    <xf numFmtId="0" fontId="2" fillId="3" borderId="27" xfId="0" applyFont="1" applyFill="1" applyBorder="1" applyAlignment="1">
      <alignment horizontal="center" wrapText="1"/>
    </xf>
    <xf numFmtId="0" fontId="22" fillId="0" borderId="1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166" fontId="11" fillId="0" borderId="9" xfId="0" applyNumberFormat="1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3" fontId="23" fillId="3" borderId="34" xfId="0" applyNumberFormat="1" applyFont="1" applyFill="1" applyBorder="1" applyAlignment="1">
      <alignment horizontal="center" vertical="top"/>
    </xf>
    <xf numFmtId="3" fontId="23" fillId="3" borderId="28" xfId="0" applyNumberFormat="1" applyFont="1" applyFill="1" applyBorder="1" applyAlignment="1">
      <alignment horizontal="center" vertical="top"/>
    </xf>
    <xf numFmtId="0" fontId="3" fillId="3" borderId="27" xfId="0" applyFont="1" applyFill="1" applyBorder="1" applyAlignment="1">
      <alignment horizontal="center" wrapText="1"/>
    </xf>
    <xf numFmtId="0" fontId="23" fillId="3" borderId="27" xfId="0" applyFont="1" applyFill="1" applyBorder="1" applyAlignment="1">
      <alignment horizontal="center" wrapText="1"/>
    </xf>
    <xf numFmtId="14" fontId="23" fillId="3" borderId="28" xfId="0" applyNumberFormat="1" applyFont="1" applyFill="1" applyBorder="1" applyAlignment="1">
      <alignment horizontal="center" vertical="top"/>
    </xf>
    <xf numFmtId="0" fontId="23" fillId="3" borderId="28" xfId="0" applyFont="1" applyFill="1" applyBorder="1" applyAlignment="1">
      <alignment horizontal="center" vertical="top"/>
    </xf>
    <xf numFmtId="0" fontId="23" fillId="3" borderId="35" xfId="0" applyFont="1" applyFill="1" applyBorder="1" applyAlignment="1">
      <alignment horizontal="center" wrapText="1"/>
    </xf>
    <xf numFmtId="0" fontId="23" fillId="3" borderId="36" xfId="0" applyFont="1" applyFill="1" applyBorder="1" applyAlignment="1">
      <alignment horizontal="center" vertical="top"/>
    </xf>
    <xf numFmtId="0" fontId="16" fillId="4" borderId="19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left" wrapText="1"/>
    </xf>
    <xf numFmtId="0" fontId="24" fillId="0" borderId="2" xfId="0" applyFont="1" applyBorder="1" applyAlignment="1">
      <alignment horizontal="left" wrapText="1"/>
    </xf>
    <xf numFmtId="0" fontId="24" fillId="0" borderId="13" xfId="0" applyFont="1" applyBorder="1" applyAlignment="1">
      <alignment horizontal="left" wrapText="1"/>
    </xf>
    <xf numFmtId="0" fontId="21" fillId="0" borderId="14" xfId="0" applyFont="1" applyBorder="1" applyAlignment="1">
      <alignment horizontal="left" wrapText="1"/>
    </xf>
    <xf numFmtId="0" fontId="26" fillId="0" borderId="0" xfId="0" applyFont="1"/>
  </cellXfs>
  <cellStyles count="3">
    <cellStyle name="Hipervínculo" xfId="1" builtinId="8"/>
    <cellStyle name="Normal" xfId="0" builtinId="0"/>
    <cellStyle name="Notas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6350</xdr:rowOff>
    </xdr:from>
    <xdr:to>
      <xdr:col>2</xdr:col>
      <xdr:colOff>1327150</xdr:colOff>
      <xdr:row>3</xdr:row>
      <xdr:rowOff>146050</xdr:rowOff>
    </xdr:to>
    <xdr:pic>
      <xdr:nvPicPr>
        <xdr:cNvPr id="1485" name="1 Imagen" descr="http://upload.wikimedia.org/wikipedia/en/a/aa/Banco_de_Chile_Logo.png">
          <a:extLst>
            <a:ext uri="{FF2B5EF4-FFF2-40B4-BE49-F238E27FC236}">
              <a16:creationId xmlns:a16="http://schemas.microsoft.com/office/drawing/2014/main" id="{11035B80-32D3-2332-EC84-C28A74FC4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349250"/>
          <a:ext cx="295275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DDF6-CF8C-4779-8D2E-87A8115CFFC5}">
  <sheetPr codeName="Hoja1"/>
  <dimension ref="A1:W104"/>
  <sheetViews>
    <sheetView tabSelected="1" zoomScaleNormal="100" workbookViewId="0">
      <selection activeCell="K11" sqref="K11"/>
    </sheetView>
  </sheetViews>
  <sheetFormatPr baseColWidth="10" defaultRowHeight="15"/>
  <cols>
    <col min="2" max="2" width="23.42578125" customWidth="1"/>
    <col min="3" max="3" width="22" customWidth="1"/>
    <col min="4" max="4" width="26.42578125" customWidth="1"/>
    <col min="5" max="5" width="9.85546875" customWidth="1"/>
    <col min="6" max="6" width="27.42578125" customWidth="1"/>
    <col min="7" max="7" width="25.28515625" customWidth="1"/>
    <col min="8" max="8" width="2.42578125" hidden="1" customWidth="1"/>
    <col min="9" max="9" width="2" hidden="1" customWidth="1"/>
    <col min="10" max="10" width="27.140625" customWidth="1"/>
    <col min="11" max="11" width="1.140625" customWidth="1"/>
    <col min="12" max="12" width="22" customWidth="1"/>
  </cols>
  <sheetData>
    <row r="1" spans="1:16" ht="27" customHeight="1">
      <c r="A1" s="7"/>
      <c r="B1" s="8"/>
      <c r="C1" s="10"/>
      <c r="D1" s="10"/>
      <c r="E1" s="6"/>
      <c r="F1" s="2"/>
      <c r="G1" s="2"/>
      <c r="H1" s="2"/>
      <c r="I1" s="8"/>
      <c r="J1" s="8"/>
      <c r="K1" s="5"/>
      <c r="L1" s="5"/>
    </row>
    <row r="2" spans="1:16">
      <c r="A2" s="6"/>
      <c r="B2" s="24"/>
      <c r="C2" s="25"/>
      <c r="D2" s="25"/>
      <c r="E2" s="26"/>
      <c r="F2" s="24"/>
      <c r="G2" s="24"/>
      <c r="H2" s="24"/>
      <c r="I2" s="25"/>
      <c r="J2" s="24"/>
      <c r="K2" s="27"/>
      <c r="L2" s="11"/>
    </row>
    <row r="3" spans="1:16">
      <c r="A3" s="10"/>
      <c r="B3" s="28"/>
      <c r="C3" s="29"/>
      <c r="D3" s="29"/>
      <c r="E3" s="24"/>
      <c r="F3" s="28"/>
      <c r="G3" s="24"/>
      <c r="H3" s="28"/>
      <c r="I3" s="30"/>
      <c r="J3" s="31"/>
      <c r="K3" s="32"/>
      <c r="L3" s="9"/>
      <c r="M3" s="21"/>
    </row>
    <row r="4" spans="1:16">
      <c r="A4" s="10"/>
      <c r="B4" s="37"/>
      <c r="C4" s="37"/>
      <c r="D4" s="37"/>
      <c r="E4" s="63"/>
      <c r="F4" s="37"/>
      <c r="G4" s="37"/>
      <c r="H4" s="37"/>
      <c r="I4" s="37"/>
      <c r="J4" s="37"/>
      <c r="K4" s="37"/>
      <c r="L4" s="11"/>
    </row>
    <row r="5" spans="1:16" ht="6" customHeight="1">
      <c r="A5" s="10"/>
      <c r="B5" s="24"/>
      <c r="C5" s="24"/>
      <c r="D5" s="24"/>
      <c r="E5" s="24"/>
      <c r="F5" s="24"/>
      <c r="G5" s="24"/>
      <c r="H5" s="24"/>
      <c r="I5" s="24"/>
      <c r="J5" s="24"/>
      <c r="K5" s="24"/>
      <c r="L5" s="15"/>
    </row>
    <row r="6" spans="1:16" ht="17.25" customHeight="1">
      <c r="A6" s="10"/>
      <c r="B6" s="98"/>
      <c r="C6" s="99"/>
      <c r="D6" s="99"/>
      <c r="E6" s="100"/>
      <c r="F6" s="74"/>
      <c r="G6" s="74"/>
      <c r="H6" s="74"/>
      <c r="I6" s="37"/>
      <c r="J6" s="74"/>
      <c r="K6" s="75"/>
      <c r="L6" s="5"/>
      <c r="O6" s="17"/>
    </row>
    <row r="7" spans="1:16" ht="9" customHeight="1">
      <c r="A7" s="10"/>
      <c r="B7" s="16"/>
      <c r="C7" s="16"/>
      <c r="D7" s="22"/>
      <c r="E7" s="22"/>
      <c r="F7" s="76"/>
      <c r="G7" s="76"/>
      <c r="H7" s="76"/>
      <c r="I7" s="76"/>
      <c r="J7" s="76"/>
      <c r="K7" s="76"/>
      <c r="L7" s="6"/>
    </row>
    <row r="8" spans="1:16">
      <c r="A8" s="10"/>
      <c r="B8" s="34" t="s">
        <v>11</v>
      </c>
      <c r="C8" s="27" t="s">
        <v>19</v>
      </c>
      <c r="D8" s="24"/>
      <c r="E8" s="24"/>
      <c r="F8" s="24"/>
      <c r="G8" s="102"/>
      <c r="H8" s="102"/>
      <c r="I8" s="102"/>
      <c r="J8" s="102"/>
      <c r="K8" s="77"/>
      <c r="L8" s="9"/>
    </row>
    <row r="9" spans="1:16">
      <c r="A9" s="10"/>
      <c r="B9" s="65" t="s">
        <v>9</v>
      </c>
      <c r="C9" s="72" t="s">
        <v>20</v>
      </c>
      <c r="D9" s="78"/>
      <c r="E9" s="24"/>
      <c r="F9" s="77"/>
      <c r="G9" s="101"/>
      <c r="H9" s="101"/>
      <c r="I9" s="101"/>
      <c r="J9" s="101"/>
      <c r="K9" s="101"/>
      <c r="L9" s="9"/>
      <c r="M9" s="13"/>
    </row>
    <row r="10" spans="1:16">
      <c r="A10" s="10"/>
      <c r="B10" s="68" t="s">
        <v>10</v>
      </c>
      <c r="C10" s="66" t="s">
        <v>21</v>
      </c>
      <c r="D10" s="77"/>
      <c r="E10" s="77"/>
      <c r="F10" s="77"/>
      <c r="G10" s="79"/>
      <c r="H10" s="79"/>
      <c r="I10" s="79"/>
      <c r="J10" s="79"/>
      <c r="K10" s="79"/>
      <c r="L10" s="6"/>
      <c r="M10" s="13"/>
      <c r="O10" s="55">
        <v>7020219</v>
      </c>
      <c r="P10" s="53">
        <f>SUMIF(N:N,O10,M:M)</f>
        <v>289936</v>
      </c>
    </row>
    <row r="11" spans="1:16">
      <c r="A11" s="10"/>
      <c r="B11" s="34" t="s">
        <v>2</v>
      </c>
      <c r="C11" s="63" t="s">
        <v>22</v>
      </c>
      <c r="D11" s="24"/>
      <c r="E11" s="24"/>
      <c r="F11" s="77"/>
      <c r="G11" s="79"/>
      <c r="H11" s="79"/>
      <c r="I11" s="79"/>
      <c r="J11" s="79"/>
      <c r="K11" s="79"/>
      <c r="L11" s="6"/>
      <c r="M11" s="13"/>
      <c r="O11" s="55">
        <v>8051301</v>
      </c>
      <c r="P11" s="53">
        <f t="shared" ref="P11:P12" si="0">SUMIF(N:N,O11,M:M)</f>
        <v>3919</v>
      </c>
    </row>
    <row r="12" spans="1:16">
      <c r="A12" s="10"/>
      <c r="B12" s="65" t="s">
        <v>7</v>
      </c>
      <c r="C12" s="73" t="s">
        <v>8</v>
      </c>
      <c r="D12" s="73"/>
      <c r="E12" s="29"/>
      <c r="F12" s="28"/>
      <c r="G12" s="28"/>
      <c r="H12" s="28"/>
      <c r="I12" s="28"/>
      <c r="J12" s="28"/>
      <c r="K12" s="28"/>
      <c r="L12" s="5"/>
      <c r="O12" s="55">
        <v>8040705</v>
      </c>
      <c r="P12" s="53">
        <f t="shared" si="0"/>
        <v>0</v>
      </c>
    </row>
    <row r="13" spans="1:16" ht="24" customHeight="1">
      <c r="A13" s="10"/>
      <c r="B13" s="28"/>
      <c r="C13" s="28"/>
      <c r="D13" s="35"/>
      <c r="E13" s="28"/>
      <c r="F13" s="28"/>
      <c r="G13" s="28"/>
      <c r="H13" s="28"/>
      <c r="I13" s="24"/>
      <c r="J13" s="36"/>
      <c r="K13" s="33"/>
      <c r="L13" s="15"/>
      <c r="O13" s="55"/>
      <c r="P13" s="53"/>
    </row>
    <row r="14" spans="1:16" ht="27" thickBot="1">
      <c r="A14" s="11"/>
      <c r="B14" s="93" t="s">
        <v>18</v>
      </c>
      <c r="C14" s="94"/>
      <c r="D14" s="94"/>
      <c r="E14" s="95"/>
      <c r="F14" s="45"/>
      <c r="G14" s="37"/>
      <c r="H14" s="38"/>
      <c r="I14" s="38"/>
      <c r="J14" s="37"/>
      <c r="K14" s="26"/>
      <c r="L14" s="11"/>
      <c r="O14" s="118"/>
      <c r="P14">
        <f>SUM(P10:P13)</f>
        <v>293855</v>
      </c>
    </row>
    <row r="15" spans="1:16" ht="24.95" customHeight="1">
      <c r="A15" s="11"/>
      <c r="B15" s="96" t="s">
        <v>12</v>
      </c>
      <c r="C15" s="97"/>
      <c r="D15" s="105" t="s">
        <v>13</v>
      </c>
      <c r="E15" s="106"/>
      <c r="F15" s="105" t="s">
        <v>14</v>
      </c>
      <c r="G15" s="106"/>
      <c r="H15" s="69"/>
      <c r="I15" s="69"/>
      <c r="J15" s="105" t="s">
        <v>15</v>
      </c>
      <c r="K15" s="109"/>
      <c r="L15" s="9"/>
    </row>
    <row r="16" spans="1:16" ht="24.95" customHeight="1" thickBot="1">
      <c r="A16" s="6"/>
      <c r="B16" s="103">
        <v>293855</v>
      </c>
      <c r="C16" s="104"/>
      <c r="D16" s="104">
        <v>9718</v>
      </c>
      <c r="E16" s="104"/>
      <c r="F16" s="107" t="s">
        <v>23</v>
      </c>
      <c r="G16" s="108"/>
      <c r="H16" s="70"/>
      <c r="I16" s="70"/>
      <c r="J16" s="107" t="s">
        <v>24</v>
      </c>
      <c r="K16" s="110"/>
      <c r="L16" s="5"/>
      <c r="M16" s="17"/>
    </row>
    <row r="17" spans="1:23" ht="17.25" customHeight="1">
      <c r="A17" s="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5"/>
      <c r="M17" s="17"/>
    </row>
    <row r="18" spans="1:23" ht="24.75" customHeight="1">
      <c r="A18" s="7"/>
      <c r="B18" s="114" t="s">
        <v>5</v>
      </c>
      <c r="C18" s="115"/>
      <c r="D18" s="115"/>
      <c r="E18" s="116"/>
      <c r="F18" s="117"/>
      <c r="G18" s="94"/>
      <c r="H18" s="94"/>
      <c r="I18" s="95"/>
      <c r="J18" s="117"/>
      <c r="K18" s="94"/>
      <c r="L18" s="5"/>
    </row>
    <row r="19" spans="1:23" ht="23.25" customHeight="1">
      <c r="A19" s="9"/>
      <c r="B19" s="46" t="s">
        <v>6</v>
      </c>
      <c r="C19" s="39" t="s">
        <v>0</v>
      </c>
      <c r="D19" s="111" t="s">
        <v>1</v>
      </c>
      <c r="E19" s="112"/>
      <c r="F19" s="113"/>
      <c r="G19" s="39" t="s">
        <v>3</v>
      </c>
      <c r="H19" s="111" t="s">
        <v>4</v>
      </c>
      <c r="I19" s="112"/>
      <c r="J19" s="112"/>
      <c r="K19" s="113"/>
      <c r="L19" s="9"/>
      <c r="N19" s="47"/>
      <c r="O19" s="54"/>
      <c r="P19" s="52"/>
      <c r="Q19" s="49"/>
      <c r="R19" s="47"/>
      <c r="S19" s="47"/>
      <c r="T19" s="51"/>
      <c r="U19" s="54"/>
      <c r="V19" s="52"/>
      <c r="W19" s="52"/>
    </row>
    <row r="20" spans="1:23" ht="42.95" customHeight="1">
      <c r="A20" s="59"/>
      <c r="B20" s="64" t="s">
        <v>16</v>
      </c>
      <c r="C20" s="64" t="s">
        <v>25</v>
      </c>
      <c r="D20" s="87" t="s">
        <v>26</v>
      </c>
      <c r="E20" s="88"/>
      <c r="F20" s="89"/>
      <c r="G20" s="71" t="s">
        <v>27</v>
      </c>
      <c r="H20" s="90">
        <v>6600</v>
      </c>
      <c r="I20" s="91"/>
      <c r="J20" s="91"/>
      <c r="K20" s="92"/>
      <c r="L20" s="59" t="s">
        <v>39</v>
      </c>
      <c r="M20">
        <v>6600</v>
      </c>
      <c r="N20">
        <v>7020219</v>
      </c>
      <c r="O20" t="s">
        <v>41</v>
      </c>
      <c r="P20" s="53"/>
      <c r="Q20" s="61"/>
      <c r="R20" s="62"/>
      <c r="S20" s="50"/>
      <c r="T20" s="58"/>
      <c r="U20" s="56"/>
      <c r="V20" s="57"/>
      <c r="W20" s="48"/>
    </row>
    <row r="21" spans="1:23" s="60" customFormat="1" ht="42.95" customHeight="1">
      <c r="A21" s="59"/>
      <c r="B21" s="64" t="s">
        <v>16</v>
      </c>
      <c r="C21" s="64" t="s">
        <v>28</v>
      </c>
      <c r="D21" s="87" t="s">
        <v>29</v>
      </c>
      <c r="E21" s="88"/>
      <c r="F21" s="89"/>
      <c r="G21" s="71" t="s">
        <v>27</v>
      </c>
      <c r="H21" s="90">
        <v>77018</v>
      </c>
      <c r="I21" s="91"/>
      <c r="J21" s="91"/>
      <c r="K21" s="92"/>
      <c r="L21" s="59" t="s">
        <v>39</v>
      </c>
      <c r="M21" s="60">
        <v>77018</v>
      </c>
      <c r="N21">
        <v>7020219</v>
      </c>
      <c r="O21" t="s">
        <v>41</v>
      </c>
      <c r="P21" s="53"/>
      <c r="Q21" s="61"/>
      <c r="R21" s="62"/>
      <c r="S21" s="50"/>
      <c r="T21" s="58"/>
      <c r="U21" s="56"/>
      <c r="V21" s="57"/>
      <c r="W21" s="48"/>
    </row>
    <row r="22" spans="1:23" ht="42.95" customHeight="1">
      <c r="A22" s="59"/>
      <c r="B22" s="64" t="s">
        <v>16</v>
      </c>
      <c r="C22" s="64" t="s">
        <v>28</v>
      </c>
      <c r="D22" s="87" t="s">
        <v>30</v>
      </c>
      <c r="E22" s="88"/>
      <c r="F22" s="89"/>
      <c r="G22" s="71" t="s">
        <v>27</v>
      </c>
      <c r="H22" s="90">
        <v>60000</v>
      </c>
      <c r="I22" s="91"/>
      <c r="J22" s="91"/>
      <c r="K22" s="92"/>
      <c r="L22" s="59" t="s">
        <v>39</v>
      </c>
      <c r="M22">
        <v>60000</v>
      </c>
      <c r="N22">
        <v>7020219</v>
      </c>
      <c r="O22" t="s">
        <v>41</v>
      </c>
      <c r="P22" s="53"/>
      <c r="Q22" s="61"/>
      <c r="R22" s="62"/>
      <c r="S22" s="50"/>
      <c r="T22" s="58"/>
      <c r="U22" s="56"/>
      <c r="V22" s="57"/>
      <c r="W22" s="48"/>
    </row>
    <row r="23" spans="1:23" ht="42.95" customHeight="1">
      <c r="A23" s="59"/>
      <c r="B23" s="64" t="s">
        <v>16</v>
      </c>
      <c r="C23" s="64" t="s">
        <v>31</v>
      </c>
      <c r="D23" s="87" t="s">
        <v>32</v>
      </c>
      <c r="E23" s="88"/>
      <c r="F23" s="89"/>
      <c r="G23" s="71" t="s">
        <v>27</v>
      </c>
      <c r="H23" s="90">
        <v>7000</v>
      </c>
      <c r="I23" s="91"/>
      <c r="J23" s="91"/>
      <c r="K23" s="92"/>
      <c r="L23" s="59" t="s">
        <v>39</v>
      </c>
      <c r="M23">
        <v>7000</v>
      </c>
      <c r="N23">
        <v>7020219</v>
      </c>
      <c r="O23" t="s">
        <v>41</v>
      </c>
      <c r="P23" s="53"/>
      <c r="Q23" s="61"/>
      <c r="R23" s="62"/>
      <c r="S23" s="50"/>
      <c r="T23" s="58"/>
      <c r="U23" s="56"/>
      <c r="V23" s="57"/>
      <c r="W23" s="48"/>
    </row>
    <row r="24" spans="1:23" ht="42.95" customHeight="1">
      <c r="A24" s="59"/>
      <c r="B24" s="64" t="s">
        <v>16</v>
      </c>
      <c r="C24" s="64" t="s">
        <v>31</v>
      </c>
      <c r="D24" s="87" t="s">
        <v>30</v>
      </c>
      <c r="E24" s="88"/>
      <c r="F24" s="89"/>
      <c r="G24" s="71" t="s">
        <v>27</v>
      </c>
      <c r="H24" s="90">
        <v>60000</v>
      </c>
      <c r="I24" s="91"/>
      <c r="J24" s="91"/>
      <c r="K24" s="92"/>
      <c r="L24" s="59" t="s">
        <v>39</v>
      </c>
      <c r="M24">
        <v>60000</v>
      </c>
      <c r="N24">
        <v>7020219</v>
      </c>
      <c r="O24" t="s">
        <v>41</v>
      </c>
      <c r="P24" s="53"/>
      <c r="Q24" s="61"/>
      <c r="R24" s="62"/>
      <c r="S24" s="50"/>
      <c r="T24" s="58"/>
      <c r="U24" s="56"/>
      <c r="V24" s="57"/>
      <c r="W24" s="48"/>
    </row>
    <row r="25" spans="1:23" s="60" customFormat="1" ht="42.95" customHeight="1">
      <c r="A25" s="59"/>
      <c r="B25" s="64" t="s">
        <v>16</v>
      </c>
      <c r="C25" s="64" t="s">
        <v>33</v>
      </c>
      <c r="D25" s="87" t="s">
        <v>29</v>
      </c>
      <c r="E25" s="88"/>
      <c r="F25" s="89"/>
      <c r="G25" s="71" t="s">
        <v>27</v>
      </c>
      <c r="H25" s="90">
        <v>58498</v>
      </c>
      <c r="I25" s="91"/>
      <c r="J25" s="91"/>
      <c r="K25" s="92"/>
      <c r="L25" s="59" t="s">
        <v>39</v>
      </c>
      <c r="M25" s="60">
        <v>58498</v>
      </c>
      <c r="N25">
        <v>7020219</v>
      </c>
      <c r="O25" t="s">
        <v>41</v>
      </c>
      <c r="P25" s="53"/>
      <c r="Q25" s="61"/>
      <c r="R25" s="62"/>
      <c r="S25" s="50"/>
      <c r="T25" s="58"/>
      <c r="U25" s="56"/>
      <c r="V25" s="57"/>
      <c r="W25" s="48"/>
    </row>
    <row r="26" spans="1:23" s="60" customFormat="1" ht="42.95" customHeight="1">
      <c r="A26" s="59"/>
      <c r="B26" s="64" t="s">
        <v>16</v>
      </c>
      <c r="C26" s="64" t="s">
        <v>34</v>
      </c>
      <c r="D26" s="87" t="s">
        <v>35</v>
      </c>
      <c r="E26" s="88"/>
      <c r="F26" s="89"/>
      <c r="G26" s="71" t="s">
        <v>27</v>
      </c>
      <c r="H26" s="90">
        <v>12320</v>
      </c>
      <c r="I26" s="91"/>
      <c r="J26" s="91"/>
      <c r="K26" s="92"/>
      <c r="L26" s="59" t="s">
        <v>39</v>
      </c>
      <c r="M26" s="60">
        <v>12320</v>
      </c>
      <c r="N26">
        <v>7020219</v>
      </c>
      <c r="O26" t="s">
        <v>41</v>
      </c>
      <c r="P26" s="53"/>
      <c r="Q26" s="61"/>
      <c r="R26" s="62"/>
      <c r="S26" s="50"/>
      <c r="T26" s="58"/>
      <c r="U26" s="56"/>
      <c r="V26" s="57"/>
      <c r="W26" s="48"/>
    </row>
    <row r="27" spans="1:23" s="60" customFormat="1" ht="42.95" customHeight="1">
      <c r="A27" s="59"/>
      <c r="B27" s="64" t="s">
        <v>16</v>
      </c>
      <c r="C27" s="64" t="s">
        <v>34</v>
      </c>
      <c r="D27" s="87" t="s">
        <v>36</v>
      </c>
      <c r="E27" s="88"/>
      <c r="F27" s="89"/>
      <c r="G27" s="71" t="s">
        <v>27</v>
      </c>
      <c r="H27" s="90">
        <v>8500</v>
      </c>
      <c r="I27" s="91"/>
      <c r="J27" s="91"/>
      <c r="K27" s="92"/>
      <c r="L27" s="59" t="s">
        <v>39</v>
      </c>
      <c r="M27" s="60">
        <v>8500</v>
      </c>
      <c r="N27">
        <v>7020219</v>
      </c>
      <c r="O27" t="s">
        <v>41</v>
      </c>
      <c r="P27" s="53"/>
      <c r="Q27" s="61"/>
      <c r="R27" s="62"/>
      <c r="S27" s="50"/>
      <c r="T27" s="58"/>
      <c r="U27" s="56"/>
      <c r="V27" s="57"/>
      <c r="W27" s="48"/>
    </row>
    <row r="28" spans="1:23" ht="42.95" customHeight="1">
      <c r="A28" s="59"/>
      <c r="B28" s="64" t="s">
        <v>17</v>
      </c>
      <c r="C28" s="64" t="s">
        <v>23</v>
      </c>
      <c r="D28" s="87" t="s">
        <v>37</v>
      </c>
      <c r="E28" s="88"/>
      <c r="F28" s="89"/>
      <c r="G28" s="71" t="s">
        <v>27</v>
      </c>
      <c r="H28" s="90">
        <v>3919</v>
      </c>
      <c r="I28" s="91"/>
      <c r="J28" s="91"/>
      <c r="K28" s="92"/>
      <c r="L28" s="59" t="s">
        <v>38</v>
      </c>
      <c r="M28">
        <v>3919</v>
      </c>
      <c r="N28">
        <v>8051301</v>
      </c>
      <c r="O28" t="s">
        <v>40</v>
      </c>
      <c r="P28" s="53"/>
      <c r="Q28" s="61"/>
      <c r="R28" s="62"/>
      <c r="S28" s="50"/>
      <c r="T28" s="58"/>
      <c r="U28" s="56"/>
      <c r="V28" s="57"/>
      <c r="W28" s="48"/>
    </row>
    <row r="29" spans="1:23" ht="15" customHeight="1"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23" ht="15" customHeight="1">
      <c r="A30" s="9"/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9"/>
    </row>
    <row r="31" spans="1:23" ht="15" customHeight="1">
      <c r="A31" s="20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9"/>
    </row>
    <row r="32" spans="1:23" ht="26.25" customHeight="1">
      <c r="A32" s="10"/>
      <c r="B32" s="28"/>
      <c r="C32" s="30"/>
      <c r="D32" s="83"/>
      <c r="E32" s="83"/>
      <c r="F32" s="83"/>
      <c r="G32" s="83"/>
      <c r="H32" s="83"/>
      <c r="I32" s="83"/>
      <c r="J32" s="83"/>
      <c r="K32" s="82"/>
      <c r="L32" s="9"/>
    </row>
    <row r="33" spans="1:12" ht="13.5" customHeight="1">
      <c r="A33" s="10"/>
      <c r="B33" s="42"/>
      <c r="C33" s="43"/>
      <c r="D33" s="84"/>
      <c r="E33" s="84"/>
      <c r="F33" s="84"/>
      <c r="G33" s="84"/>
      <c r="H33" s="84"/>
      <c r="I33" s="84"/>
      <c r="J33" s="84"/>
      <c r="K33" s="25"/>
      <c r="L33" s="9"/>
    </row>
    <row r="34" spans="1:12" ht="23.25" customHeight="1">
      <c r="A34" s="8"/>
      <c r="B34" s="44"/>
      <c r="C34" s="44"/>
      <c r="D34" s="85"/>
      <c r="E34" s="85"/>
      <c r="F34" s="85"/>
      <c r="G34" s="85"/>
      <c r="H34" s="85"/>
      <c r="I34" s="85"/>
      <c r="J34" s="86"/>
      <c r="K34" s="24"/>
      <c r="L34" s="9"/>
    </row>
    <row r="35" spans="1:12" s="60" customFormat="1" ht="15" customHeight="1">
      <c r="A35" s="6"/>
      <c r="B35" s="12"/>
      <c r="C35" s="12"/>
      <c r="D35" s="14"/>
      <c r="E35" s="19"/>
      <c r="F35" s="14"/>
      <c r="G35" s="14"/>
      <c r="H35" s="14"/>
      <c r="I35" s="14"/>
      <c r="J35" s="14"/>
      <c r="K35" s="23"/>
      <c r="L35" s="9"/>
    </row>
    <row r="36" spans="1:12" s="60" customFormat="1" ht="29.25" customHeight="1">
      <c r="A36" s="18"/>
      <c r="B36"/>
      <c r="C36" s="3"/>
      <c r="D36"/>
      <c r="E36" s="2"/>
      <c r="F36"/>
      <c r="G36" s="4"/>
      <c r="H36" s="4"/>
      <c r="I36" s="4"/>
      <c r="J36" s="4"/>
      <c r="K36" s="3"/>
      <c r="L36" s="1"/>
    </row>
    <row r="37" spans="1:12" s="60" customFormat="1" ht="15" customHeight="1">
      <c r="A37" s="3"/>
      <c r="B37"/>
      <c r="C37"/>
      <c r="D37"/>
      <c r="E37"/>
      <c r="F37"/>
      <c r="G37"/>
      <c r="H37"/>
      <c r="I37"/>
      <c r="J37"/>
      <c r="K37"/>
      <c r="L37"/>
    </row>
    <row r="38" spans="1:12" ht="21" customHeight="1"/>
    <row r="39" spans="1:12" ht="15" customHeight="1"/>
    <row r="40" spans="1:12" ht="15" customHeight="1"/>
    <row r="41" spans="1:12" ht="24" customHeight="1"/>
    <row r="42" spans="1:12" ht="15" customHeight="1"/>
    <row r="43" spans="1:12" ht="15" customHeight="1"/>
    <row r="44" spans="1:12" ht="15" customHeight="1"/>
    <row r="45" spans="1:12" ht="15" customHeight="1"/>
    <row r="46" spans="1:12" ht="26.25" customHeight="1"/>
    <row r="47" spans="1:12" ht="23.25" customHeight="1"/>
    <row r="48" spans="1:12" ht="23.25" customHeight="1"/>
    <row r="49" ht="15" customHeight="1"/>
    <row r="50" ht="29.25" customHeight="1"/>
    <row r="51" ht="15" customHeight="1"/>
    <row r="52" ht="21" customHeight="1"/>
    <row r="53" ht="15" customHeight="1"/>
    <row r="54" ht="15" customHeight="1"/>
    <row r="55" ht="24" customHeight="1"/>
    <row r="56" ht="15" customHeight="1"/>
    <row r="57" ht="15" customHeight="1"/>
    <row r="58" ht="15" customHeight="1"/>
    <row r="59" ht="15" customHeight="1"/>
    <row r="60" ht="26.25" customHeight="1"/>
    <row r="61" ht="23.25" customHeight="1"/>
    <row r="62" ht="23.25" customHeight="1"/>
    <row r="63" ht="15" customHeight="1"/>
    <row r="64" ht="29.25" customHeight="1"/>
    <row r="65" ht="15" customHeight="1"/>
    <row r="66" ht="21" customHeight="1"/>
    <row r="67" ht="15" customHeight="1"/>
    <row r="68" ht="15" customHeight="1"/>
    <row r="69" ht="24" customHeight="1"/>
    <row r="70" ht="15" customHeight="1"/>
    <row r="71" ht="15" customHeight="1"/>
    <row r="72" ht="15" customHeight="1"/>
    <row r="73" ht="15" customHeight="1"/>
    <row r="74" ht="18.75" customHeight="1"/>
    <row r="75" ht="20.25" customHeight="1"/>
    <row r="76" ht="19.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</sheetData>
  <mergeCells count="35">
    <mergeCell ref="J16:K16"/>
    <mergeCell ref="H19:K19"/>
    <mergeCell ref="D19:F19"/>
    <mergeCell ref="B18:E18"/>
    <mergeCell ref="F18:I18"/>
    <mergeCell ref="J18:K18"/>
    <mergeCell ref="B16:C16"/>
    <mergeCell ref="D15:E15"/>
    <mergeCell ref="D16:E16"/>
    <mergeCell ref="F15:G15"/>
    <mergeCell ref="F16:G16"/>
    <mergeCell ref="B14:E14"/>
    <mergeCell ref="B15:C15"/>
    <mergeCell ref="B6:E6"/>
    <mergeCell ref="G9:K9"/>
    <mergeCell ref="G8:J8"/>
    <mergeCell ref="J15:K15"/>
    <mergeCell ref="H20:K20"/>
    <mergeCell ref="D20:F20"/>
    <mergeCell ref="D21:F21"/>
    <mergeCell ref="H21:K21"/>
    <mergeCell ref="D22:F22"/>
    <mergeCell ref="H22:K22"/>
    <mergeCell ref="D23:F23"/>
    <mergeCell ref="H23:K23"/>
    <mergeCell ref="D24:F24"/>
    <mergeCell ref="H24:K24"/>
    <mergeCell ref="D25:F25"/>
    <mergeCell ref="H25:K25"/>
    <mergeCell ref="D26:F26"/>
    <mergeCell ref="H26:K26"/>
    <mergeCell ref="D27:F27"/>
    <mergeCell ref="H27:K27"/>
    <mergeCell ref="D28:F28"/>
    <mergeCell ref="H28:K28"/>
  </mergeCells>
  <pageMargins left="0.23622047244094491" right="0.23622047244094491" top="0.74803149606299213" bottom="0.74803149606299213" header="0.31496062992125984" footer="0.31496062992125984"/>
  <pageSetup scale="5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7932-C48F-49F2-98BB-9B47E738FB5C}">
  <sheetPr codeName="Hoja2"/>
  <dimension ref="A1"/>
  <sheetViews>
    <sheetView workbookViewId="0"/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1539-A0B2-42CC-B33D-5451CCA80B36}">
  <sheetPr codeName="Hoja3"/>
  <dimension ref="A1"/>
  <sheetViews>
    <sheetView workbookViewId="0">
      <selection activeCell="D9" sqref="D9"/>
    </sheetView>
  </sheetViews>
  <sheetFormatPr baseColWidth="10" defaultRowHeight="15"/>
  <sheetData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F49740-FE3D-49EC-A33C-6BEF922B0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B4878E-18E2-49F5-AAE0-38A16A064BB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B1F5FAB1-577E-40E6-8F96-29C21F74438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Banco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Carolina Cabrera</cp:lastModifiedBy>
  <cp:lastPrinted>2015-05-26T20:16:05Z</cp:lastPrinted>
  <dcterms:created xsi:type="dcterms:W3CDTF">2015-01-02T18:12:30Z</dcterms:created>
  <dcterms:modified xsi:type="dcterms:W3CDTF">2025-08-28T21:45:00Z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