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0" documentId="8_{E081A22D-1F09-45B4-A9FC-FB9E6A92530C}" xr6:coauthVersionLast="47" xr6:coauthVersionMax="47" xr10:uidLastSave="{00000000-0000-0000-0000-000000000000}"/>
  <bookViews>
    <workbookView xWindow="-120" yWindow="-120" windowWidth="20730" windowHeight="11040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C6" i="1"/>
  <c r="I5" i="1"/>
  <c r="I6" i="1" l="1"/>
  <c r="J5" i="1"/>
  <c r="K5" i="1" s="1"/>
  <c r="J6" i="1" l="1"/>
  <c r="K6" i="1" s="1"/>
</calcChain>
</file>

<file path=xl/sharedStrings.xml><?xml version="1.0" encoding="utf-8"?>
<sst xmlns="http://schemas.openxmlformats.org/spreadsheetml/2006/main" count="18" uniqueCount="16">
  <si>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</si>
  <si>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</si>
  <si>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</si>
  <si>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</si>
  <si>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</si>
  <si>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</si>
  <si>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</si>
  <si>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</si>
  <si>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</si>
  <si>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</si>
  <si>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</si>
  <si>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SI</t>
  </si>
  <si>
    <t>DESWIK Mining Consultants (Australia) Pty Ltd</t>
  </si>
  <si>
    <t>IVA Proveedor extranjero  F493-494-496-497-498</t>
  </si>
  <si>
    <t>IVA Proveedor extranjero  GL 112 DS-DP2506 (reintegro expomin)</t>
  </si>
  <si>
    <t>Sandvik  Chile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</si>
</sst>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2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4" fontId="2" fillId="3" borderId="4" xfId="0" applyNumberFormat="1" applyFont="1" applyFill="1" applyBorder="1"/>
    <xf numFmtId="164" fontId="2" fillId="0" borderId="4" xfId="1" applyNumberFormat="1" applyFont="1" applyBorder="1"/>
    <xf numFmtId="41" fontId="5" fillId="4" borderId="6" xfId="1" applyFont="1" applyFill="1" applyBorder="1" applyAlignment="1">
      <alignment vertical="center"/>
    </xf>
    <xf numFmtId="41" fontId="5" fillId="4" borderId="6" xfId="0" applyNumberFormat="1" applyFont="1" applyFill="1" applyBorder="1" applyAlignment="1">
      <alignment vertical="center"/>
    </xf>
    <xf numFmtId="0" fontId="2" fillId="0" borderId="0" xfId="0" applyFont="1"/>
    <xf numFmtId="41" fontId="5" fillId="5" borderId="6" xfId="1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539750</xdr:colOff>
      <xdr:row>9</xdr:row>
      <xdr:rowOff>158750</xdr:rowOff>
    </xdr:from>
    <xdr:to>
      <xdr:col>6</xdr:col>
      <xdr:colOff>3610309</xdr:colOff>
      <xdr:row>22</xdr:row>
      <xdr:rowOff>113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0A3D7F-8708-E05C-23E0-76DF8418D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9100" y="3330575"/>
          <a:ext cx="6509084" cy="2194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1:K6"/>
  <sheetViews>
    <sheetView showGridLines="0" tabSelected="1" workbookViewId="0">
      <selection activeCell="F6" sqref="F6"/>
    </sheetView>
  </sheetViews>
  <sheetFormatPr baseColWidth="10" defaultColWidth="11.42578125" defaultRowHeight="15" x14ac:dyDescent="0.25"/>
  <cols>
    <col min="1" max="1" width="2.5703125" customWidth="1"/>
    <col min="2" max="2" width="9.140625" customWidth="1"/>
    <col min="6" max="6" width="37.7109375" bestFit="1" customWidth="1"/>
    <col min="7" max="7" width="59.7109375" customWidth="1"/>
    <col min="8" max="8" width="10.42578125" bestFit="1" customWidth="1"/>
  </cols>
  <sheetData>
    <row r="1" spans="2:11" x14ac:dyDescent="0.25">
      <c r="E1" s="14"/>
    </row>
    <row r="3" spans="2:11" ht="15.75" thickBot="1" x14ac:dyDescent="0.3"/>
    <row r="4" spans="2:11" ht="15.75" thickBot="1" x14ac:dyDescent="0.3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5.75" thickBot="1" x14ac:dyDescent="0.3">
      <c r="B5" s="5" t="s">
        <v>10</v>
      </c>
      <c r="C5" s="10">
        <v>45958</v>
      </c>
      <c r="D5" s="11">
        <v>109876</v>
      </c>
      <c r="E5" s="6">
        <v>938.19</v>
      </c>
      <c r="F5" s="7" t="s">
        <v>12</v>
      </c>
      <c r="G5" s="8" t="s">
        <v>13</v>
      </c>
      <c r="H5" s="9" t="s">
        <v>11</v>
      </c>
      <c r="I5" s="15">
        <f t="shared" ref="I5:I6" si="0">+D5*E5</f>
        <v>103084564.44000001</v>
      </c>
      <c r="J5" s="12">
        <f t="shared" ref="J5:J6" si="1">+I5*0.19</f>
        <v>19586067.243600003</v>
      </c>
      <c r="K5" s="13">
        <f t="shared" ref="K5:K6" si="2">+I5+J5</f>
        <v>122670631.68360001</v>
      </c>
    </row>
    <row r="6" spans="2:11" ht="15.75" thickBot="1" x14ac:dyDescent="0.3">
      <c r="B6" s="5" t="s">
        <v>10</v>
      </c>
      <c r="C6" s="10">
        <f>+C5</f>
        <v>45958</v>
      </c>
      <c r="D6" s="11">
        <v>673</v>
      </c>
      <c r="E6" s="6">
        <f>+E5</f>
        <v>938.19</v>
      </c>
      <c r="F6" s="16" t="s">
        <v>15</v>
      </c>
      <c r="G6" s="8" t="s">
        <v>14</v>
      </c>
      <c r="H6" s="9" t="s">
        <v>11</v>
      </c>
      <c r="I6" s="12">
        <f t="shared" si="0"/>
        <v>631401.87</v>
      </c>
      <c r="J6" s="12">
        <f t="shared" si="1"/>
        <v>119966.3553</v>
      </c>
      <c r="K6" s="13">
        <f t="shared" si="2"/>
        <v>751368.22530000005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C05C6D-0576-4081-8466-DA4E98367DE6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2025-11-04T19:48:15Z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