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"/>
    </mc:Choice>
  </mc:AlternateContent>
  <xr:revisionPtr revIDLastSave="21" documentId="8_{07E854E8-ADE6-49CE-AA6C-43F45C6188FC}" xr6:coauthVersionLast="47" xr6:coauthVersionMax="47" xr10:uidLastSave="{46191862-6A20-47FE-B5CE-1A7BD5E85343}"/>
  <bookViews>
    <workbookView xWindow="-28860" yWindow="-1215" windowWidth="28605" windowHeight="10020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J6" i="1" s="1"/>
  <c r="K6" i="1" s="1"/>
  <c r="I7" i="1" l="1"/>
  <c r="J7" i="1" l="1"/>
  <c r="K7" i="1" s="1"/>
  <c r="I5" i="1" l="1"/>
  <c r="I8" i="1" s="1"/>
  <c r="J5" i="1" l="1"/>
  <c r="K5" i="1" l="1"/>
  <c r="K8" i="1" s="1"/>
  <c r="J8" i="1"/>
</calcChain>
</file>

<file path=xl/sharedStrings.xml><?xml version="1.0" encoding="utf-8"?>
<sst xmlns="http://schemas.openxmlformats.org/spreadsheetml/2006/main" count="22" uniqueCount="18">
  <si>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</si>
  <si>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</si>
  <si>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</si>
  <si>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</si>
  <si>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</si>
  <si>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</si>
  <si>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</si>
  <si>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</si>
  <si>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</si>
  <si>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</si>
  <si>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</si>
  <si>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</si>
  <si>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</si>
  <si>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DESWIK Mining Consultants (Australia) Pty Ltd</t>
  </si>
  <si>
    <t>DESWIK CANADA</t>
  </si>
  <si>
    <t>IVA Proveedor extranjero  F501-506-515-516-519-1394-1395-1396</t>
  </si>
  <si>
    <t>IVA Proveedor extranjero  90390505-GL6050</t>
  </si>
  <si>
    <t>IVA Proveedor extranjero  F.531/W25-0714-C01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</si>
</sst>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2" fillId="0" borderId="4" xfId="0" applyFont="1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4" fontId="2" fillId="3" borderId="4" xfId="0" applyNumberFormat="1" applyFont="1" applyFill="1" applyBorder="1"/>
    <xf numFmtId="164" fontId="2" fillId="0" borderId="4" xfId="1" applyNumberFormat="1" applyFont="1" applyBorder="1"/>
    <xf numFmtId="41" fontId="5" fillId="4" borderId="6" xfId="1" applyFont="1" applyFill="1" applyBorder="1" applyAlignment="1">
      <alignment vertical="center"/>
    </xf>
    <xf numFmtId="41" fontId="5" fillId="4" borderId="6" xfId="0" applyNumberFormat="1" applyFont="1" applyFill="1" applyBorder="1" applyAlignment="1">
      <alignment vertical="center"/>
    </xf>
    <xf numFmtId="0" fontId="2" fillId="0" borderId="0" xfId="0" applyFont="1"/>
    <xf numFmtId="41" fontId="5" fillId="5" borderId="6" xfId="1" applyFont="1" applyFill="1" applyBorder="1" applyAlignment="1">
      <alignment vertical="center"/>
    </xf>
    <xf numFmtId="41" fontId="6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123825</xdr:colOff>
      <xdr:row>2</xdr:row>
      <xdr:rowOff>134247</xdr:rowOff>
    </xdr:from>
    <xdr:to>
      <xdr:col>19</xdr:col>
      <xdr:colOff>390525</xdr:colOff>
      <xdr:row>23</xdr:row>
      <xdr:rowOff>167339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59E70-A6D6-BB95-3AB1-24A499DE6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0" y="515247"/>
          <a:ext cx="6362700" cy="40812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8"/>
  <sheetViews>
    <sheetView showGridLines="0" tabSelected="1" topLeftCell="E1" workbookViewId="0">
      <selection activeCell="E6" sqref="E6"/>
    </sheetView>
  </sheetViews>
  <sheetFormatPr baseColWidth="10" defaultColWidth="11.42578125" defaultRowHeight="15" x14ac:dyDescent="0.25"/>
  <cols>
    <col min="1" max="1" width="2.5703125" customWidth="1"/>
    <col min="2" max="2" width="9.140625" customWidth="1"/>
    <col min="6" max="6" width="37.7109375" bestFit="1" customWidth="1"/>
    <col min="7" max="7" width="59.7109375" customWidth="1"/>
    <col min="8" max="8" width="10.42578125" bestFit="1" customWidth="1"/>
    <col min="9" max="9" width="12" bestFit="1" customWidth="1"/>
    <col min="10" max="10" width="11.5703125" bestFit="1" customWidth="1"/>
    <col min="11" max="11" width="12" bestFit="1" customWidth="1"/>
  </cols>
  <sheetData>
    <row r="3" spans="2:11" ht="15.75" thickBot="1" x14ac:dyDescent="0.3"/>
    <row r="4" spans="2:11" ht="15.75" thickBot="1" x14ac:dyDescent="0.3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5.75" thickBot="1" x14ac:dyDescent="0.3">
      <c r="B5" s="5" t="s">
        <v>10</v>
      </c>
      <c r="C5" s="10">
        <v>45924</v>
      </c>
      <c r="D5" s="11">
        <v>137616</v>
      </c>
      <c r="E5" s="6">
        <v>952.87</v>
      </c>
      <c r="F5" s="7" t="s">
        <v>13</v>
      </c>
      <c r="G5" s="8" t="s">
        <v>15</v>
      </c>
      <c r="H5" s="9" t="s">
        <v>12</v>
      </c>
      <c r="I5" s="15">
        <f t="shared" ref="I5:I7" si="0">+D5*E5</f>
        <v>131130157.92</v>
      </c>
      <c r="J5" s="12">
        <f t="shared" ref="J5:J7" si="1">+I5*0.19</f>
        <v>24914730.004799999</v>
      </c>
      <c r="K5" s="13">
        <f t="shared" ref="K5:K7" si="2">+I5+J5</f>
        <v>156044887.92480001</v>
      </c>
    </row>
    <row r="6" spans="2:11" ht="15.75" thickBot="1" x14ac:dyDescent="0.3">
      <c r="B6" s="5" t="s">
        <v>10</v>
      </c>
      <c r="C6" s="10">
        <v>45924</v>
      </c>
      <c r="D6" s="11">
        <v>661.98</v>
      </c>
      <c r="E6" s="6">
        <v>952.87</v>
      </c>
      <c r="F6" s="7" t="s">
        <v>11</v>
      </c>
      <c r="G6" s="8" t="s">
        <v>16</v>
      </c>
      <c r="H6" s="9" t="s">
        <v>12</v>
      </c>
      <c r="I6" s="12">
        <f t="shared" ref="I6" si="3">+D6*E6</f>
        <v>630780.88260000001</v>
      </c>
      <c r="J6" s="12">
        <f t="shared" ref="J6" si="4">+I6*0.19</f>
        <v>119848.367694</v>
      </c>
      <c r="K6" s="13">
        <f t="shared" ref="K6" si="5">+I6+J6</f>
        <v>750629.25029400003</v>
      </c>
    </row>
    <row r="7" spans="2:11" ht="15.75" thickBot="1" x14ac:dyDescent="0.3">
      <c r="B7" s="5" t="s">
        <v>10</v>
      </c>
      <c r="C7" s="10">
        <v>45924</v>
      </c>
      <c r="D7" s="11">
        <v>262.5</v>
      </c>
      <c r="E7" s="6">
        <v>952.87</v>
      </c>
      <c r="F7" s="7" t="s">
        <v>14</v>
      </c>
      <c r="G7" s="8" t="s">
        <v>17</v>
      </c>
      <c r="H7" s="9" t="s">
        <v>12</v>
      </c>
      <c r="I7" s="12">
        <f t="shared" si="0"/>
        <v>250128.375</v>
      </c>
      <c r="J7" s="12">
        <f t="shared" si="1"/>
        <v>47524.391250000001</v>
      </c>
      <c r="K7" s="13">
        <f t="shared" si="2"/>
        <v>297652.76624999999</v>
      </c>
    </row>
    <row r="8" spans="2:11" x14ac:dyDescent="0.25">
      <c r="E8" s="14"/>
      <c r="I8" s="16">
        <f>SUM(I5:I7)</f>
        <v>132011067.1776</v>
      </c>
      <c r="J8" s="16">
        <f>SUM(J5:J7)</f>
        <v>25082102.763744</v>
      </c>
      <c r="K8" s="16">
        <f>SUM(K5:K7)</f>
        <v>157093169.94134402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349F8E5D-DD2B-499E-BFC9-17FB2B607B09}"/>
</file>

<file path=customXml/itemProps3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2025-09-26T14:02:08Z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