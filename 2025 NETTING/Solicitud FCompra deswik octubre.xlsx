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16" documentId="8_{E0593A79-A068-4FA8-BF63-335DB0A54BCB}" xr6:coauthVersionLast="47" xr6:coauthVersionMax="47" xr10:uidLastSave="{06B73368-2AFA-42E6-9D07-0CF9ED8AB482}"/>
  <bookViews>
    <workbookView xWindow="-28920" yWindow="-1380" windowWidth="29040" windowHeight="15720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K6" i="1" s="1"/>
  <c r="I5" i="1" l="1"/>
  <c r="I7" i="1" s="1"/>
  <c r="J5" i="1" l="1"/>
  <c r="K5" i="1" l="1"/>
  <c r="K7" i="1" s="1"/>
  <c r="J7" i="1"/>
</calcChain>
</file>

<file path=xl/sharedStrings.xml><?xml version="1.0" encoding="utf-8"?>
<sst xmlns="http://schemas.openxmlformats.org/spreadsheetml/2006/main" count="18" uniqueCount="16">
  <si>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</si>
  <si>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</si>
  <si>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</si>
  <si>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</si>
  <si>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</si>
  <si>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</si>
  <si>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</si>
  <si>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</si>
  <si>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</si>
  <si>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</si>
  <si>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</si>
  <si>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</si>
  <si>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</si>
  <si>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</si>
  <si>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IVA Proveedor extranjero   F518-513-523-527-1397</t>
  </si>
  <si>
    <t>IVA Proveedor extranjero  90392744-GL6050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</si>
</sst>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0" fontId="2" fillId="0" borderId="0" xfId="0" applyFont="1"/>
    <xf numFmtId="41" fontId="5" fillId="5" borderId="6" xfId="1" applyFont="1" applyFill="1" applyBorder="1" applyAlignment="1">
      <alignment vertical="center"/>
    </xf>
    <xf numFmtId="41" fontId="6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95250</xdr:rowOff>
    </xdr:from>
    <xdr:to>
      <xdr:col>6</xdr:col>
      <xdr:colOff>1096286</xdr:colOff>
      <xdr:row>25</xdr:row>
      <xdr:rowOff>86229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33EEA6-E107-9A37-839B-411BB119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476375"/>
          <a:ext cx="6525536" cy="3610479"/>
        </a:xfrm>
        <a:prstGeom prst="rect">
          <a:avLst/>
        </a:prstGeom>
      </xdr:spPr>
    </xdr:pic>
    <xdr:clientData/>
  </xdr:twoCellAnchor>
  <xdr:twoCellAnchor editAs="oneCell">
    <xdr:from>
      <xdr:col>6</xdr:col>
      <xdr:colOff>1685925</xdr:colOff>
      <xdr:row>7</xdr:row>
      <xdr:rowOff>38100</xdr:rowOff>
    </xdr:from>
    <xdr:to>
      <xdr:col>13</xdr:col>
      <xdr:colOff>429646</xdr:colOff>
      <xdr:row>50</xdr:row>
      <xdr:rowOff>39243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E92970-822E-AD2B-C167-8FB376AE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7575" y="1409700"/>
          <a:ext cx="7316221" cy="8192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85725</xdr:rowOff>
    </xdr:from>
    <xdr:to>
      <xdr:col>6</xdr:col>
      <xdr:colOff>1725045</xdr:colOff>
      <xdr:row>64</xdr:row>
      <xdr:rowOff>153526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A778C4B-2CAC-B741-9228-22B1326FC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314825"/>
          <a:ext cx="7306695" cy="806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7"/>
  <sheetViews>
    <sheetView showGridLines="0" tabSelected="1" workbookViewId="0">
      <selection activeCell="G18" sqref="G18"/>
    </sheetView>
  </sheetViews>
  <sheetFormatPr baseColWidth="10" defaultColWidth="11.42578125" defaultRowHeight="15" x14ac:dyDescent="0.25"/>
  <cols>
    <col min="1" max="1" width="2.5703125" customWidth="1"/>
    <col min="2" max="2" width="9.140625" customWidth="1"/>
    <col min="6" max="6" width="37.7109375" bestFit="1" customWidth="1"/>
    <col min="7" max="7" width="59.7109375" customWidth="1"/>
    <col min="8" max="8" width="10.42578125" bestFit="1" customWidth="1"/>
    <col min="9" max="9" width="12" bestFit="1" customWidth="1"/>
    <col min="10" max="10" width="11.5703125" bestFit="1" customWidth="1"/>
    <col min="11" max="11" width="12" bestFit="1" customWidth="1"/>
  </cols>
  <sheetData>
    <row r="3" spans="2:11" ht="15.75" thickBot="1" x14ac:dyDescent="0.3"/>
    <row r="4" spans="2:11" ht="15.75" thickBot="1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5.75" thickBot="1" x14ac:dyDescent="0.3">
      <c r="B5" s="5" t="s">
        <v>10</v>
      </c>
      <c r="C5" s="10">
        <v>45958</v>
      </c>
      <c r="D5" s="11">
        <v>109876</v>
      </c>
      <c r="E5" s="6">
        <v>938.19</v>
      </c>
      <c r="F5" s="7" t="s">
        <v>13</v>
      </c>
      <c r="G5" s="8" t="s">
        <v>14</v>
      </c>
      <c r="H5" s="9" t="s">
        <v>12</v>
      </c>
      <c r="I5" s="15">
        <f t="shared" ref="I5" si="0">+D5*E5</f>
        <v>103084564.44000001</v>
      </c>
      <c r="J5" s="12">
        <f t="shared" ref="J5" si="1">+I5*0.19</f>
        <v>19586067.243600003</v>
      </c>
      <c r="K5" s="13">
        <f t="shared" ref="K5" si="2">+I5+J5</f>
        <v>122670631.68360001</v>
      </c>
    </row>
    <row r="6" spans="2:11" ht="15.75" thickBot="1" x14ac:dyDescent="0.3">
      <c r="B6" s="5" t="s">
        <v>10</v>
      </c>
      <c r="C6" s="10">
        <v>45958</v>
      </c>
      <c r="D6" s="11">
        <v>673</v>
      </c>
      <c r="E6" s="6">
        <v>938.19</v>
      </c>
      <c r="F6" s="7" t="s">
        <v>11</v>
      </c>
      <c r="G6" s="8" t="s">
        <v>15</v>
      </c>
      <c r="H6" s="9" t="s">
        <v>12</v>
      </c>
      <c r="I6" s="12">
        <f t="shared" ref="I6" si="3">+D6*E6</f>
        <v>631401.87</v>
      </c>
      <c r="J6" s="12">
        <f t="shared" ref="J6" si="4">+I6*0.19</f>
        <v>119966.3553</v>
      </c>
      <c r="K6" s="13">
        <f t="shared" ref="K6" si="5">+I6+J6</f>
        <v>751368.22530000005</v>
      </c>
    </row>
    <row r="7" spans="2:11" x14ac:dyDescent="0.25">
      <c r="E7" s="14"/>
      <c r="I7" s="16">
        <f>SUM(I5:I6)</f>
        <v>103715966.31000002</v>
      </c>
      <c r="J7" s="16">
        <f>SUM(J5:J6)</f>
        <v>19706033.598900005</v>
      </c>
      <c r="K7" s="16">
        <f>SUM(K5:K6)</f>
        <v>123421999.90890001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30BA1-9EA9-4432-ABDA-745504463A63}"/>
</file>

<file path=customXml/itemProps2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2025-11-04T20:32:49Z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