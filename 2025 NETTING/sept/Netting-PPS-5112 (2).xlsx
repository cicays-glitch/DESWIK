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R:\Finance\Chile\00 - EOM\2025\09 september\Netting\"/>
    </mc:Choice>
  </mc:AlternateContent>
  <xr:revisionPtr revIDLastSave="0" documentId="13_ncr:1_{C5636812-E0DE-4BE1-9C83-CB974E1EFB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" l="1"/>
  <c r="M34" i="1"/>
  <c r="M35" i="1" s="1"/>
  <c r="M37" i="1" s="1"/>
  <c r="M33" i="1"/>
  <c r="L33" i="1"/>
  <c r="L32" i="1"/>
  <c r="M32" i="1" s="1"/>
  <c r="L31" i="1"/>
  <c r="M31" i="1" s="1"/>
</calcChain>
</file>

<file path=xl/sharedStrings.xml><?xml version="1.0" encoding="utf-8"?>
<sst xmlns="http://schemas.openxmlformats.org/spreadsheetml/2006/main" count="314" uniqueCount="129">
  <si>
    <t>Invoice Id</t>
  </si>
  <si>
    <t>Party</t>
  </si>
  <si>
    <t>Comment</t>
  </si>
  <si>
    <t>SAP Document Id</t>
  </si>
  <si>
    <t>Sales Order Reference</t>
  </si>
  <si>
    <t>Purchase Order Reference</t>
  </si>
  <si>
    <t>Original Invoice Id</t>
  </si>
  <si>
    <t>Issuer</t>
  </si>
  <si>
    <t>Issue Date</t>
  </si>
  <si>
    <t>Import Date</t>
  </si>
  <si>
    <t>Due Date</t>
  </si>
  <si>
    <t>Amount</t>
  </si>
  <si>
    <t>Currency</t>
  </si>
  <si>
    <t>90391204</t>
  </si>
  <si>
    <t>5112</t>
  </si>
  <si>
    <t>2004003137</t>
  </si>
  <si>
    <t>0030003837</t>
  </si>
  <si>
    <t>IT-Services</t>
  </si>
  <si>
    <t/>
  </si>
  <si>
    <t>0180</t>
  </si>
  <si>
    <t>2025-08-22T00:00:00</t>
  </si>
  <si>
    <t>2025-08-22T14:29:59.02</t>
  </si>
  <si>
    <t>2025-09-10T00:00:00</t>
  </si>
  <si>
    <t>CLP</t>
  </si>
  <si>
    <t>DP25,7-3</t>
  </si>
  <si>
    <t>REC DE GASTOS POLIZA</t>
  </si>
  <si>
    <t>5100</t>
  </si>
  <si>
    <t>2025-07-23T00:00:00</t>
  </si>
  <si>
    <t>2025-07-24T01:51:30.503</t>
  </si>
  <si>
    <t>2025-08-23T00:00:00</t>
  </si>
  <si>
    <t>DP25-08,</t>
  </si>
  <si>
    <t>REC DE GASTOS EXPOMI</t>
  </si>
  <si>
    <t>2025-08-18T00:00:00</t>
  </si>
  <si>
    <t>2025-08-18T18:15:32.057</t>
  </si>
  <si>
    <t>2025-09-18T00:00:00</t>
  </si>
  <si>
    <t>DP25-7.2</t>
  </si>
  <si>
    <t>REC. DE GASTOS POLIZ</t>
  </si>
  <si>
    <t>2025-07-21T00:00:00</t>
  </si>
  <si>
    <t>2025-07-21T16:48:56.063</t>
  </si>
  <si>
    <t>2025-08-21T00:00:00</t>
  </si>
  <si>
    <t>F.501 / W24-1081</t>
  </si>
  <si>
    <t>Wholesale Software</t>
  </si>
  <si>
    <t>9868</t>
  </si>
  <si>
    <t>2025-04-08T00:00:00</t>
  </si>
  <si>
    <t>2025-04-30T23:20:10.953</t>
  </si>
  <si>
    <t>2025-05-08T00:00:00</t>
  </si>
  <si>
    <t>USD</t>
  </si>
  <si>
    <t>F.506 / W24-3756</t>
  </si>
  <si>
    <t>2025-04-16T00:00:00</t>
  </si>
  <si>
    <t>2025-04-30T23:20:14.527</t>
  </si>
  <si>
    <t>2025-05-16T00:00:00</t>
  </si>
  <si>
    <t>F.513 / W24-4188</t>
  </si>
  <si>
    <t>2025-06-05T00:00:00</t>
  </si>
  <si>
    <t>2025-07-01T00:32:31.663</t>
  </si>
  <si>
    <t>2025-07-05T00:00:00</t>
  </si>
  <si>
    <t>F.515 / W25-2584</t>
  </si>
  <si>
    <t>2025-06-18T00:00:00</t>
  </si>
  <si>
    <t>2025-07-01T00:32:42.743</t>
  </si>
  <si>
    <t>2025-07-18T00:00:00</t>
  </si>
  <si>
    <t>F.516 / W24-1571</t>
  </si>
  <si>
    <t>2025-07-01T00:32:32.423</t>
  </si>
  <si>
    <t>F.518 / W24-1875</t>
  </si>
  <si>
    <t>2025-06-30T00:00:00</t>
  </si>
  <si>
    <t>2025-07-01T00:32:33.587</t>
  </si>
  <si>
    <t>2025-07-30T00:00:00</t>
  </si>
  <si>
    <t>F.519 / W24-2260</t>
  </si>
  <si>
    <t>2025-07-04T00:00:00</t>
  </si>
  <si>
    <t>2025-08-01T01:08:59.733</t>
  </si>
  <si>
    <t>2025-08-03T00:00:00</t>
  </si>
  <si>
    <t>F.520 / W24-2261</t>
  </si>
  <si>
    <t>2025-08-01T01:08:58.84</t>
  </si>
  <si>
    <t>F.522 / W24-2292</t>
  </si>
  <si>
    <t>2025-08-01T01:08:55.737</t>
  </si>
  <si>
    <t>F.523 / W25-1212</t>
  </si>
  <si>
    <t>2025-08-01T01:08:55.083</t>
  </si>
  <si>
    <t>F.526 / W24-3045</t>
  </si>
  <si>
    <t>2025-07-25T00:00:00</t>
  </si>
  <si>
    <t>2025-08-01T01:08:56.87</t>
  </si>
  <si>
    <t>2025-08-24T00:00:00</t>
  </si>
  <si>
    <t>F.527 / W25-0277</t>
  </si>
  <si>
    <t>2025-08-01T01:09:00.13</t>
  </si>
  <si>
    <t>2025-08-29T00:00:00</t>
  </si>
  <si>
    <t>F.528 / W25-3510</t>
  </si>
  <si>
    <t>2025-08-12T00:00:00</t>
  </si>
  <si>
    <t>2025-09-01T01:31:11.477</t>
  </si>
  <si>
    <t>2025-09-11T00:00:00</t>
  </si>
  <si>
    <t>F.531 / W25-0714-C01</t>
  </si>
  <si>
    <t>Wholesale Consulting</t>
  </si>
  <si>
    <t>4749</t>
  </si>
  <si>
    <t>2025-08-20T00:00:00</t>
  </si>
  <si>
    <t>2025-08-29T01:27:15.563</t>
  </si>
  <si>
    <t>2025-09-19T00:00:00</t>
  </si>
  <si>
    <t>F.532 &amp; F.533 / W25-0163a</t>
  </si>
  <si>
    <t>F.532 &amp; F.533 / W25-</t>
  </si>
  <si>
    <t>2025-09-01T01:31:11.193</t>
  </si>
  <si>
    <t>F.534 / W24-2647</t>
  </si>
  <si>
    <t>2025-09-01T01:31:11.19</t>
  </si>
  <si>
    <t>F.535 / W24-3493</t>
  </si>
  <si>
    <t>2025-08-25T00:00:00</t>
  </si>
  <si>
    <t>2025-09-01T01:31:06.01</t>
  </si>
  <si>
    <t>2025-09-24T00:00:00</t>
  </si>
  <si>
    <t>FE.1394 / W24-1448</t>
  </si>
  <si>
    <t>2025-04-28T00:00:00</t>
  </si>
  <si>
    <t>2025-04-30T23:20:11.22</t>
  </si>
  <si>
    <t>2025-05-28T00:00:00</t>
  </si>
  <si>
    <t>FE.1395 / W25-1706</t>
  </si>
  <si>
    <t>2025-05-05T00:00:00</t>
  </si>
  <si>
    <t>2025-06-02T00:47:20.57</t>
  </si>
  <si>
    <t>2025-06-04T00:00:00</t>
  </si>
  <si>
    <t>FE.1396 / W24-1524</t>
  </si>
  <si>
    <t>2025-05-13T00:00:00</t>
  </si>
  <si>
    <t>2025-06-02T00:47:22.42</t>
  </si>
  <si>
    <t>2025-06-12T00:00:00</t>
  </si>
  <si>
    <t>FE.1397 / W24-1488</t>
  </si>
  <si>
    <t>2025-05-26T00:00:00</t>
  </si>
  <si>
    <t>2025-06-02T00:47:22.89</t>
  </si>
  <si>
    <t>2025-06-25T00:00:00</t>
  </si>
  <si>
    <t>FE.1403 / W24-2696</t>
  </si>
  <si>
    <t>2025-08-01T00:00:00</t>
  </si>
  <si>
    <t>2025-09-01T01:31:05.177</t>
  </si>
  <si>
    <t>2025-08-31T00:00:00</t>
  </si>
  <si>
    <t>FE.1409 / W24-2558</t>
  </si>
  <si>
    <t>2025-08-27T00:00:00</t>
  </si>
  <si>
    <t>2025-09-01T01:31:11.103</t>
  </si>
  <si>
    <t>2025-09-26T00:00:00</t>
  </si>
  <si>
    <t>Autorizado 150,000 USD</t>
  </si>
  <si>
    <t>Sandvik</t>
  </si>
  <si>
    <t>Sandvik Chile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</si>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</sst>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pane ySplit="1" topLeftCell="A2" activePane="bottomLeft" state="frozen"/>
      <selection pane="bottomLeft" activeCell="L33" sqref="L33:L34"/>
    </sheetView>
  </sheetViews>
  <sheetFormatPr baseColWidth="10" defaultColWidth="8.7265625" defaultRowHeight="15" customHeight="1" x14ac:dyDescent="0.35"/>
  <cols>
    <col min="1" max="1" width="25.7265625" bestFit="1" customWidth="1"/>
    <col min="2" max="2" width="5.7265625" bestFit="1" customWidth="1"/>
    <col min="3" max="3" width="7.7265625" bestFit="1" customWidth="1"/>
    <col min="4" max="4" width="15.7265625" bestFit="1" customWidth="1"/>
    <col min="5" max="5" width="21.7265625" bestFit="1" customWidth="1"/>
    <col min="6" max="6" width="24.7265625" bestFit="1" customWidth="1"/>
    <col min="7" max="7" width="19.7265625" bestFit="1" customWidth="1"/>
    <col min="8" max="8" width="6.7265625" bestFit="1" customWidth="1"/>
    <col min="9" max="9" width="19.7265625" bestFit="1" customWidth="1"/>
    <col min="10" max="10" width="23.7265625" bestFit="1" customWidth="1"/>
    <col min="11" max="11" width="19.7265625" bestFit="1" customWidth="1"/>
    <col min="12" max="12" width="7.7265625" bestFit="1" customWidth="1"/>
    <col min="13" max="13" width="8.7265625" bestFit="1" customWidth="1"/>
  </cols>
  <sheetData>
    <row r="1" spans="1:13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35">
      <c r="A2" s="6" t="s">
        <v>40</v>
      </c>
      <c r="B2" s="6" t="s">
        <v>14</v>
      </c>
      <c r="C2" s="6"/>
      <c r="D2" s="6" t="s">
        <v>18</v>
      </c>
      <c r="E2" s="6" t="s">
        <v>41</v>
      </c>
      <c r="F2" s="6" t="s">
        <v>40</v>
      </c>
      <c r="G2" s="6" t="s">
        <v>18</v>
      </c>
      <c r="H2" s="6" t="s">
        <v>42</v>
      </c>
      <c r="I2" s="6" t="s">
        <v>43</v>
      </c>
      <c r="J2" s="6" t="s">
        <v>44</v>
      </c>
      <c r="K2" s="6" t="s">
        <v>45</v>
      </c>
      <c r="L2" s="6">
        <v>16380</v>
      </c>
      <c r="M2" s="6" t="s">
        <v>46</v>
      </c>
    </row>
    <row r="3" spans="1:13" ht="15" customHeight="1" x14ac:dyDescent="0.35">
      <c r="A3" s="6" t="s">
        <v>47</v>
      </c>
      <c r="B3" s="6" t="s">
        <v>14</v>
      </c>
      <c r="C3" s="6"/>
      <c r="D3" s="6" t="s">
        <v>18</v>
      </c>
      <c r="E3" s="6" t="s">
        <v>41</v>
      </c>
      <c r="F3" s="6" t="s">
        <v>47</v>
      </c>
      <c r="G3" s="6" t="s">
        <v>18</v>
      </c>
      <c r="H3" s="6" t="s">
        <v>42</v>
      </c>
      <c r="I3" s="6" t="s">
        <v>48</v>
      </c>
      <c r="J3" s="6" t="s">
        <v>49</v>
      </c>
      <c r="K3" s="6" t="s">
        <v>50</v>
      </c>
      <c r="L3" s="6">
        <v>15611</v>
      </c>
      <c r="M3" s="6" t="s">
        <v>46</v>
      </c>
    </row>
    <row r="4" spans="1:13" ht="15" customHeight="1" x14ac:dyDescent="0.35">
      <c r="A4" s="6" t="s">
        <v>101</v>
      </c>
      <c r="B4" s="6" t="s">
        <v>14</v>
      </c>
      <c r="C4" s="6"/>
      <c r="D4" s="6" t="s">
        <v>18</v>
      </c>
      <c r="E4" s="6" t="s">
        <v>41</v>
      </c>
      <c r="F4" s="6" t="s">
        <v>101</v>
      </c>
      <c r="G4" s="6" t="s">
        <v>18</v>
      </c>
      <c r="H4" s="6" t="s">
        <v>42</v>
      </c>
      <c r="I4" s="6" t="s">
        <v>102</v>
      </c>
      <c r="J4" s="6" t="s">
        <v>103</v>
      </c>
      <c r="K4" s="6" t="s">
        <v>104</v>
      </c>
      <c r="L4" s="6">
        <v>54711</v>
      </c>
      <c r="M4" s="6" t="s">
        <v>46</v>
      </c>
    </row>
    <row r="5" spans="1:13" ht="15" customHeight="1" x14ac:dyDescent="0.35">
      <c r="A5" s="6" t="s">
        <v>105</v>
      </c>
      <c r="B5" s="6" t="s">
        <v>14</v>
      </c>
      <c r="C5" s="6"/>
      <c r="D5" s="6" t="s">
        <v>18</v>
      </c>
      <c r="E5" s="6" t="s">
        <v>41</v>
      </c>
      <c r="F5" s="6" t="s">
        <v>105</v>
      </c>
      <c r="G5" s="6" t="s">
        <v>18</v>
      </c>
      <c r="H5" s="6" t="s">
        <v>42</v>
      </c>
      <c r="I5" s="6" t="s">
        <v>106</v>
      </c>
      <c r="J5" s="6" t="s">
        <v>107</v>
      </c>
      <c r="K5" s="6" t="s">
        <v>108</v>
      </c>
      <c r="L5" s="6">
        <v>24611</v>
      </c>
      <c r="M5" s="6" t="s">
        <v>46</v>
      </c>
    </row>
    <row r="6" spans="1:13" ht="15" customHeight="1" x14ac:dyDescent="0.35">
      <c r="A6" s="6" t="s">
        <v>109</v>
      </c>
      <c r="B6" s="6" t="s">
        <v>14</v>
      </c>
      <c r="C6" s="6"/>
      <c r="D6" s="6" t="s">
        <v>18</v>
      </c>
      <c r="E6" s="6" t="s">
        <v>41</v>
      </c>
      <c r="F6" s="6" t="s">
        <v>109</v>
      </c>
      <c r="G6" s="6" t="s">
        <v>18</v>
      </c>
      <c r="H6" s="6" t="s">
        <v>42</v>
      </c>
      <c r="I6" s="6" t="s">
        <v>110</v>
      </c>
      <c r="J6" s="6" t="s">
        <v>111</v>
      </c>
      <c r="K6" s="6" t="s">
        <v>112</v>
      </c>
      <c r="L6" s="6">
        <v>11614</v>
      </c>
      <c r="M6" s="6" t="s">
        <v>46</v>
      </c>
    </row>
    <row r="7" spans="1:13" ht="15" customHeight="1" x14ac:dyDescent="0.35">
      <c r="A7" t="s">
        <v>113</v>
      </c>
      <c r="B7" t="s">
        <v>14</v>
      </c>
      <c r="D7" t="s">
        <v>18</v>
      </c>
      <c r="E7" t="s">
        <v>41</v>
      </c>
      <c r="F7" t="s">
        <v>113</v>
      </c>
      <c r="G7" t="s">
        <v>18</v>
      </c>
      <c r="H7" t="s">
        <v>42</v>
      </c>
      <c r="I7" t="s">
        <v>114</v>
      </c>
      <c r="J7" t="s">
        <v>115</v>
      </c>
      <c r="K7" t="s">
        <v>116</v>
      </c>
      <c r="L7">
        <v>35762</v>
      </c>
      <c r="M7" t="s">
        <v>46</v>
      </c>
    </row>
    <row r="8" spans="1:13" ht="15" customHeight="1" x14ac:dyDescent="0.35">
      <c r="A8" s="7" t="s">
        <v>51</v>
      </c>
      <c r="B8" s="7" t="s">
        <v>14</v>
      </c>
      <c r="C8" s="7"/>
      <c r="D8" s="7" t="s">
        <v>18</v>
      </c>
      <c r="E8" s="7" t="s">
        <v>41</v>
      </c>
      <c r="F8" s="7" t="s">
        <v>51</v>
      </c>
      <c r="G8" s="7" t="s">
        <v>18</v>
      </c>
      <c r="H8" s="7" t="s">
        <v>42</v>
      </c>
      <c r="I8" s="7" t="s">
        <v>52</v>
      </c>
      <c r="J8" s="7" t="s">
        <v>53</v>
      </c>
      <c r="K8" s="7" t="s">
        <v>54</v>
      </c>
      <c r="L8" s="7">
        <v>21420</v>
      </c>
      <c r="M8" s="7" t="s">
        <v>46</v>
      </c>
    </row>
    <row r="9" spans="1:13" ht="15" customHeight="1" x14ac:dyDescent="0.35">
      <c r="A9" s="6" t="s">
        <v>55</v>
      </c>
      <c r="B9" s="6" t="s">
        <v>14</v>
      </c>
      <c r="C9" s="6"/>
      <c r="D9" s="6" t="s">
        <v>18</v>
      </c>
      <c r="E9" s="6" t="s">
        <v>41</v>
      </c>
      <c r="F9" s="6" t="s">
        <v>55</v>
      </c>
      <c r="G9" s="6" t="s">
        <v>18</v>
      </c>
      <c r="H9" s="6" t="s">
        <v>42</v>
      </c>
      <c r="I9" s="6" t="s">
        <v>56</v>
      </c>
      <c r="J9" s="6" t="s">
        <v>57</v>
      </c>
      <c r="K9" s="6" t="s">
        <v>58</v>
      </c>
      <c r="L9" s="6">
        <v>2671</v>
      </c>
      <c r="M9" s="6" t="s">
        <v>46</v>
      </c>
    </row>
    <row r="10" spans="1:13" ht="15" customHeight="1" x14ac:dyDescent="0.35">
      <c r="A10" s="6" t="s">
        <v>59</v>
      </c>
      <c r="B10" s="6" t="s">
        <v>14</v>
      </c>
      <c r="C10" s="6"/>
      <c r="D10" s="6" t="s">
        <v>18</v>
      </c>
      <c r="E10" s="6" t="s">
        <v>41</v>
      </c>
      <c r="F10" s="6" t="s">
        <v>59</v>
      </c>
      <c r="G10" s="6" t="s">
        <v>18</v>
      </c>
      <c r="H10" s="6" t="s">
        <v>42</v>
      </c>
      <c r="I10" s="6" t="s">
        <v>56</v>
      </c>
      <c r="J10" s="6" t="s">
        <v>60</v>
      </c>
      <c r="K10" s="6" t="s">
        <v>58</v>
      </c>
      <c r="L10" s="6">
        <v>3544</v>
      </c>
      <c r="M10" s="6" t="s">
        <v>46</v>
      </c>
    </row>
    <row r="11" spans="1:13" ht="15" customHeight="1" x14ac:dyDescent="0.35">
      <c r="A11" s="7" t="s">
        <v>61</v>
      </c>
      <c r="B11" s="7" t="s">
        <v>14</v>
      </c>
      <c r="C11" s="7"/>
      <c r="D11" s="7" t="s">
        <v>18</v>
      </c>
      <c r="E11" s="7" t="s">
        <v>41</v>
      </c>
      <c r="F11" s="7" t="s">
        <v>61</v>
      </c>
      <c r="G11" s="7" t="s">
        <v>18</v>
      </c>
      <c r="H11" s="7" t="s">
        <v>42</v>
      </c>
      <c r="I11" s="7" t="s">
        <v>62</v>
      </c>
      <c r="J11" s="7" t="s">
        <v>63</v>
      </c>
      <c r="K11" s="7" t="s">
        <v>64</v>
      </c>
      <c r="L11" s="7">
        <v>23500</v>
      </c>
      <c r="M11" s="7" t="s">
        <v>46</v>
      </c>
    </row>
    <row r="12" spans="1:13" ht="15" customHeight="1" x14ac:dyDescent="0.35">
      <c r="A12" s="6" t="s">
        <v>65</v>
      </c>
      <c r="B12" s="6" t="s">
        <v>14</v>
      </c>
      <c r="C12" s="6"/>
      <c r="D12" s="6" t="s">
        <v>18</v>
      </c>
      <c r="E12" s="6" t="s">
        <v>41</v>
      </c>
      <c r="F12" s="6" t="s">
        <v>65</v>
      </c>
      <c r="G12" s="6" t="s">
        <v>18</v>
      </c>
      <c r="H12" s="6" t="s">
        <v>42</v>
      </c>
      <c r="I12" s="6" t="s">
        <v>66</v>
      </c>
      <c r="J12" s="6" t="s">
        <v>67</v>
      </c>
      <c r="K12" s="6" t="s">
        <v>68</v>
      </c>
      <c r="L12" s="6">
        <v>8474</v>
      </c>
      <c r="M12" s="6" t="s">
        <v>46</v>
      </c>
    </row>
    <row r="13" spans="1:13" ht="15" customHeight="1" x14ac:dyDescent="0.35">
      <c r="A13" t="s">
        <v>69</v>
      </c>
      <c r="B13" t="s">
        <v>14</v>
      </c>
      <c r="D13" t="s">
        <v>18</v>
      </c>
      <c r="E13" t="s">
        <v>41</v>
      </c>
      <c r="F13" t="s">
        <v>69</v>
      </c>
      <c r="G13" t="s">
        <v>18</v>
      </c>
      <c r="H13" t="s">
        <v>42</v>
      </c>
      <c r="I13" t="s">
        <v>66</v>
      </c>
      <c r="J13" t="s">
        <v>70</v>
      </c>
      <c r="K13" t="s">
        <v>68</v>
      </c>
      <c r="L13">
        <v>51390</v>
      </c>
      <c r="M13" t="s">
        <v>46</v>
      </c>
    </row>
    <row r="14" spans="1:13" ht="15" customHeight="1" x14ac:dyDescent="0.35">
      <c r="A14" t="s">
        <v>71</v>
      </c>
      <c r="B14" t="s">
        <v>14</v>
      </c>
      <c r="D14" t="s">
        <v>18</v>
      </c>
      <c r="E14" t="s">
        <v>41</v>
      </c>
      <c r="F14" t="s">
        <v>71</v>
      </c>
      <c r="G14" t="s">
        <v>18</v>
      </c>
      <c r="H14" t="s">
        <v>42</v>
      </c>
      <c r="I14" t="s">
        <v>66</v>
      </c>
      <c r="J14" t="s">
        <v>72</v>
      </c>
      <c r="K14" t="s">
        <v>68</v>
      </c>
      <c r="L14">
        <v>110712</v>
      </c>
      <c r="M14" t="s">
        <v>46</v>
      </c>
    </row>
    <row r="15" spans="1:13" ht="15" customHeight="1" x14ac:dyDescent="0.35">
      <c r="A15" t="s">
        <v>35</v>
      </c>
      <c r="B15" t="s">
        <v>14</v>
      </c>
      <c r="D15" t="s">
        <v>35</v>
      </c>
      <c r="E15" t="s">
        <v>36</v>
      </c>
      <c r="F15" t="s">
        <v>35</v>
      </c>
      <c r="G15" t="s">
        <v>18</v>
      </c>
      <c r="H15" t="s">
        <v>26</v>
      </c>
      <c r="I15" t="s">
        <v>37</v>
      </c>
      <c r="J15" t="s">
        <v>38</v>
      </c>
      <c r="K15" t="s">
        <v>39</v>
      </c>
      <c r="L15">
        <v>2614086</v>
      </c>
      <c r="M15" t="s">
        <v>23</v>
      </c>
    </row>
    <row r="16" spans="1:13" ht="15" customHeight="1" x14ac:dyDescent="0.35">
      <c r="A16" t="s">
        <v>24</v>
      </c>
      <c r="B16" t="s">
        <v>14</v>
      </c>
      <c r="D16" t="s">
        <v>24</v>
      </c>
      <c r="E16" t="s">
        <v>25</v>
      </c>
      <c r="F16" t="s">
        <v>24</v>
      </c>
      <c r="G16" t="s">
        <v>18</v>
      </c>
      <c r="H16" t="s">
        <v>26</v>
      </c>
      <c r="I16" t="s">
        <v>27</v>
      </c>
      <c r="J16" t="s">
        <v>28</v>
      </c>
      <c r="K16" t="s">
        <v>29</v>
      </c>
      <c r="L16">
        <v>2123844</v>
      </c>
      <c r="M16" t="s">
        <v>23</v>
      </c>
    </row>
    <row r="17" spans="1:13" ht="15" customHeight="1" x14ac:dyDescent="0.35">
      <c r="A17" t="s">
        <v>73</v>
      </c>
      <c r="B17" t="s">
        <v>14</v>
      </c>
      <c r="D17" t="s">
        <v>18</v>
      </c>
      <c r="E17" t="s">
        <v>41</v>
      </c>
      <c r="F17" t="s">
        <v>73</v>
      </c>
      <c r="G17" t="s">
        <v>18</v>
      </c>
      <c r="H17" t="s">
        <v>42</v>
      </c>
      <c r="I17" t="s">
        <v>27</v>
      </c>
      <c r="J17" t="s">
        <v>74</v>
      </c>
      <c r="K17" t="s">
        <v>20</v>
      </c>
      <c r="L17">
        <v>20376</v>
      </c>
      <c r="M17" t="s">
        <v>46</v>
      </c>
    </row>
    <row r="18" spans="1:13" ht="15" customHeight="1" x14ac:dyDescent="0.35">
      <c r="A18" t="s">
        <v>75</v>
      </c>
      <c r="B18" t="s">
        <v>14</v>
      </c>
      <c r="D18" t="s">
        <v>18</v>
      </c>
      <c r="E18" t="s">
        <v>41</v>
      </c>
      <c r="F18" t="s">
        <v>75</v>
      </c>
      <c r="G18" t="s">
        <v>18</v>
      </c>
      <c r="H18" t="s">
        <v>42</v>
      </c>
      <c r="I18" t="s">
        <v>76</v>
      </c>
      <c r="J18" t="s">
        <v>77</v>
      </c>
      <c r="K18" t="s">
        <v>78</v>
      </c>
      <c r="L18">
        <v>28176</v>
      </c>
      <c r="M18" t="s">
        <v>46</v>
      </c>
    </row>
    <row r="19" spans="1:13" ht="15" customHeight="1" x14ac:dyDescent="0.35">
      <c r="A19" t="s">
        <v>79</v>
      </c>
      <c r="B19" t="s">
        <v>14</v>
      </c>
      <c r="D19" t="s">
        <v>18</v>
      </c>
      <c r="E19" t="s">
        <v>41</v>
      </c>
      <c r="F19" t="s">
        <v>79</v>
      </c>
      <c r="G19" t="s">
        <v>18</v>
      </c>
      <c r="H19" t="s">
        <v>42</v>
      </c>
      <c r="I19" t="s">
        <v>64</v>
      </c>
      <c r="J19" t="s">
        <v>80</v>
      </c>
      <c r="K19" t="s">
        <v>81</v>
      </c>
      <c r="L19">
        <v>8818</v>
      </c>
      <c r="M19" t="s">
        <v>46</v>
      </c>
    </row>
    <row r="20" spans="1:13" ht="15" customHeight="1" x14ac:dyDescent="0.35">
      <c r="A20" t="s">
        <v>117</v>
      </c>
      <c r="B20" t="s">
        <v>14</v>
      </c>
      <c r="D20" t="s">
        <v>18</v>
      </c>
      <c r="E20" t="s">
        <v>41</v>
      </c>
      <c r="F20" t="s">
        <v>117</v>
      </c>
      <c r="G20" t="s">
        <v>18</v>
      </c>
      <c r="H20" t="s">
        <v>42</v>
      </c>
      <c r="I20" t="s">
        <v>118</v>
      </c>
      <c r="J20" t="s">
        <v>119</v>
      </c>
      <c r="K20" t="s">
        <v>120</v>
      </c>
      <c r="L20">
        <v>4914</v>
      </c>
      <c r="M20" t="s">
        <v>46</v>
      </c>
    </row>
    <row r="21" spans="1:13" ht="15" customHeight="1" x14ac:dyDescent="0.35">
      <c r="A21" t="s">
        <v>82</v>
      </c>
      <c r="B21" t="s">
        <v>14</v>
      </c>
      <c r="D21" t="s">
        <v>18</v>
      </c>
      <c r="E21" t="s">
        <v>41</v>
      </c>
      <c r="F21" t="s">
        <v>82</v>
      </c>
      <c r="G21" t="s">
        <v>18</v>
      </c>
      <c r="H21" t="s">
        <v>42</v>
      </c>
      <c r="I21" t="s">
        <v>83</v>
      </c>
      <c r="J21" t="s">
        <v>84</v>
      </c>
      <c r="K21" t="s">
        <v>85</v>
      </c>
      <c r="L21">
        <v>1343</v>
      </c>
      <c r="M21" t="s">
        <v>46</v>
      </c>
    </row>
    <row r="22" spans="1:13" ht="15" customHeight="1" x14ac:dyDescent="0.35">
      <c r="A22" s="4" t="s">
        <v>30</v>
      </c>
      <c r="B22" s="4" t="s">
        <v>14</v>
      </c>
      <c r="C22" s="4"/>
      <c r="D22" s="4" t="s">
        <v>30</v>
      </c>
      <c r="E22" s="4" t="s">
        <v>31</v>
      </c>
      <c r="F22" s="4" t="s">
        <v>30</v>
      </c>
      <c r="G22" s="4" t="s">
        <v>18</v>
      </c>
      <c r="H22" s="4" t="s">
        <v>26</v>
      </c>
      <c r="I22" s="4" t="s">
        <v>32</v>
      </c>
      <c r="J22" s="4" t="s">
        <v>33</v>
      </c>
      <c r="K22" s="4" t="s">
        <v>34</v>
      </c>
      <c r="L22" s="4">
        <v>8176522</v>
      </c>
      <c r="M22" s="4" t="s">
        <v>23</v>
      </c>
    </row>
    <row r="23" spans="1:13" ht="15" customHeight="1" x14ac:dyDescent="0.35">
      <c r="A23" s="5" t="s">
        <v>86</v>
      </c>
      <c r="B23" s="5" t="s">
        <v>14</v>
      </c>
      <c r="C23" s="5"/>
      <c r="D23" s="5" t="s">
        <v>18</v>
      </c>
      <c r="E23" s="5" t="s">
        <v>87</v>
      </c>
      <c r="F23" s="5" t="s">
        <v>86</v>
      </c>
      <c r="G23" s="5" t="s">
        <v>18</v>
      </c>
      <c r="H23" s="5" t="s">
        <v>88</v>
      </c>
      <c r="I23" s="5" t="s">
        <v>89</v>
      </c>
      <c r="J23" s="5" t="s">
        <v>90</v>
      </c>
      <c r="K23" s="5" t="s">
        <v>91</v>
      </c>
      <c r="L23" s="5">
        <v>262.5</v>
      </c>
      <c r="M23" s="5" t="s">
        <v>46</v>
      </c>
    </row>
    <row r="24" spans="1:13" ht="15" customHeight="1" x14ac:dyDescent="0.35">
      <c r="A24" t="s">
        <v>92</v>
      </c>
      <c r="B24" t="s">
        <v>14</v>
      </c>
      <c r="D24" t="s">
        <v>18</v>
      </c>
      <c r="E24" t="s">
        <v>41</v>
      </c>
      <c r="F24" t="s">
        <v>93</v>
      </c>
      <c r="G24" t="s">
        <v>18</v>
      </c>
      <c r="H24" t="s">
        <v>42</v>
      </c>
      <c r="I24" t="s">
        <v>89</v>
      </c>
      <c r="J24" t="s">
        <v>94</v>
      </c>
      <c r="K24" t="s">
        <v>91</v>
      </c>
      <c r="L24">
        <v>75572</v>
      </c>
      <c r="M24" t="s">
        <v>46</v>
      </c>
    </row>
    <row r="25" spans="1:13" ht="15" customHeight="1" x14ac:dyDescent="0.35">
      <c r="A25" t="s">
        <v>95</v>
      </c>
      <c r="B25" t="s">
        <v>14</v>
      </c>
      <c r="D25" t="s">
        <v>18</v>
      </c>
      <c r="E25" t="s">
        <v>41</v>
      </c>
      <c r="F25" t="s">
        <v>95</v>
      </c>
      <c r="G25" t="s">
        <v>18</v>
      </c>
      <c r="H25" t="s">
        <v>42</v>
      </c>
      <c r="I25" t="s">
        <v>89</v>
      </c>
      <c r="J25" t="s">
        <v>96</v>
      </c>
      <c r="K25" t="s">
        <v>91</v>
      </c>
      <c r="L25">
        <v>6934</v>
      </c>
      <c r="M25" t="s">
        <v>46</v>
      </c>
    </row>
    <row r="26" spans="1:13" ht="15" customHeight="1" x14ac:dyDescent="0.35">
      <c r="A26" s="3" t="s">
        <v>13</v>
      </c>
      <c r="B26" s="3" t="s">
        <v>14</v>
      </c>
      <c r="C26" s="3"/>
      <c r="D26" s="3" t="s">
        <v>15</v>
      </c>
      <c r="E26" s="3" t="s">
        <v>16</v>
      </c>
      <c r="F26" s="3" t="s">
        <v>17</v>
      </c>
      <c r="G26" s="3" t="s">
        <v>18</v>
      </c>
      <c r="H26" s="3" t="s">
        <v>19</v>
      </c>
      <c r="I26" s="3" t="s">
        <v>20</v>
      </c>
      <c r="J26" s="3" t="s">
        <v>21</v>
      </c>
      <c r="K26" s="3" t="s">
        <v>22</v>
      </c>
      <c r="L26" s="3">
        <v>632406</v>
      </c>
      <c r="M26" s="3" t="s">
        <v>23</v>
      </c>
    </row>
    <row r="27" spans="1:13" ht="15" customHeight="1" x14ac:dyDescent="0.35">
      <c r="A27" t="s">
        <v>97</v>
      </c>
      <c r="B27" t="s">
        <v>14</v>
      </c>
      <c r="D27" t="s">
        <v>18</v>
      </c>
      <c r="E27" t="s">
        <v>41</v>
      </c>
      <c r="F27" t="s">
        <v>97</v>
      </c>
      <c r="G27" t="s">
        <v>18</v>
      </c>
      <c r="H27" t="s">
        <v>42</v>
      </c>
      <c r="I27" t="s">
        <v>98</v>
      </c>
      <c r="J27" t="s">
        <v>99</v>
      </c>
      <c r="K27" t="s">
        <v>100</v>
      </c>
      <c r="L27">
        <v>4410</v>
      </c>
      <c r="M27" t="s">
        <v>46</v>
      </c>
    </row>
    <row r="28" spans="1:13" ht="15" customHeight="1" x14ac:dyDescent="0.35">
      <c r="A28" t="s">
        <v>121</v>
      </c>
      <c r="B28" t="s">
        <v>14</v>
      </c>
      <c r="D28" t="s">
        <v>18</v>
      </c>
      <c r="E28" t="s">
        <v>41</v>
      </c>
      <c r="F28" t="s">
        <v>121</v>
      </c>
      <c r="G28" t="s">
        <v>18</v>
      </c>
      <c r="H28" t="s">
        <v>42</v>
      </c>
      <c r="I28" t="s">
        <v>122</v>
      </c>
      <c r="J28" t="s">
        <v>123</v>
      </c>
      <c r="K28" t="s">
        <v>124</v>
      </c>
      <c r="L28">
        <v>42590</v>
      </c>
      <c r="M28" t="s">
        <v>46</v>
      </c>
    </row>
    <row r="31" spans="1:13" ht="15" customHeight="1" x14ac:dyDescent="0.35">
      <c r="F31" s="2" t="s">
        <v>125</v>
      </c>
      <c r="K31" t="s">
        <v>126</v>
      </c>
      <c r="L31">
        <f>+L26</f>
        <v>632406</v>
      </c>
      <c r="M31">
        <f>+L31/953</f>
        <v>663.59496327387194</v>
      </c>
    </row>
    <row r="32" spans="1:13" ht="15" customHeight="1" x14ac:dyDescent="0.35">
      <c r="K32" t="s">
        <v>127</v>
      </c>
      <c r="L32">
        <f>+L22</f>
        <v>8176522</v>
      </c>
      <c r="M32">
        <f>+L32/953</f>
        <v>8579.771248688352</v>
      </c>
    </row>
    <row r="33" spans="11:13" ht="15" customHeight="1" x14ac:dyDescent="0.35">
      <c r="K33" t="s">
        <v>128</v>
      </c>
      <c r="L33">
        <f>+L23</f>
        <v>262.5</v>
      </c>
      <c r="M33">
        <f>+L33</f>
        <v>262.5</v>
      </c>
    </row>
    <row r="34" spans="11:13" ht="15" customHeight="1" x14ac:dyDescent="0.35">
      <c r="L34">
        <f>+L2+L3+L4+L5+L6+L9+L10+L12</f>
        <v>137616</v>
      </c>
      <c r="M34">
        <f>+L34</f>
        <v>137616</v>
      </c>
    </row>
    <row r="35" spans="11:13" ht="15" customHeight="1" x14ac:dyDescent="0.35">
      <c r="M35" s="2">
        <f>+SUM(M31:M34)</f>
        <v>147121.86621196222</v>
      </c>
    </row>
    <row r="37" spans="11:13" ht="15" customHeight="1" x14ac:dyDescent="0.35">
      <c r="M37">
        <f>150000-M35</f>
        <v>2878.1337880377832</v>
      </c>
    </row>
  </sheetData>
  <sortState xmlns:xlrd2="http://schemas.microsoft.com/office/spreadsheetml/2017/richdata2" ref="A2:M28">
    <sortCondition ref="I2:I2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4B807D-1517-42A6-AB93-6814A7CC0AC2}"/>
</file>

<file path=customXml/itemProps2.xml><?xml version="1.0" encoding="utf-8"?>
<ds:datastoreItem xmlns:ds="http://schemas.openxmlformats.org/officeDocument/2006/customXml" ds:itemID="{EE05E360-C96E-4253-8DFB-4E1888AE0E0C}"/>
</file>

<file path=customXml/itemProps3.xml><?xml version="1.0" encoding="utf-8"?>
<ds:datastoreItem xmlns:ds="http://schemas.openxmlformats.org/officeDocument/2006/customXml" ds:itemID="{DE4F3D19-9721-4C04-B1A2-313B279959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Carolina Otalvaro</cp:lastModifiedBy>
  <dcterms:created xsi:type="dcterms:W3CDTF">2025-09-16T20:52:34Z</dcterms:created>
  <dcterms:modified xsi:type="dcterms:W3CDTF">2025-09-16T21:04:37Z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