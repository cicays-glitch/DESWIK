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10" documentId="8_{D6902007-5148-4C88-821D-0F84104B6E8F}" xr6:coauthVersionLast="47" xr6:coauthVersionMax="47" xr10:uidLastSave="{5EBF05AF-71D9-4841-9989-75403A53E1E1}"/>
  <bookViews>
    <workbookView xWindow="-28935" yWindow="0" windowWidth="28905" windowHeight="8760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I6" i="1" s="1"/>
  <c r="J6" i="1" s="1"/>
  <c r="C6" i="1"/>
  <c r="C7" i="1" s="1"/>
  <c r="C8" i="1" s="1"/>
  <c r="I7" i="1"/>
  <c r="J7" i="1" s="1"/>
  <c r="K7" i="1" s="1"/>
  <c r="K6" i="1" l="1"/>
  <c r="I8" i="1" l="1"/>
  <c r="J8" i="1" l="1"/>
  <c r="K8" i="1" s="1"/>
  <c r="I5" i="1" l="1"/>
  <c r="J5" i="1" l="1"/>
  <c r="K5" i="1" s="1"/>
</calcChain>
</file>

<file path=xl/sharedStrings.xml><?xml version="1.0" encoding="utf-8"?>
<sst xmlns="http://schemas.openxmlformats.org/spreadsheetml/2006/main" count="26" uniqueCount="20">
  <si>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</si>
  <si>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</si>
  <si>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</si>
  <si>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</si>
  <si>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</si>
  <si>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</si>
  <si>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</si>
  <si>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</si>
  <si>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</si>
  <si>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</si>
  <si>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</si>
  <si>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</si>
  <si>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</si>
  <si>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</si>
  <si>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DESWIK CANADA</t>
  </si>
  <si>
    <t>IVA Proveedor extranjero  F493-494-496-497-498</t>
  </si>
  <si>
    <t>IVA Proveedor extranjero  90390489-GL605</t>
  </si>
  <si>
    <t>IVA Proveedor extranjero  F.1371/W24-2346-C02</t>
  </si>
  <si>
    <t>IVA Proveedor extranjero  GL 112 DS-DP2506 (reintegro expomin)</t>
  </si>
  <si>
    <t>Sandvik  Chile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</si>
</sst>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2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4" fontId="2" fillId="3" borderId="4" xfId="0" applyNumberFormat="1" applyFont="1" applyFill="1" applyBorder="1"/>
    <xf numFmtId="164" fontId="2" fillId="0" borderId="4" xfId="1" applyNumberFormat="1" applyFont="1" applyBorder="1"/>
    <xf numFmtId="41" fontId="5" fillId="4" borderId="6" xfId="1" applyFont="1" applyFill="1" applyBorder="1" applyAlignment="1">
      <alignment vertical="center"/>
    </xf>
    <xf numFmtId="41" fontId="5" fillId="4" borderId="6" xfId="0" applyNumberFormat="1" applyFont="1" applyFill="1" applyBorder="1" applyAlignment="1">
      <alignment vertical="center"/>
    </xf>
    <xf numFmtId="0" fontId="2" fillId="0" borderId="0" xfId="0" applyFont="1"/>
    <xf numFmtId="41" fontId="5" fillId="5" borderId="6" xfId="1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377190</xdr:colOff>
      <xdr:row>1</xdr:row>
      <xdr:rowOff>40198</xdr:rowOff>
    </xdr:from>
    <xdr:to>
      <xdr:col>18</xdr:col>
      <xdr:colOff>427700</xdr:colOff>
      <xdr:row>18</xdr:row>
      <xdr:rowOff>29172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A442D1-A080-4AFF-65FD-4AA70B721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4990" y="221173"/>
          <a:ext cx="5517860" cy="3122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9"/>
  <sheetViews>
    <sheetView showGridLines="0" tabSelected="1" workbookViewId="0">
      <selection activeCell="G6" sqref="G6"/>
    </sheetView>
  </sheetViews>
  <sheetFormatPr baseColWidth="10" defaultColWidth="11.44140625" defaultRowHeight="14.4" x14ac:dyDescent="0.3"/>
  <cols>
    <col min="1" max="1" width="2.5546875" customWidth="1"/>
    <col min="2" max="2" width="9.109375" customWidth="1"/>
    <col min="6" max="6" width="37.6640625" bestFit="1" customWidth="1"/>
    <col min="7" max="7" width="59.6640625" customWidth="1"/>
    <col min="8" max="8" width="10.44140625" bestFit="1" customWidth="1"/>
  </cols>
  <sheetData>
    <row r="3" spans="2:11" ht="15" thickBot="1" x14ac:dyDescent="0.35"/>
    <row r="4" spans="2:11" ht="1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5" thickBot="1" x14ac:dyDescent="0.35">
      <c r="B5" s="5" t="s">
        <v>10</v>
      </c>
      <c r="C5" s="10">
        <v>45895</v>
      </c>
      <c r="D5" s="11">
        <v>84526</v>
      </c>
      <c r="E5" s="6">
        <v>962.51</v>
      </c>
      <c r="F5" s="7" t="s">
        <v>13</v>
      </c>
      <c r="G5" s="8" t="s">
        <v>15</v>
      </c>
      <c r="H5" s="9" t="s">
        <v>12</v>
      </c>
      <c r="I5" s="15">
        <f t="shared" ref="I5:I8" si="0">+D5*E5</f>
        <v>81357120.260000005</v>
      </c>
      <c r="J5" s="12">
        <f t="shared" ref="J5:J8" si="1">+I5*0.19</f>
        <v>15457852.849400001</v>
      </c>
      <c r="K5" s="13">
        <f t="shared" ref="K5:K8" si="2">+I5+J5</f>
        <v>96814973.109400004</v>
      </c>
    </row>
    <row r="6" spans="2:11" ht="15" thickBot="1" x14ac:dyDescent="0.35">
      <c r="B6" s="5" t="s">
        <v>10</v>
      </c>
      <c r="C6" s="10">
        <f>+C5</f>
        <v>45895</v>
      </c>
      <c r="D6" s="11">
        <v>25983.42</v>
      </c>
      <c r="E6" s="6">
        <f>+E5</f>
        <v>962.51</v>
      </c>
      <c r="F6" s="16" t="s">
        <v>19</v>
      </c>
      <c r="G6" s="8" t="s">
        <v>18</v>
      </c>
      <c r="H6" s="9" t="s">
        <v>12</v>
      </c>
      <c r="I6" s="12">
        <f t="shared" ref="I6:I7" si="3">+D6*E6</f>
        <v>25009301.584199999</v>
      </c>
      <c r="J6" s="12">
        <f t="shared" ref="J6:J7" si="4">+I6*0.19</f>
        <v>4751767.3009979995</v>
      </c>
      <c r="K6" s="13">
        <f t="shared" ref="K6:K7" si="5">+I6+J6</f>
        <v>29761068.885197997</v>
      </c>
    </row>
    <row r="7" spans="2:11" ht="15" thickBot="1" x14ac:dyDescent="0.35">
      <c r="B7" s="5" t="s">
        <v>10</v>
      </c>
      <c r="C7" s="10">
        <f t="shared" ref="C7:C8" si="6">+C6</f>
        <v>45895</v>
      </c>
      <c r="D7" s="11">
        <v>726.05</v>
      </c>
      <c r="E7" s="6">
        <f t="shared" ref="E7:E8" si="7">+E6</f>
        <v>962.51</v>
      </c>
      <c r="F7" s="7" t="s">
        <v>11</v>
      </c>
      <c r="G7" s="8" t="s">
        <v>16</v>
      </c>
      <c r="H7" s="9" t="s">
        <v>12</v>
      </c>
      <c r="I7" s="12">
        <f t="shared" si="3"/>
        <v>698830.38549999997</v>
      </c>
      <c r="J7" s="12">
        <f t="shared" si="4"/>
        <v>132777.77324499999</v>
      </c>
      <c r="K7" s="13">
        <f t="shared" si="5"/>
        <v>831608.15874499991</v>
      </c>
    </row>
    <row r="8" spans="2:11" ht="15" thickBot="1" x14ac:dyDescent="0.35">
      <c r="B8" s="5" t="s">
        <v>10</v>
      </c>
      <c r="C8" s="10">
        <f t="shared" si="6"/>
        <v>45895</v>
      </c>
      <c r="D8" s="11">
        <v>150</v>
      </c>
      <c r="E8" s="6">
        <f t="shared" si="7"/>
        <v>962.51</v>
      </c>
      <c r="F8" s="7" t="s">
        <v>14</v>
      </c>
      <c r="G8" s="8" t="s">
        <v>17</v>
      </c>
      <c r="H8" s="9" t="s">
        <v>12</v>
      </c>
      <c r="I8" s="12">
        <f t="shared" si="0"/>
        <v>144376.5</v>
      </c>
      <c r="J8" s="12">
        <f t="shared" si="1"/>
        <v>27431.535</v>
      </c>
      <c r="K8" s="13">
        <f t="shared" si="2"/>
        <v>171808.035</v>
      </c>
    </row>
    <row r="9" spans="2:11" x14ac:dyDescent="0.3">
      <c r="E9" s="14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2FC9837-30A5-4090-A475-1BCBF6B86F49}"/>
</file>

<file path=customXml/itemProps3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2025-11-25T19:45:46Z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