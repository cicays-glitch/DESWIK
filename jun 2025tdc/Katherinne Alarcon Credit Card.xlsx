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jun/"/>
    </mc:Choice>
  </mc:AlternateContent>
  <xr:revisionPtr revIDLastSave="82" documentId="13_ncr:9_{64372D74-D609-4CE4-A499-E1375C77E4AA}" xr6:coauthVersionLast="47" xr6:coauthVersionMax="47" xr10:uidLastSave="{CE6E6598-5ECB-420A-8025-1482378C7A69}"/>
  <bookViews>
    <workbookView minimized="1" xWindow="-28815" yWindow="-1035" windowWidth="15720" windowHeight="10605" xr2:uid="{FD5CEB7C-659D-4A58-9E20-A0989302A7C7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2" i="1"/>
  <c r="P12" i="1"/>
  <c r="M75" i="1"/>
  <c r="Q56" i="1"/>
  <c r="M56" i="1"/>
  <c r="Q57" i="1"/>
  <c r="M57" i="1"/>
  <c r="Q58" i="1"/>
  <c r="M58" i="1"/>
  <c r="Q59" i="1"/>
  <c r="M59" i="1"/>
  <c r="Q60" i="1"/>
  <c r="M60" i="1"/>
  <c r="Q61" i="1"/>
  <c r="M61" i="1"/>
  <c r="Q62" i="1"/>
  <c r="M62" i="1"/>
  <c r="Q63" i="1"/>
  <c r="M63" i="1"/>
  <c r="Q64" i="1"/>
  <c r="M64" i="1"/>
  <c r="Q65" i="1"/>
  <c r="M65" i="1"/>
  <c r="Q66" i="1"/>
  <c r="M66" i="1"/>
  <c r="Q67" i="1"/>
  <c r="M67" i="1"/>
  <c r="Q68" i="1"/>
  <c r="M68" i="1"/>
  <c r="Q69" i="1"/>
  <c r="M69" i="1"/>
  <c r="Q70" i="1"/>
  <c r="M70" i="1"/>
  <c r="Q71" i="1"/>
  <c r="M71" i="1"/>
  <c r="Q72" i="1"/>
  <c r="M72" i="1"/>
  <c r="Q73" i="1"/>
  <c r="M73" i="1"/>
  <c r="Q55" i="1"/>
  <c r="M55" i="1"/>
</calcChain>
</file>

<file path=xl/sharedStrings.xml><?xml version="1.0" encoding="utf-8"?>
<sst xmlns="http://schemas.openxmlformats.org/spreadsheetml/2006/main" count="327" uniqueCount="83">
  <si>
    <t>Fecha</t>
  </si>
  <si>
    <t>Descripción</t>
  </si>
  <si>
    <t>Tipo de Tarjeta:</t>
  </si>
  <si>
    <t>Cuotas</t>
  </si>
  <si>
    <t>Montos</t>
  </si>
  <si>
    <t>Movimientos Nacionales</t>
  </si>
  <si>
    <t>Categoría</t>
  </si>
  <si>
    <t>Moneda:</t>
  </si>
  <si>
    <t>Pesos Chilenos (CLP)</t>
  </si>
  <si>
    <t>Nombre Empresa:</t>
  </si>
  <si>
    <t>Rut:</t>
  </si>
  <si>
    <t xml:space="preserve">Sr(a).: </t>
  </si>
  <si>
    <t>Monto Facturado</t>
  </si>
  <si>
    <t>Pago Mínimo</t>
  </si>
  <si>
    <t>Fecha  de Facturación</t>
  </si>
  <si>
    <t>Pagar Hasta</t>
  </si>
  <si>
    <t>Total de Pagos, Compras, Cuotas y Avance</t>
  </si>
  <si>
    <t>Total Cargos, Comisiones, Impuestos y Abonos</t>
  </si>
  <si>
    <r>
      <rPr>
        <b/>
        <sz val="20"/>
        <color indexed="8"/>
        <rFont val="Arial"/>
        <family val="2"/>
      </rPr>
      <t>Movimientos Facturados</t>
    </r>
    <r>
      <rPr>
        <b/>
        <sz val="18"/>
        <color indexed="8"/>
        <rFont val="Arial"/>
        <family val="2"/>
      </rPr>
      <t/>
    </r>
  </si>
  <si>
    <t>ALARCON E. KATHERINNE</t>
  </si>
  <si>
    <t>Deswik Chile SpA</t>
  </si>
  <si>
    <t>76388284-5</t>
  </si>
  <si>
    <t>Mastercard Corporate Estandar ****1266</t>
  </si>
  <si>
    <t>26/06/2025</t>
  </si>
  <si>
    <t>29/07/2025</t>
  </si>
  <si>
    <t>25/06/2025</t>
  </si>
  <si>
    <t>PAYU *UBER EATS SANTIAGO</t>
  </si>
  <si>
    <t>01/01</t>
  </si>
  <si>
    <t>KUSHKI *JUSTO CHILE SANTIAGO</t>
  </si>
  <si>
    <t>24/06/2025</t>
  </si>
  <si>
    <t>MERPAGO*MANTAR MANTAR LAS CONDES</t>
  </si>
  <si>
    <t>12/06/2025</t>
  </si>
  <si>
    <t>PAGO AUTOMATICO</t>
  </si>
  <si>
    <t>06/06/2025</t>
  </si>
  <si>
    <t>SINDICATO DE TAXIS SANTIAGO</t>
  </si>
  <si>
    <t>01/06/2025</t>
  </si>
  <si>
    <t>SALAR DEL SOL ESPIGO SANTIAGO</t>
  </si>
  <si>
    <t>IMPUESTO DECRETO LEY 3475 TASA 0,066 %</t>
  </si>
  <si>
    <t>COMISION MENSUAL POR MANTENCION</t>
  </si>
  <si>
    <t>INTERESES ROTATIVOS</t>
  </si>
  <si>
    <t>TRASPASO DEUDA INTERNACIONAL</t>
  </si>
  <si>
    <t>09/06/2025</t>
  </si>
  <si>
    <t>COMISION COMPRA INTERNACIONAL</t>
  </si>
  <si>
    <t>05/06/2025</t>
  </si>
  <si>
    <t>04/06/2025</t>
  </si>
  <si>
    <t>03/06/2025</t>
  </si>
  <si>
    <t>GL 6716 Taxi</t>
  </si>
  <si>
    <t>GL 5031 training Material</t>
  </si>
  <si>
    <t>GL 6714 - Meals travel</t>
  </si>
  <si>
    <t>GL 6012 - Bank Fees</t>
  </si>
  <si>
    <t>Movimientos Internacionales</t>
  </si>
  <si>
    <t>País</t>
  </si>
  <si>
    <t>Monto Moneda Origen</t>
  </si>
  <si>
    <t>Monto</t>
  </si>
  <si>
    <t>Total  Compras</t>
  </si>
  <si>
    <t>SB 139 AEROPUERTO INTE</t>
  </si>
  <si>
    <t>PERU</t>
  </si>
  <si>
    <t>CUMBIA HOUSE INTERNACI</t>
  </si>
  <si>
    <t>COLOMBIA</t>
  </si>
  <si>
    <t>DUTY FREE LAGARDERE SA</t>
  </si>
  <si>
    <t>BOLD*Travel turismo</t>
  </si>
  <si>
    <t>WAJACA VIVA ENVIGADO</t>
  </si>
  <si>
    <t>TOSTAO CAFE Y PAN SAN</t>
  </si>
  <si>
    <t>HOTEL SAN FERNANDO PLA</t>
  </si>
  <si>
    <t>GRUPO HACIENDA MILLA D</t>
  </si>
  <si>
    <t>JUNIN BAR PROVENZA</t>
  </si>
  <si>
    <t>OXXO SAN FERNANDO PLAZ</t>
  </si>
  <si>
    <t>BOLD*Contigo Peru</t>
  </si>
  <si>
    <t>VALBUENA BROTHERS COMP</t>
  </si>
  <si>
    <t>02/06/2025</t>
  </si>
  <si>
    <t>PARMESSANO LA STRADA</t>
  </si>
  <si>
    <t>JUAN VALDEZ CENTRO 43</t>
  </si>
  <si>
    <t>TRAVEL MARKET ATO BOG</t>
  </si>
  <si>
    <t>Latam.com</t>
  </si>
  <si>
    <t>ESPAï¿½A</t>
  </si>
  <si>
    <t>Total Comisiones, Otros Cargos y Abono a la Cuenta</t>
  </si>
  <si>
    <t>TRASPASO DEUDA INTERNAC</t>
  </si>
  <si>
    <t>TAXIS, TRENES Y BUSES</t>
  </si>
  <si>
    <t>GASTOS BANCARIOS CLP</t>
  </si>
  <si>
    <t>ALIMENTACION EN VIAJES</t>
  </si>
  <si>
    <t>MATERIALES DE ENTRENAMIENTO</t>
  </si>
  <si>
    <t>TC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</si>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</sst>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antiago, &quot;dd\ mmmm\ yyyy"/>
    <numFmt numFmtId="165" formatCode="&quot;$&quot;\ #,##0"/>
    <numFmt numFmtId="166" formatCode="dd\/mm\/yyyy"/>
  </numFmts>
  <fonts count="26">
    <font>
      <sz val="11"/>
      <color theme="1"/>
      <name val="Calibri"/>
      <family val="2"/>
      <scheme val="minor"/>
    </font>
    <font>
      <sz val="11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8"/>
      <color indexed="8"/>
      <name val="Arial"/>
      <family val="2"/>
    </font>
    <font>
      <b/>
      <sz val="2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 tint="0.14999847407452621"/>
      <name val="Arial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b/>
      <sz val="11"/>
      <color theme="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0" tint="-0.34998626667073579"/>
      <name val="Arial"/>
      <family val="2"/>
    </font>
    <font>
      <sz val="10"/>
      <color theme="1"/>
      <name val="Arial Unicode MS"/>
      <family val="2"/>
    </font>
    <font>
      <sz val="20"/>
      <color theme="1"/>
      <name val="Arial"/>
      <family val="2"/>
    </font>
    <font>
      <b/>
      <sz val="20"/>
      <color theme="1" tint="0.1499984740745262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14999847407452621"/>
      </left>
      <right/>
      <top/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/>
      <top/>
      <bottom style="medium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6" fillId="2" borderId="1" applyNumberFormat="0" applyFont="0" applyAlignment="0" applyProtection="0"/>
  </cellStyleXfs>
  <cellXfs count="12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6" xfId="0" applyFont="1" applyBorder="1"/>
    <xf numFmtId="0" fontId="9" fillId="0" borderId="12" xfId="0" applyFont="1" applyBorder="1" applyAlignment="1">
      <alignment horizontal="left"/>
    </xf>
    <xf numFmtId="0" fontId="8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9" fillId="0" borderId="16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10" fillId="0" borderId="2" xfId="0" applyFont="1" applyBorder="1"/>
    <xf numFmtId="0" fontId="10" fillId="0" borderId="12" xfId="0" applyFont="1" applyBorder="1"/>
    <xf numFmtId="0" fontId="10" fillId="0" borderId="17" xfId="0" applyFont="1" applyBorder="1"/>
    <xf numFmtId="0" fontId="10" fillId="0" borderId="8" xfId="0" applyFont="1" applyBorder="1"/>
    <xf numFmtId="0" fontId="10" fillId="0" borderId="0" xfId="0" applyFont="1"/>
    <xf numFmtId="164" fontId="11" fillId="0" borderId="9" xfId="0" applyNumberFormat="1" applyFont="1" applyBorder="1"/>
    <xf numFmtId="20" fontId="12" fillId="0" borderId="9" xfId="0" applyNumberFormat="1" applyFont="1" applyBorder="1"/>
    <xf numFmtId="0" fontId="10" fillId="0" borderId="6" xfId="0" applyFont="1" applyBorder="1"/>
    <xf numFmtId="0" fontId="12" fillId="0" borderId="9" xfId="0" applyFont="1" applyBorder="1"/>
    <xf numFmtId="0" fontId="13" fillId="0" borderId="7" xfId="1" applyFont="1" applyBorder="1"/>
    <xf numFmtId="0" fontId="14" fillId="0" borderId="17" xfId="0" applyFont="1" applyBorder="1"/>
    <xf numFmtId="0" fontId="10" fillId="0" borderId="3" xfId="0" applyFont="1" applyBorder="1"/>
    <xf numFmtId="0" fontId="10" fillId="0" borderId="13" xfId="0" applyFont="1" applyBorder="1"/>
    <xf numFmtId="0" fontId="15" fillId="4" borderId="18" xfId="0" applyFont="1" applyFill="1" applyBorder="1" applyAlignment="1">
      <alignment horizontal="left" vertical="center" indent="1"/>
    </xf>
    <xf numFmtId="0" fontId="10" fillId="3" borderId="0" xfId="0" applyFont="1" applyFill="1"/>
    <xf numFmtId="0" fontId="16" fillId="3" borderId="0" xfId="0" applyFont="1" applyFill="1" applyAlignment="1">
      <alignment horizontal="center" vertical="center"/>
    </xf>
    <xf numFmtId="0" fontId="18" fillId="0" borderId="3" xfId="0" applyFont="1" applyBorder="1"/>
    <xf numFmtId="0" fontId="15" fillId="4" borderId="19" xfId="0" applyFont="1" applyFill="1" applyBorder="1" applyAlignment="1">
      <alignment horizontal="left" vertical="center" indent="1"/>
    </xf>
    <xf numFmtId="0" fontId="15" fillId="3" borderId="20" xfId="0" applyFont="1" applyFill="1" applyBorder="1" applyAlignment="1">
      <alignment horizontal="left" vertical="center" indent="1"/>
    </xf>
    <xf numFmtId="165" fontId="10" fillId="3" borderId="21" xfId="0" applyNumberFormat="1" applyFont="1" applyFill="1" applyBorder="1" applyAlignment="1">
      <alignment vertical="center" wrapText="1"/>
    </xf>
    <xf numFmtId="0" fontId="15" fillId="3" borderId="22" xfId="0" applyFont="1" applyFill="1" applyBorder="1" applyAlignment="1">
      <alignment horizontal="left" vertical="center" indent="1"/>
    </xf>
    <xf numFmtId="12" fontId="10" fillId="3" borderId="24" xfId="0" applyNumberFormat="1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vertical="center"/>
    </xf>
    <xf numFmtId="0" fontId="15" fillId="3" borderId="21" xfId="0" applyFont="1" applyFill="1" applyBorder="1" applyAlignment="1">
      <alignment vertical="center"/>
    </xf>
    <xf numFmtId="0" fontId="10" fillId="3" borderId="21" xfId="0" applyFont="1" applyFill="1" applyBorder="1" applyAlignment="1">
      <alignment vertical="center" wrapText="1"/>
    </xf>
    <xf numFmtId="0" fontId="15" fillId="3" borderId="24" xfId="0" applyFont="1" applyFill="1" applyBorder="1" applyAlignment="1">
      <alignment vertical="center"/>
    </xf>
    <xf numFmtId="0" fontId="10" fillId="3" borderId="24" xfId="0" applyFont="1" applyFill="1" applyBorder="1" applyAlignment="1">
      <alignment vertical="center" wrapText="1"/>
    </xf>
    <xf numFmtId="165" fontId="10" fillId="3" borderId="23" xfId="0" applyNumberFormat="1" applyFont="1" applyFill="1" applyBorder="1" applyAlignment="1">
      <alignment vertical="center" wrapText="1"/>
    </xf>
    <xf numFmtId="165" fontId="10" fillId="3" borderId="24" xfId="0" applyNumberFormat="1" applyFont="1" applyFill="1" applyBorder="1" applyAlignment="1">
      <alignment vertical="center" wrapText="1"/>
    </xf>
    <xf numFmtId="165" fontId="10" fillId="3" borderId="26" xfId="0" applyNumberFormat="1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166" fontId="10" fillId="3" borderId="24" xfId="0" applyNumberFormat="1" applyFont="1" applyFill="1" applyBorder="1" applyAlignment="1">
      <alignment horizontal="left" vertical="center" wrapText="1"/>
    </xf>
    <xf numFmtId="0" fontId="10" fillId="3" borderId="25" xfId="0" applyFont="1" applyFill="1" applyBorder="1" applyAlignment="1">
      <alignment horizontal="left" vertical="center" wrapText="1"/>
    </xf>
    <xf numFmtId="0" fontId="10" fillId="3" borderId="24" xfId="0" applyFont="1" applyFill="1" applyBorder="1" applyAlignment="1">
      <alignment horizontal="left" vertical="center" wrapText="1"/>
    </xf>
    <xf numFmtId="0" fontId="10" fillId="0" borderId="14" xfId="0" applyFont="1" applyBorder="1"/>
    <xf numFmtId="0" fontId="10" fillId="3" borderId="18" xfId="0" applyFont="1" applyFill="1" applyBorder="1" applyAlignment="1">
      <alignment horizontal="left" vertical="center" wrapText="1" indent="1"/>
    </xf>
    <xf numFmtId="0" fontId="12" fillId="0" borderId="6" xfId="0" applyFont="1" applyBorder="1"/>
    <xf numFmtId="0" fontId="10" fillId="0" borderId="6" xfId="0" applyFont="1" applyBorder="1" applyAlignment="1">
      <alignment horizontal="left"/>
    </xf>
    <xf numFmtId="0" fontId="17" fillId="3" borderId="0" xfId="0" applyFont="1" applyFill="1" applyAlignment="1">
      <alignment horizontal="center" vertical="center"/>
    </xf>
    <xf numFmtId="0" fontId="12" fillId="0" borderId="6" xfId="0" applyFont="1" applyBorder="1" applyAlignment="1">
      <alignment horizontal="left"/>
    </xf>
    <xf numFmtId="0" fontId="17" fillId="3" borderId="27" xfId="0" applyFont="1" applyFill="1" applyBorder="1" applyAlignment="1">
      <alignment vertical="center"/>
    </xf>
    <xf numFmtId="0" fontId="17" fillId="3" borderId="28" xfId="0" applyFont="1" applyFill="1" applyBorder="1" applyAlignment="1">
      <alignment vertical="center"/>
    </xf>
    <xf numFmtId="12" fontId="10" fillId="3" borderId="29" xfId="0" applyNumberFormat="1" applyFont="1" applyFill="1" applyBorder="1" applyAlignment="1">
      <alignment horizontal="left" vertical="center" wrapText="1" indent="1"/>
    </xf>
    <xf numFmtId="14" fontId="1" fillId="3" borderId="2" xfId="2" applyNumberFormat="1" applyFont="1" applyFill="1" applyBorder="1" applyAlignment="1"/>
    <xf numFmtId="14" fontId="1" fillId="3" borderId="0" xfId="2" applyNumberFormat="1" applyFont="1" applyFill="1" applyBorder="1" applyAlignment="1"/>
    <xf numFmtId="0" fontId="10" fillId="0" borderId="4" xfId="0" applyFont="1" applyBorder="1"/>
    <xf numFmtId="0" fontId="10" fillId="0" borderId="5" xfId="0" applyFont="1" applyBorder="1"/>
    <xf numFmtId="0" fontId="10" fillId="0" borderId="16" xfId="0" applyFont="1" applyBorder="1"/>
    <xf numFmtId="0" fontId="10" fillId="0" borderId="9" xfId="0" applyFont="1" applyBorder="1" applyAlignment="1">
      <alignment horizontal="left"/>
    </xf>
    <xf numFmtId="14" fontId="1" fillId="3" borderId="9" xfId="2" applyNumberFormat="1" applyFont="1" applyFill="1" applyBorder="1" applyAlignment="1"/>
    <xf numFmtId="166" fontId="10" fillId="0" borderId="9" xfId="0" applyNumberFormat="1" applyFont="1" applyBorder="1" applyAlignment="1">
      <alignment horizontal="left"/>
    </xf>
    <xf numFmtId="0" fontId="19" fillId="0" borderId="3" xfId="0" applyFont="1" applyBorder="1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left" vertical="center" wrapText="1" indent="1"/>
    </xf>
    <xf numFmtId="4" fontId="10" fillId="3" borderId="29" xfId="0" applyNumberFormat="1" applyFont="1" applyFill="1" applyBorder="1" applyAlignment="1">
      <alignment horizontal="right" vertical="center" wrapText="1" indent="1"/>
    </xf>
    <xf numFmtId="0" fontId="25" fillId="0" borderId="0" xfId="0" applyFont="1"/>
    <xf numFmtId="0" fontId="23" fillId="0" borderId="0" xfId="0" applyFont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4" fontId="10" fillId="3" borderId="0" xfId="0" applyNumberFormat="1" applyFont="1" applyFill="1" applyAlignment="1">
      <alignment horizontal="right" vertical="center" wrapText="1" indent="1"/>
    </xf>
    <xf numFmtId="0" fontId="24" fillId="0" borderId="0" xfId="0" applyFont="1"/>
    <xf numFmtId="3" fontId="10" fillId="3" borderId="19" xfId="0" applyNumberFormat="1" applyFont="1" applyFill="1" applyBorder="1" applyAlignment="1">
      <alignment horizontal="right" vertical="center" wrapText="1" indent="1"/>
    </xf>
    <xf numFmtId="3" fontId="10" fillId="3" borderId="30" xfId="0" applyNumberFormat="1" applyFont="1" applyFill="1" applyBorder="1" applyAlignment="1">
      <alignment horizontal="right" vertical="center" wrapText="1" indent="1"/>
    </xf>
    <xf numFmtId="3" fontId="10" fillId="3" borderId="31" xfId="0" applyNumberFormat="1" applyFont="1" applyFill="1" applyBorder="1" applyAlignment="1">
      <alignment horizontal="right" vertical="center" wrapText="1" indent="1"/>
    </xf>
    <xf numFmtId="0" fontId="10" fillId="3" borderId="19" xfId="0" applyFont="1" applyFill="1" applyBorder="1" applyAlignment="1">
      <alignment horizontal="left" vertical="center" wrapText="1" indent="1"/>
    </xf>
    <xf numFmtId="0" fontId="10" fillId="3" borderId="30" xfId="0" applyFont="1" applyFill="1" applyBorder="1" applyAlignment="1">
      <alignment horizontal="left" vertical="center" wrapText="1" indent="1"/>
    </xf>
    <xf numFmtId="0" fontId="10" fillId="3" borderId="29" xfId="0" applyFont="1" applyFill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3" fillId="3" borderId="32" xfId="0" applyFont="1" applyFill="1" applyBorder="1" applyAlignment="1">
      <alignment horizontal="center" wrapText="1"/>
    </xf>
    <xf numFmtId="0" fontId="2" fillId="3" borderId="27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166" fontId="10" fillId="0" borderId="9" xfId="0" applyNumberFormat="1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3" fontId="22" fillId="3" borderId="33" xfId="0" applyNumberFormat="1" applyFont="1" applyFill="1" applyBorder="1" applyAlignment="1">
      <alignment horizontal="center" vertical="top"/>
    </xf>
    <xf numFmtId="3" fontId="22" fillId="3" borderId="28" xfId="0" applyNumberFormat="1" applyFont="1" applyFill="1" applyBorder="1" applyAlignment="1">
      <alignment horizontal="center" vertical="top"/>
    </xf>
    <xf numFmtId="0" fontId="3" fillId="3" borderId="27" xfId="0" applyFont="1" applyFill="1" applyBorder="1" applyAlignment="1">
      <alignment horizontal="center" wrapText="1"/>
    </xf>
    <xf numFmtId="0" fontId="22" fillId="3" borderId="27" xfId="0" applyFont="1" applyFill="1" applyBorder="1" applyAlignment="1">
      <alignment horizontal="center" wrapText="1"/>
    </xf>
    <xf numFmtId="14" fontId="22" fillId="3" borderId="28" xfId="0" applyNumberFormat="1" applyFont="1" applyFill="1" applyBorder="1" applyAlignment="1">
      <alignment horizontal="center" vertical="top"/>
    </xf>
    <xf numFmtId="0" fontId="22" fillId="3" borderId="28" xfId="0" applyFont="1" applyFill="1" applyBorder="1" applyAlignment="1">
      <alignment horizontal="center" vertical="top"/>
    </xf>
    <xf numFmtId="0" fontId="22" fillId="3" borderId="34" xfId="0" applyFont="1" applyFill="1" applyBorder="1" applyAlignment="1">
      <alignment horizontal="center" wrapText="1"/>
    </xf>
    <xf numFmtId="0" fontId="22" fillId="3" borderId="35" xfId="0" applyFont="1" applyFill="1" applyBorder="1" applyAlignment="1">
      <alignment horizontal="center" vertical="top"/>
    </xf>
    <xf numFmtId="0" fontId="15" fillId="4" borderId="19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wrapText="1"/>
    </xf>
    <xf numFmtId="0" fontId="23" fillId="0" borderId="2" xfId="0" applyFont="1" applyBorder="1" applyAlignment="1">
      <alignment horizontal="left" wrapText="1"/>
    </xf>
    <xf numFmtId="0" fontId="23" fillId="0" borderId="13" xfId="0" applyFont="1" applyBorder="1" applyAlignment="1">
      <alignment horizontal="left" wrapText="1"/>
    </xf>
    <xf numFmtId="0" fontId="20" fillId="0" borderId="14" xfId="0" applyFont="1" applyBorder="1" applyAlignment="1">
      <alignment horizontal="left" wrapText="1"/>
    </xf>
    <xf numFmtId="0" fontId="23" fillId="0" borderId="14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15" fillId="4" borderId="19" xfId="0" applyFont="1" applyFill="1" applyBorder="1" applyAlignment="1">
      <alignment horizontal="left" vertical="center" indent="1"/>
    </xf>
    <xf numFmtId="0" fontId="15" fillId="4" borderId="31" xfId="0" applyFont="1" applyFill="1" applyBorder="1" applyAlignment="1">
      <alignment horizontal="left" vertical="center" indent="1"/>
    </xf>
    <xf numFmtId="166" fontId="10" fillId="3" borderId="19" xfId="0" applyNumberFormat="1" applyFont="1" applyFill="1" applyBorder="1" applyAlignment="1">
      <alignment horizontal="left" vertical="center" wrapText="1" indent="1" readingOrder="1"/>
    </xf>
    <xf numFmtId="166" fontId="10" fillId="3" borderId="31" xfId="0" applyNumberFormat="1" applyFont="1" applyFill="1" applyBorder="1" applyAlignment="1">
      <alignment horizontal="left" vertical="center" wrapText="1" indent="1" readingOrder="1"/>
    </xf>
    <xf numFmtId="0" fontId="10" fillId="3" borderId="31" xfId="0" applyFont="1" applyFill="1" applyBorder="1" applyAlignment="1">
      <alignment horizontal="left" vertical="center" wrapText="1" indent="1"/>
    </xf>
    <xf numFmtId="4" fontId="10" fillId="3" borderId="19" xfId="0" applyNumberFormat="1" applyFont="1" applyFill="1" applyBorder="1" applyAlignment="1">
      <alignment horizontal="right" vertical="center" wrapText="1" indent="1"/>
    </xf>
    <xf numFmtId="4" fontId="10" fillId="3" borderId="30" xfId="0" applyNumberFormat="1" applyFont="1" applyFill="1" applyBorder="1" applyAlignment="1">
      <alignment horizontal="right" vertical="center" wrapText="1" indent="1"/>
    </xf>
    <xf numFmtId="4" fontId="10" fillId="3" borderId="31" xfId="0" applyNumberFormat="1" applyFont="1" applyFill="1" applyBorder="1" applyAlignment="1">
      <alignment horizontal="right" vertical="center" wrapText="1" indent="1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6350</xdr:rowOff>
    </xdr:from>
    <xdr:to>
      <xdr:col>2</xdr:col>
      <xdr:colOff>1327151</xdr:colOff>
      <xdr:row>3</xdr:row>
      <xdr:rowOff>146050</xdr:rowOff>
    </xdr:to>
    <xdr:pic>
      <xdr:nvPicPr>
        <xdr:cNvPr id="1485" name="1 Imagen" descr="http://upload.wikimedia.org/wikipedia/en/a/aa/Banco_de_Chile_Logo.png">
          <a:extLst>
            <a:ext uri="{FF2B5EF4-FFF2-40B4-BE49-F238E27FC236}">
              <a16:creationId xmlns:a16="http://schemas.microsoft.com/office/drawing/2014/main" id="{A0D24E47-5287-AFB1-00D9-9AE0CC031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349250"/>
          <a:ext cx="295275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4486-B45B-4480-8ECF-142520FCFE79}">
  <sheetPr codeName="Hoja1"/>
  <dimension ref="A1:X126"/>
  <sheetViews>
    <sheetView tabSelected="1" topLeftCell="A18" zoomScale="70" zoomScaleNormal="70" workbookViewId="0">
      <selection activeCell="D21" sqref="D21:F21"/>
    </sheetView>
  </sheetViews>
  <sheetFormatPr baseColWidth="10" defaultRowHeight="15"/>
  <cols>
    <col min="1" max="1" width="3.140625" customWidth="1"/>
    <col min="2" max="2" width="23.42578125" customWidth="1"/>
    <col min="3" max="3" width="22" customWidth="1"/>
    <col min="4" max="4" width="26.42578125" customWidth="1"/>
    <col min="5" max="5" width="9.85546875" customWidth="1"/>
    <col min="6" max="6" width="27.42578125" customWidth="1"/>
    <col min="7" max="7" width="25.28515625" customWidth="1"/>
    <col min="8" max="8" width="2.42578125" hidden="1" customWidth="1"/>
    <col min="9" max="9" width="2" hidden="1" customWidth="1"/>
    <col min="10" max="10" width="27.140625" customWidth="1"/>
    <col min="11" max="11" width="1.140625" customWidth="1"/>
    <col min="12" max="13" width="15.85546875" customWidth="1"/>
    <col min="14" max="14" width="18.140625" customWidth="1"/>
    <col min="18" max="18" width="22.140625" bestFit="1" customWidth="1"/>
  </cols>
  <sheetData>
    <row r="1" spans="1:16" ht="27" customHeight="1">
      <c r="A1" s="5"/>
      <c r="B1" s="6"/>
      <c r="C1" s="8"/>
      <c r="D1" s="8"/>
      <c r="E1" s="4"/>
      <c r="F1" s="1"/>
      <c r="G1" s="1"/>
      <c r="H1" s="1"/>
      <c r="I1" s="6"/>
      <c r="J1" s="6"/>
      <c r="K1" s="3"/>
      <c r="L1" s="3"/>
    </row>
    <row r="2" spans="1:16">
      <c r="A2" s="4"/>
      <c r="B2" s="17"/>
      <c r="C2" s="18"/>
      <c r="D2" s="18"/>
      <c r="E2" s="19"/>
      <c r="F2" s="17"/>
      <c r="G2" s="17"/>
      <c r="H2" s="17"/>
      <c r="I2" s="18"/>
      <c r="J2" s="17"/>
      <c r="K2" s="20"/>
      <c r="L2" s="9"/>
    </row>
    <row r="3" spans="1:16">
      <c r="A3" s="8"/>
      <c r="B3" s="21"/>
      <c r="C3" s="22"/>
      <c r="D3" s="22"/>
      <c r="E3" s="17"/>
      <c r="F3" s="21"/>
      <c r="G3" s="17"/>
      <c r="H3" s="21"/>
      <c r="I3" s="23"/>
      <c r="J3" s="24"/>
      <c r="K3" s="25"/>
      <c r="L3" s="7"/>
      <c r="N3" s="15"/>
    </row>
    <row r="4" spans="1:16">
      <c r="A4" s="8"/>
      <c r="B4" s="30"/>
      <c r="C4" s="30"/>
      <c r="D4" s="30"/>
      <c r="E4" s="54"/>
      <c r="F4" s="30"/>
      <c r="G4" s="30"/>
      <c r="H4" s="30"/>
      <c r="I4" s="30"/>
      <c r="J4" s="30"/>
      <c r="K4" s="30"/>
      <c r="L4" s="9"/>
    </row>
    <row r="5" spans="1:16" ht="6" customHeight="1">
      <c r="A5" s="8"/>
      <c r="B5" s="17"/>
      <c r="C5" s="17"/>
      <c r="D5" s="17"/>
      <c r="E5" s="17"/>
      <c r="F5" s="17"/>
      <c r="G5" s="17"/>
      <c r="H5" s="17"/>
      <c r="I5" s="17"/>
      <c r="J5" s="17"/>
      <c r="K5" s="17"/>
      <c r="L5" s="10"/>
      <c r="M5" s="12"/>
    </row>
    <row r="6" spans="1:16" ht="17.25" customHeight="1">
      <c r="A6" s="8"/>
      <c r="B6" s="91"/>
      <c r="C6" s="92"/>
      <c r="D6" s="92"/>
      <c r="E6" s="93"/>
      <c r="F6" s="65"/>
      <c r="G6" s="65"/>
      <c r="H6" s="65"/>
      <c r="I6" s="30"/>
      <c r="J6" s="65"/>
      <c r="K6" s="66"/>
      <c r="L6" s="3"/>
      <c r="O6" s="43">
        <f>SUMIF(N:N,N6,M:M)</f>
        <v>0</v>
      </c>
      <c r="P6" s="12"/>
    </row>
    <row r="7" spans="1:16" ht="23.25">
      <c r="A7" s="8"/>
      <c r="B7" s="11"/>
      <c r="C7" s="11"/>
      <c r="D7" s="16"/>
      <c r="E7" s="16"/>
      <c r="F7" s="67"/>
      <c r="G7" s="67"/>
      <c r="H7" s="67"/>
      <c r="I7" s="67"/>
      <c r="J7" s="67"/>
      <c r="K7" s="67"/>
      <c r="L7" s="4"/>
      <c r="N7">
        <v>7020902</v>
      </c>
      <c r="O7" s="43">
        <f>SUMIF(N:N,N7,M:M)</f>
        <v>150100</v>
      </c>
    </row>
    <row r="8" spans="1:16">
      <c r="A8" s="8"/>
      <c r="B8" s="27" t="s">
        <v>11</v>
      </c>
      <c r="C8" s="20" t="s">
        <v>19</v>
      </c>
      <c r="D8" s="17"/>
      <c r="E8" s="17"/>
      <c r="F8" s="17"/>
      <c r="G8" s="95"/>
      <c r="H8" s="95"/>
      <c r="I8" s="95"/>
      <c r="J8" s="95"/>
      <c r="K8" s="68"/>
      <c r="L8" s="7"/>
      <c r="N8" s="45">
        <v>8040708</v>
      </c>
      <c r="O8" s="43">
        <f>SUMIF(N:N,N8,M:M)</f>
        <v>115303</v>
      </c>
    </row>
    <row r="9" spans="1:16">
      <c r="A9" s="8"/>
      <c r="B9" s="56" t="s">
        <v>9</v>
      </c>
      <c r="C9" s="63" t="s">
        <v>20</v>
      </c>
      <c r="D9" s="69"/>
      <c r="E9" s="17"/>
      <c r="F9" s="68"/>
      <c r="G9" s="94"/>
      <c r="H9" s="94"/>
      <c r="I9" s="94"/>
      <c r="J9" s="94"/>
      <c r="K9" s="94"/>
      <c r="L9" s="7"/>
      <c r="N9" s="45">
        <v>8040706</v>
      </c>
      <c r="O9" s="43">
        <f t="shared" ref="O9:O10" si="0">SUMIF(N:N,N9,M:M)</f>
        <v>693171</v>
      </c>
    </row>
    <row r="10" spans="1:16">
      <c r="A10" s="8"/>
      <c r="B10" s="59" t="s">
        <v>10</v>
      </c>
      <c r="C10" s="57" t="s">
        <v>21</v>
      </c>
      <c r="D10" s="68"/>
      <c r="E10" s="68"/>
      <c r="F10" s="68"/>
      <c r="G10" s="70"/>
      <c r="H10" s="70"/>
      <c r="I10" s="70"/>
      <c r="J10" s="70"/>
      <c r="K10" s="70"/>
      <c r="L10" s="4"/>
      <c r="N10" s="45">
        <v>8051301</v>
      </c>
      <c r="O10" s="43">
        <f t="shared" si="0"/>
        <v>1686447</v>
      </c>
    </row>
    <row r="11" spans="1:16">
      <c r="A11" s="8"/>
      <c r="B11" s="27" t="s">
        <v>2</v>
      </c>
      <c r="C11" s="54" t="s">
        <v>22</v>
      </c>
      <c r="D11" s="17"/>
      <c r="E11" s="17"/>
      <c r="F11" s="68"/>
      <c r="G11" s="70"/>
      <c r="H11" s="70"/>
      <c r="I11" s="70"/>
      <c r="J11" s="70"/>
      <c r="K11" s="70"/>
      <c r="L11" s="4"/>
      <c r="N11" s="45"/>
      <c r="O11" s="43"/>
    </row>
    <row r="12" spans="1:16">
      <c r="A12" s="8"/>
      <c r="B12" s="56" t="s">
        <v>7</v>
      </c>
      <c r="C12" s="64" t="s">
        <v>8</v>
      </c>
      <c r="D12" s="64"/>
      <c r="E12" s="22"/>
      <c r="F12" s="21"/>
      <c r="G12" s="21"/>
      <c r="H12" s="21"/>
      <c r="I12" s="21"/>
      <c r="J12" s="21"/>
      <c r="K12" s="21"/>
      <c r="L12" s="3"/>
      <c r="N12" s="75"/>
      <c r="O12" s="79">
        <f>SUM(O6:O11)</f>
        <v>2645021</v>
      </c>
      <c r="P12">
        <f>O12-M75</f>
        <v>0</v>
      </c>
    </row>
    <row r="13" spans="1:16" ht="24" customHeight="1">
      <c r="A13" s="8"/>
      <c r="B13" s="21"/>
      <c r="C13" s="21"/>
      <c r="D13" s="28"/>
      <c r="E13" s="21"/>
      <c r="F13" s="21"/>
      <c r="G13" s="21"/>
      <c r="H13" s="21"/>
      <c r="I13" s="17"/>
      <c r="J13" s="29"/>
      <c r="K13" s="26"/>
      <c r="L13" s="10"/>
      <c r="M13" s="12"/>
    </row>
    <row r="14" spans="1:16" ht="27" thickBot="1">
      <c r="A14" s="9"/>
      <c r="B14" s="86" t="s">
        <v>18</v>
      </c>
      <c r="C14" s="87"/>
      <c r="D14" s="87"/>
      <c r="E14" s="88"/>
      <c r="F14" s="35"/>
      <c r="G14" s="30"/>
      <c r="H14" s="31"/>
      <c r="I14" s="31"/>
      <c r="J14" s="30"/>
      <c r="K14" s="19"/>
      <c r="L14" s="9"/>
    </row>
    <row r="15" spans="1:16" ht="24.95" customHeight="1">
      <c r="A15" s="9"/>
      <c r="B15" s="89" t="s">
        <v>12</v>
      </c>
      <c r="C15" s="90"/>
      <c r="D15" s="98" t="s">
        <v>13</v>
      </c>
      <c r="E15" s="99"/>
      <c r="F15" s="98" t="s">
        <v>14</v>
      </c>
      <c r="G15" s="99"/>
      <c r="H15" s="60"/>
      <c r="I15" s="60"/>
      <c r="J15" s="98" t="s">
        <v>15</v>
      </c>
      <c r="K15" s="102"/>
      <c r="L15" s="7"/>
    </row>
    <row r="16" spans="1:16" ht="24.95" customHeight="1" thickBot="1">
      <c r="A16" s="4"/>
      <c r="B16" s="96">
        <v>2020460</v>
      </c>
      <c r="C16" s="97"/>
      <c r="D16" s="97">
        <v>84230</v>
      </c>
      <c r="E16" s="97"/>
      <c r="F16" s="100" t="s">
        <v>23</v>
      </c>
      <c r="G16" s="101"/>
      <c r="H16" s="61"/>
      <c r="I16" s="61"/>
      <c r="J16" s="100" t="s">
        <v>24</v>
      </c>
      <c r="K16" s="103"/>
      <c r="L16" s="3"/>
      <c r="N16" s="12"/>
    </row>
    <row r="17" spans="1:24" ht="17.25" customHeight="1">
      <c r="A17" s="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3"/>
      <c r="N17" s="12"/>
    </row>
    <row r="18" spans="1:24" ht="24.75" customHeight="1">
      <c r="A18" s="5"/>
      <c r="B18" s="107" t="s">
        <v>5</v>
      </c>
      <c r="C18" s="108"/>
      <c r="D18" s="108"/>
      <c r="E18" s="109"/>
      <c r="F18" s="110"/>
      <c r="G18" s="87"/>
      <c r="H18" s="87"/>
      <c r="I18" s="88"/>
      <c r="J18" s="110"/>
      <c r="K18" s="87"/>
      <c r="L18" s="3"/>
    </row>
    <row r="19" spans="1:24" ht="23.25" customHeight="1">
      <c r="A19" s="7"/>
      <c r="B19" s="36" t="s">
        <v>6</v>
      </c>
      <c r="C19" s="32" t="s">
        <v>0</v>
      </c>
      <c r="D19" s="104" t="s">
        <v>1</v>
      </c>
      <c r="E19" s="105"/>
      <c r="F19" s="106"/>
      <c r="G19" s="32" t="s">
        <v>3</v>
      </c>
      <c r="H19" s="104" t="s">
        <v>4</v>
      </c>
      <c r="I19" s="105"/>
      <c r="J19" s="105"/>
      <c r="K19" s="106"/>
      <c r="L19" s="7"/>
      <c r="O19" s="37"/>
      <c r="P19" s="44"/>
      <c r="Q19" s="42"/>
      <c r="R19" s="39"/>
      <c r="S19" s="37"/>
      <c r="T19" s="37"/>
      <c r="U19" s="41"/>
      <c r="V19" s="44"/>
      <c r="W19" s="42"/>
      <c r="X19" s="42"/>
    </row>
    <row r="20" spans="1:24" ht="42.95" customHeight="1">
      <c r="A20" s="49"/>
      <c r="B20" s="55" t="s">
        <v>16</v>
      </c>
      <c r="C20" s="55" t="s">
        <v>25</v>
      </c>
      <c r="D20" s="83" t="s">
        <v>26</v>
      </c>
      <c r="E20" s="84"/>
      <c r="F20" s="85"/>
      <c r="G20" s="62" t="s">
        <v>27</v>
      </c>
      <c r="H20" s="80">
        <v>89303</v>
      </c>
      <c r="I20" s="81"/>
      <c r="J20" s="81"/>
      <c r="K20" s="82"/>
      <c r="L20" s="49" t="s">
        <v>46</v>
      </c>
      <c r="M20" s="50">
        <v>89303</v>
      </c>
      <c r="N20">
        <v>8040708</v>
      </c>
      <c r="O20" s="51" t="s">
        <v>77</v>
      </c>
      <c r="P20" s="45"/>
      <c r="Q20" s="43"/>
      <c r="R20" s="52"/>
      <c r="S20" s="53"/>
      <c r="T20" s="40"/>
      <c r="U20" s="48"/>
      <c r="V20" s="46"/>
      <c r="W20" s="47"/>
      <c r="X20" s="38"/>
    </row>
    <row r="21" spans="1:24" s="50" customFormat="1" ht="42.95" customHeight="1">
      <c r="A21" s="49"/>
      <c r="B21" s="55" t="s">
        <v>16</v>
      </c>
      <c r="C21" s="55" t="s">
        <v>25</v>
      </c>
      <c r="D21" s="83" t="s">
        <v>28</v>
      </c>
      <c r="E21" s="84"/>
      <c r="F21" s="85"/>
      <c r="G21" s="62" t="s">
        <v>27</v>
      </c>
      <c r="H21" s="80">
        <v>76800</v>
      </c>
      <c r="I21" s="81"/>
      <c r="J21" s="81"/>
      <c r="K21" s="82"/>
      <c r="L21" s="49" t="s">
        <v>47</v>
      </c>
      <c r="M21" s="50">
        <v>76800</v>
      </c>
      <c r="N21">
        <v>7020902</v>
      </c>
      <c r="O21" t="s">
        <v>80</v>
      </c>
      <c r="P21" s="45"/>
      <c r="Q21" s="43"/>
      <c r="R21" s="52"/>
      <c r="S21" s="53"/>
      <c r="T21" s="40"/>
      <c r="U21" s="48"/>
      <c r="V21" s="46"/>
      <c r="W21" s="47"/>
      <c r="X21" s="38"/>
    </row>
    <row r="22" spans="1:24" ht="42.95" customHeight="1">
      <c r="A22" s="49"/>
      <c r="B22" s="55" t="s">
        <v>16</v>
      </c>
      <c r="C22" s="55" t="s">
        <v>29</v>
      </c>
      <c r="D22" s="83" t="s">
        <v>28</v>
      </c>
      <c r="E22" s="84"/>
      <c r="F22" s="85"/>
      <c r="G22" s="62" t="s">
        <v>27</v>
      </c>
      <c r="H22" s="80">
        <v>73300</v>
      </c>
      <c r="I22" s="81"/>
      <c r="J22" s="81"/>
      <c r="K22" s="82"/>
      <c r="L22" s="49" t="s">
        <v>47</v>
      </c>
      <c r="M22" s="50">
        <v>73300</v>
      </c>
      <c r="N22">
        <v>7020902</v>
      </c>
      <c r="O22" t="s">
        <v>80</v>
      </c>
      <c r="P22" s="45"/>
      <c r="Q22" s="43"/>
      <c r="R22" s="52"/>
      <c r="S22" s="53"/>
      <c r="T22" s="40"/>
      <c r="U22" s="48"/>
      <c r="V22" s="46"/>
      <c r="W22" s="47"/>
      <c r="X22" s="38"/>
    </row>
    <row r="23" spans="1:24" ht="42.95" customHeight="1">
      <c r="A23" s="49"/>
      <c r="B23" s="55" t="s">
        <v>16</v>
      </c>
      <c r="C23" s="55" t="s">
        <v>29</v>
      </c>
      <c r="D23" s="83" t="s">
        <v>30</v>
      </c>
      <c r="E23" s="84"/>
      <c r="F23" s="85"/>
      <c r="G23" s="62" t="s">
        <v>27</v>
      </c>
      <c r="H23" s="80">
        <v>65010</v>
      </c>
      <c r="I23" s="81"/>
      <c r="J23" s="81"/>
      <c r="K23" s="82"/>
      <c r="L23" s="49" t="s">
        <v>48</v>
      </c>
      <c r="M23" s="50">
        <v>65010</v>
      </c>
      <c r="N23">
        <v>8040706</v>
      </c>
      <c r="O23" t="s">
        <v>79</v>
      </c>
      <c r="P23" s="45"/>
      <c r="Q23" s="43"/>
      <c r="R23" s="52"/>
      <c r="S23" s="53"/>
      <c r="T23" s="40"/>
      <c r="U23" s="48"/>
      <c r="V23" s="46"/>
      <c r="W23" s="47"/>
      <c r="X23" s="38"/>
    </row>
    <row r="24" spans="1:24" ht="42.95" customHeight="1">
      <c r="A24" s="49"/>
      <c r="B24" s="55" t="s">
        <v>16</v>
      </c>
      <c r="C24" s="55" t="s">
        <v>31</v>
      </c>
      <c r="D24" s="83" t="s">
        <v>32</v>
      </c>
      <c r="E24" s="84"/>
      <c r="F24" s="85"/>
      <c r="G24" s="62" t="s">
        <v>27</v>
      </c>
      <c r="H24" s="80">
        <v>-100449</v>
      </c>
      <c r="I24" s="81"/>
      <c r="J24" s="81"/>
      <c r="K24" s="82"/>
      <c r="L24" s="49"/>
      <c r="M24" s="50"/>
      <c r="O24" s="51"/>
      <c r="P24" s="45"/>
      <c r="Q24" s="43"/>
      <c r="R24" s="52"/>
      <c r="S24" s="53"/>
      <c r="T24" s="40"/>
      <c r="U24" s="48"/>
      <c r="V24" s="46"/>
      <c r="W24" s="47"/>
      <c r="X24" s="38"/>
    </row>
    <row r="25" spans="1:24" s="50" customFormat="1" ht="42.95" customHeight="1">
      <c r="A25" s="49"/>
      <c r="B25" s="55" t="s">
        <v>16</v>
      </c>
      <c r="C25" s="55" t="s">
        <v>33</v>
      </c>
      <c r="D25" s="83" t="s">
        <v>34</v>
      </c>
      <c r="E25" s="84"/>
      <c r="F25" s="85"/>
      <c r="G25" s="62" t="s">
        <v>27</v>
      </c>
      <c r="H25" s="80">
        <v>26000</v>
      </c>
      <c r="I25" s="81"/>
      <c r="J25" s="81"/>
      <c r="K25" s="82"/>
      <c r="L25" s="49" t="s">
        <v>46</v>
      </c>
      <c r="M25" s="50">
        <v>26000</v>
      </c>
      <c r="N25">
        <v>8040708</v>
      </c>
      <c r="O25" s="51" t="s">
        <v>77</v>
      </c>
      <c r="P25" s="45"/>
      <c r="Q25" s="43"/>
      <c r="R25" s="52"/>
      <c r="S25" s="53"/>
      <c r="T25" s="40"/>
      <c r="U25" s="48"/>
      <c r="V25" s="46"/>
      <c r="W25" s="47"/>
      <c r="X25" s="38"/>
    </row>
    <row r="26" spans="1:24" s="50" customFormat="1" ht="42.95" customHeight="1">
      <c r="A26" s="49"/>
      <c r="B26" s="55" t="s">
        <v>16</v>
      </c>
      <c r="C26" s="55" t="s">
        <v>35</v>
      </c>
      <c r="D26" s="83" t="s">
        <v>36</v>
      </c>
      <c r="E26" s="84"/>
      <c r="F26" s="85"/>
      <c r="G26" s="62" t="s">
        <v>27</v>
      </c>
      <c r="H26" s="80">
        <v>3600</v>
      </c>
      <c r="I26" s="81"/>
      <c r="J26" s="81"/>
      <c r="K26" s="82"/>
      <c r="L26" s="49" t="s">
        <v>48</v>
      </c>
      <c r="M26" s="50">
        <v>3600</v>
      </c>
      <c r="N26">
        <v>8040706</v>
      </c>
      <c r="O26" t="s">
        <v>79</v>
      </c>
      <c r="P26" s="45"/>
      <c r="Q26" s="43"/>
      <c r="R26" s="52"/>
      <c r="S26" s="53"/>
      <c r="T26" s="40"/>
      <c r="U26" s="48"/>
      <c r="V26" s="46"/>
      <c r="W26" s="47"/>
      <c r="X26" s="38"/>
    </row>
    <row r="27" spans="1:24" ht="42.95" customHeight="1">
      <c r="A27" s="49"/>
      <c r="B27" s="55" t="s">
        <v>17</v>
      </c>
      <c r="C27" s="55" t="s">
        <v>23</v>
      </c>
      <c r="D27" s="83" t="s">
        <v>37</v>
      </c>
      <c r="E27" s="84"/>
      <c r="F27" s="85"/>
      <c r="G27" s="62" t="s">
        <v>27</v>
      </c>
      <c r="H27" s="80">
        <v>1072</v>
      </c>
      <c r="I27" s="81"/>
      <c r="J27" s="81"/>
      <c r="K27" s="82"/>
      <c r="L27" s="49" t="s">
        <v>49</v>
      </c>
      <c r="M27" s="50">
        <v>1072</v>
      </c>
      <c r="N27">
        <v>8051301</v>
      </c>
      <c r="O27" t="s">
        <v>78</v>
      </c>
      <c r="P27" s="45"/>
      <c r="Q27" s="43"/>
      <c r="R27" s="52"/>
      <c r="S27" s="53"/>
      <c r="T27" s="40"/>
      <c r="U27" s="48"/>
      <c r="V27" s="46"/>
      <c r="W27" s="47"/>
      <c r="X27" s="38"/>
    </row>
    <row r="28" spans="1:24" ht="42.95" customHeight="1">
      <c r="A28" s="49"/>
      <c r="B28" s="55" t="s">
        <v>17</v>
      </c>
      <c r="C28" s="55" t="s">
        <v>23</v>
      </c>
      <c r="D28" s="83" t="s">
        <v>38</v>
      </c>
      <c r="E28" s="84"/>
      <c r="F28" s="85"/>
      <c r="G28" s="62" t="s">
        <v>27</v>
      </c>
      <c r="H28" s="80">
        <v>3926</v>
      </c>
      <c r="I28" s="81"/>
      <c r="J28" s="81"/>
      <c r="K28" s="82"/>
      <c r="L28" s="49" t="s">
        <v>49</v>
      </c>
      <c r="M28" s="50">
        <v>3926</v>
      </c>
      <c r="N28">
        <v>8051301</v>
      </c>
      <c r="O28" t="s">
        <v>78</v>
      </c>
      <c r="P28" s="45"/>
      <c r="Q28" s="43"/>
      <c r="R28" s="52"/>
      <c r="S28" s="53"/>
      <c r="T28" s="40"/>
      <c r="U28" s="48"/>
      <c r="V28" s="46"/>
      <c r="W28" s="47"/>
      <c r="X28" s="38"/>
    </row>
    <row r="29" spans="1:24" ht="42.95" customHeight="1">
      <c r="A29" s="49"/>
      <c r="B29" s="55" t="s">
        <v>17</v>
      </c>
      <c r="C29" s="55" t="s">
        <v>23</v>
      </c>
      <c r="D29" s="83" t="s">
        <v>39</v>
      </c>
      <c r="E29" s="84"/>
      <c r="F29" s="85"/>
      <c r="G29" s="62" t="s">
        <v>27</v>
      </c>
      <c r="H29" s="80">
        <v>40789</v>
      </c>
      <c r="I29" s="81"/>
      <c r="J29" s="81"/>
      <c r="K29" s="82"/>
      <c r="L29" s="49" t="s">
        <v>49</v>
      </c>
      <c r="M29" s="50">
        <v>40789</v>
      </c>
      <c r="N29">
        <v>8051301</v>
      </c>
      <c r="O29" t="s">
        <v>78</v>
      </c>
      <c r="P29" s="45"/>
      <c r="Q29" s="43"/>
      <c r="R29" s="52"/>
      <c r="S29" s="53"/>
      <c r="T29" s="40"/>
      <c r="U29" s="48"/>
      <c r="V29" s="46"/>
      <c r="W29" s="47"/>
      <c r="X29" s="38"/>
    </row>
    <row r="30" spans="1:24" ht="42.95" customHeight="1">
      <c r="A30" s="49"/>
      <c r="B30" s="55" t="s">
        <v>17</v>
      </c>
      <c r="C30" s="55" t="s">
        <v>31</v>
      </c>
      <c r="D30" s="83" t="s">
        <v>40</v>
      </c>
      <c r="E30" s="84"/>
      <c r="F30" s="85"/>
      <c r="G30" s="62" t="s">
        <v>27</v>
      </c>
      <c r="H30" s="80">
        <v>1624871</v>
      </c>
      <c r="I30" s="81"/>
      <c r="J30" s="81"/>
      <c r="K30" s="82"/>
      <c r="L30" s="49" t="s">
        <v>49</v>
      </c>
      <c r="M30" s="50">
        <v>1624871</v>
      </c>
      <c r="N30">
        <v>8051301</v>
      </c>
      <c r="O30" t="s">
        <v>78</v>
      </c>
      <c r="P30" s="45"/>
      <c r="Q30" s="43"/>
      <c r="R30" s="52"/>
      <c r="S30" s="53"/>
      <c r="T30" s="40"/>
      <c r="U30" s="48"/>
      <c r="V30" s="46"/>
      <c r="W30" s="47"/>
      <c r="X30" s="38"/>
    </row>
    <row r="31" spans="1:24" ht="42.95" customHeight="1">
      <c r="A31" s="49"/>
      <c r="B31" s="55" t="s">
        <v>17</v>
      </c>
      <c r="C31" s="55" t="s">
        <v>41</v>
      </c>
      <c r="D31" s="83" t="s">
        <v>42</v>
      </c>
      <c r="E31" s="84"/>
      <c r="F31" s="85"/>
      <c r="G31" s="62" t="s">
        <v>27</v>
      </c>
      <c r="H31" s="80">
        <v>740</v>
      </c>
      <c r="I31" s="81"/>
      <c r="J31" s="81"/>
      <c r="K31" s="82"/>
      <c r="L31" s="49" t="s">
        <v>49</v>
      </c>
      <c r="M31" s="50">
        <v>740</v>
      </c>
      <c r="N31">
        <v>8051301</v>
      </c>
      <c r="O31" t="s">
        <v>78</v>
      </c>
      <c r="P31" s="45"/>
      <c r="Q31" s="43"/>
      <c r="R31" s="52"/>
      <c r="S31" s="53"/>
      <c r="T31" s="40"/>
      <c r="U31" s="48"/>
      <c r="V31" s="46"/>
      <c r="W31" s="47"/>
      <c r="X31" s="38"/>
    </row>
    <row r="32" spans="1:24" s="50" customFormat="1" ht="42.95" customHeight="1">
      <c r="A32" s="49"/>
      <c r="B32" s="55" t="s">
        <v>17</v>
      </c>
      <c r="C32" s="55" t="s">
        <v>41</v>
      </c>
      <c r="D32" s="83" t="s">
        <v>42</v>
      </c>
      <c r="E32" s="84"/>
      <c r="F32" s="85"/>
      <c r="G32" s="62" t="s">
        <v>27</v>
      </c>
      <c r="H32" s="80">
        <v>313</v>
      </c>
      <c r="I32" s="81"/>
      <c r="J32" s="81"/>
      <c r="K32" s="82"/>
      <c r="L32" s="49" t="s">
        <v>49</v>
      </c>
      <c r="M32" s="50">
        <v>313</v>
      </c>
      <c r="N32">
        <v>8051301</v>
      </c>
      <c r="O32" t="s">
        <v>78</v>
      </c>
      <c r="P32" s="45"/>
      <c r="Q32" s="43"/>
      <c r="R32" s="52"/>
      <c r="S32" s="53"/>
      <c r="T32" s="40"/>
      <c r="U32" s="48"/>
      <c r="V32" s="46"/>
      <c r="W32" s="47"/>
      <c r="X32" s="38"/>
    </row>
    <row r="33" spans="1:24" ht="42.95" customHeight="1">
      <c r="A33" s="49"/>
      <c r="B33" s="55" t="s">
        <v>17</v>
      </c>
      <c r="C33" s="55" t="s">
        <v>41</v>
      </c>
      <c r="D33" s="83" t="s">
        <v>42</v>
      </c>
      <c r="E33" s="84"/>
      <c r="F33" s="85"/>
      <c r="G33" s="62" t="s">
        <v>27</v>
      </c>
      <c r="H33" s="80">
        <v>66</v>
      </c>
      <c r="I33" s="81"/>
      <c r="J33" s="81"/>
      <c r="K33" s="82"/>
      <c r="L33" s="49" t="s">
        <v>49</v>
      </c>
      <c r="M33" s="50">
        <v>66</v>
      </c>
      <c r="N33">
        <v>8051301</v>
      </c>
      <c r="O33" t="s">
        <v>78</v>
      </c>
      <c r="P33" s="45"/>
      <c r="Q33" s="43"/>
      <c r="R33" s="52"/>
      <c r="S33" s="53"/>
      <c r="T33" s="40"/>
      <c r="U33" s="48"/>
      <c r="V33" s="46"/>
      <c r="W33" s="47"/>
      <c r="X33" s="38"/>
    </row>
    <row r="34" spans="1:24" ht="42.95" customHeight="1">
      <c r="A34" s="49"/>
      <c r="B34" s="55" t="s">
        <v>17</v>
      </c>
      <c r="C34" s="55" t="s">
        <v>41</v>
      </c>
      <c r="D34" s="83" t="s">
        <v>42</v>
      </c>
      <c r="E34" s="84"/>
      <c r="F34" s="85"/>
      <c r="G34" s="62" t="s">
        <v>27</v>
      </c>
      <c r="H34" s="80">
        <v>170</v>
      </c>
      <c r="I34" s="81"/>
      <c r="J34" s="81"/>
      <c r="K34" s="82"/>
      <c r="L34" s="49" t="s">
        <v>49</v>
      </c>
      <c r="M34" s="50">
        <v>170</v>
      </c>
      <c r="N34">
        <v>8051301</v>
      </c>
      <c r="O34" t="s">
        <v>78</v>
      </c>
      <c r="P34" s="45"/>
      <c r="Q34" s="43"/>
      <c r="R34" s="52"/>
      <c r="S34" s="53"/>
      <c r="T34" s="40"/>
      <c r="U34" s="48"/>
      <c r="V34" s="46"/>
      <c r="W34" s="47"/>
      <c r="X34" s="38"/>
    </row>
    <row r="35" spans="1:24" s="50" customFormat="1" ht="42.95" customHeight="1">
      <c r="A35" s="49"/>
      <c r="B35" s="55" t="s">
        <v>17</v>
      </c>
      <c r="C35" s="55" t="s">
        <v>33</v>
      </c>
      <c r="D35" s="83" t="s">
        <v>42</v>
      </c>
      <c r="E35" s="84"/>
      <c r="F35" s="85"/>
      <c r="G35" s="62" t="s">
        <v>27</v>
      </c>
      <c r="H35" s="80">
        <v>1121</v>
      </c>
      <c r="I35" s="81"/>
      <c r="J35" s="81"/>
      <c r="K35" s="82"/>
      <c r="L35" s="49" t="s">
        <v>49</v>
      </c>
      <c r="M35" s="50">
        <v>1121</v>
      </c>
      <c r="N35">
        <v>8051301</v>
      </c>
      <c r="O35" t="s">
        <v>78</v>
      </c>
      <c r="P35" s="45"/>
      <c r="Q35" s="43"/>
      <c r="R35" s="52"/>
      <c r="S35" s="53"/>
      <c r="T35" s="40"/>
      <c r="U35" s="48"/>
      <c r="V35" s="46"/>
      <c r="W35" s="47"/>
      <c r="X35" s="38"/>
    </row>
    <row r="36" spans="1:24" s="50" customFormat="1" ht="42.95" customHeight="1">
      <c r="A36" s="49"/>
      <c r="B36" s="55" t="s">
        <v>17</v>
      </c>
      <c r="C36" s="55" t="s">
        <v>33</v>
      </c>
      <c r="D36" s="83" t="s">
        <v>42</v>
      </c>
      <c r="E36" s="84"/>
      <c r="F36" s="85"/>
      <c r="G36" s="62" t="s">
        <v>27</v>
      </c>
      <c r="H36" s="80">
        <v>865</v>
      </c>
      <c r="I36" s="81"/>
      <c r="J36" s="81"/>
      <c r="K36" s="82"/>
      <c r="L36" s="49" t="s">
        <v>49</v>
      </c>
      <c r="M36" s="50">
        <v>865</v>
      </c>
      <c r="N36">
        <v>8051301</v>
      </c>
      <c r="O36" t="s">
        <v>78</v>
      </c>
      <c r="P36" s="45"/>
      <c r="Q36" s="43"/>
      <c r="R36" s="52"/>
      <c r="S36" s="53"/>
      <c r="T36" s="40"/>
      <c r="U36" s="48"/>
      <c r="V36" s="46"/>
      <c r="W36" s="47"/>
      <c r="X36" s="38"/>
    </row>
    <row r="37" spans="1:24" s="50" customFormat="1" ht="42.95" customHeight="1">
      <c r="A37" s="49"/>
      <c r="B37" s="55" t="s">
        <v>17</v>
      </c>
      <c r="C37" s="55" t="s">
        <v>33</v>
      </c>
      <c r="D37" s="83" t="s">
        <v>42</v>
      </c>
      <c r="E37" s="84"/>
      <c r="F37" s="85"/>
      <c r="G37" s="62" t="s">
        <v>27</v>
      </c>
      <c r="H37" s="80">
        <v>3544</v>
      </c>
      <c r="I37" s="81"/>
      <c r="J37" s="81"/>
      <c r="K37" s="82"/>
      <c r="L37" s="49" t="s">
        <v>49</v>
      </c>
      <c r="M37" s="50">
        <v>3544</v>
      </c>
      <c r="N37">
        <v>8051301</v>
      </c>
      <c r="O37" t="s">
        <v>78</v>
      </c>
      <c r="P37" s="45"/>
      <c r="Q37" s="43"/>
      <c r="R37" s="52"/>
      <c r="S37" s="53"/>
      <c r="T37" s="40"/>
      <c r="U37" s="48"/>
      <c r="V37" s="46"/>
      <c r="W37" s="47"/>
      <c r="X37" s="38"/>
    </row>
    <row r="38" spans="1:24" ht="42.95" customHeight="1">
      <c r="A38" s="49"/>
      <c r="B38" s="55" t="s">
        <v>17</v>
      </c>
      <c r="C38" s="55" t="s">
        <v>33</v>
      </c>
      <c r="D38" s="83" t="s">
        <v>42</v>
      </c>
      <c r="E38" s="84"/>
      <c r="F38" s="85"/>
      <c r="G38" s="62" t="s">
        <v>27</v>
      </c>
      <c r="H38" s="80">
        <v>57</v>
      </c>
      <c r="I38" s="81"/>
      <c r="J38" s="81"/>
      <c r="K38" s="82"/>
      <c r="L38" s="49" t="s">
        <v>49</v>
      </c>
      <c r="M38" s="50">
        <v>57</v>
      </c>
      <c r="N38">
        <v>8051301</v>
      </c>
      <c r="O38" t="s">
        <v>78</v>
      </c>
      <c r="P38" s="45"/>
      <c r="Q38" s="43"/>
      <c r="R38" s="52"/>
      <c r="S38" s="53"/>
      <c r="T38" s="40"/>
      <c r="U38" s="48"/>
      <c r="V38" s="46"/>
      <c r="W38" s="47"/>
      <c r="X38" s="38"/>
    </row>
    <row r="39" spans="1:24" ht="42.95" customHeight="1">
      <c r="A39" s="49"/>
      <c r="B39" s="55" t="s">
        <v>17</v>
      </c>
      <c r="C39" s="55" t="s">
        <v>43</v>
      </c>
      <c r="D39" s="83" t="s">
        <v>42</v>
      </c>
      <c r="E39" s="84"/>
      <c r="F39" s="85"/>
      <c r="G39" s="62" t="s">
        <v>27</v>
      </c>
      <c r="H39" s="80">
        <v>133</v>
      </c>
      <c r="I39" s="81"/>
      <c r="J39" s="81"/>
      <c r="K39" s="82"/>
      <c r="L39" s="49" t="s">
        <v>49</v>
      </c>
      <c r="M39" s="50">
        <v>133</v>
      </c>
      <c r="N39">
        <v>8051301</v>
      </c>
      <c r="O39" t="s">
        <v>78</v>
      </c>
      <c r="P39" s="45"/>
      <c r="Q39" s="43"/>
      <c r="R39" s="52"/>
      <c r="S39" s="53"/>
      <c r="T39" s="40"/>
      <c r="U39" s="48"/>
      <c r="V39" s="46"/>
      <c r="W39" s="47"/>
      <c r="X39" s="38"/>
    </row>
    <row r="40" spans="1:24" ht="42.95" customHeight="1">
      <c r="A40" s="49"/>
      <c r="B40" s="55" t="s">
        <v>17</v>
      </c>
      <c r="C40" s="55" t="s">
        <v>43</v>
      </c>
      <c r="D40" s="83" t="s">
        <v>42</v>
      </c>
      <c r="E40" s="84"/>
      <c r="F40" s="85"/>
      <c r="G40" s="62" t="s">
        <v>27</v>
      </c>
      <c r="H40" s="80">
        <v>2565</v>
      </c>
      <c r="I40" s="81"/>
      <c r="J40" s="81"/>
      <c r="K40" s="82"/>
      <c r="L40" s="49" t="s">
        <v>49</v>
      </c>
      <c r="M40" s="50">
        <v>2565</v>
      </c>
      <c r="N40">
        <v>8051301</v>
      </c>
      <c r="O40" t="s">
        <v>78</v>
      </c>
      <c r="P40" s="45"/>
      <c r="Q40" s="43"/>
      <c r="R40" s="52"/>
      <c r="S40" s="53"/>
      <c r="T40" s="40"/>
      <c r="U40" s="48"/>
      <c r="V40" s="46"/>
      <c r="W40" s="47"/>
      <c r="X40" s="38"/>
    </row>
    <row r="41" spans="1:24" ht="42.95" customHeight="1">
      <c r="A41" s="49"/>
      <c r="B41" s="55" t="s">
        <v>17</v>
      </c>
      <c r="C41" s="55" t="s">
        <v>44</v>
      </c>
      <c r="D41" s="83" t="s">
        <v>42</v>
      </c>
      <c r="E41" s="84"/>
      <c r="F41" s="85"/>
      <c r="G41" s="62" t="s">
        <v>27</v>
      </c>
      <c r="H41" s="80">
        <v>1634</v>
      </c>
      <c r="I41" s="81"/>
      <c r="J41" s="81"/>
      <c r="K41" s="82"/>
      <c r="L41" s="49" t="s">
        <v>49</v>
      </c>
      <c r="M41" s="50">
        <v>1634</v>
      </c>
      <c r="N41">
        <v>8051301</v>
      </c>
      <c r="O41" t="s">
        <v>78</v>
      </c>
      <c r="P41" s="45"/>
      <c r="Q41" s="43"/>
      <c r="R41" s="52"/>
      <c r="S41" s="53"/>
      <c r="T41" s="40"/>
      <c r="U41" s="48"/>
      <c r="V41" s="46"/>
      <c r="W41" s="47"/>
      <c r="X41" s="38"/>
    </row>
    <row r="42" spans="1:24" ht="42.95" customHeight="1">
      <c r="A42" s="49"/>
      <c r="B42" s="55" t="s">
        <v>17</v>
      </c>
      <c r="C42" s="55" t="s">
        <v>44</v>
      </c>
      <c r="D42" s="83" t="s">
        <v>42</v>
      </c>
      <c r="E42" s="84"/>
      <c r="F42" s="85"/>
      <c r="G42" s="62" t="s">
        <v>27</v>
      </c>
      <c r="H42" s="80">
        <v>1881</v>
      </c>
      <c r="I42" s="81"/>
      <c r="J42" s="81"/>
      <c r="K42" s="82"/>
      <c r="L42" s="49" t="s">
        <v>49</v>
      </c>
      <c r="M42" s="50">
        <v>1881</v>
      </c>
      <c r="N42">
        <v>8051301</v>
      </c>
      <c r="O42" t="s">
        <v>78</v>
      </c>
      <c r="P42" s="45"/>
      <c r="Q42" s="43"/>
      <c r="R42" s="52"/>
      <c r="S42" s="53"/>
      <c r="T42" s="40"/>
      <c r="U42" s="48"/>
      <c r="V42" s="46"/>
      <c r="W42" s="47"/>
      <c r="X42" s="38"/>
    </row>
    <row r="43" spans="1:24" ht="42.95" customHeight="1">
      <c r="A43" s="49"/>
      <c r="B43" s="55" t="s">
        <v>17</v>
      </c>
      <c r="C43" s="55" t="s">
        <v>44</v>
      </c>
      <c r="D43" s="83" t="s">
        <v>42</v>
      </c>
      <c r="E43" s="84"/>
      <c r="F43" s="85"/>
      <c r="G43" s="62" t="s">
        <v>27</v>
      </c>
      <c r="H43" s="80">
        <v>57</v>
      </c>
      <c r="I43" s="81"/>
      <c r="J43" s="81"/>
      <c r="K43" s="82"/>
      <c r="L43" s="49" t="s">
        <v>49</v>
      </c>
      <c r="M43" s="50">
        <v>57</v>
      </c>
      <c r="N43">
        <v>8051301</v>
      </c>
      <c r="O43" t="s">
        <v>78</v>
      </c>
      <c r="P43" s="45"/>
      <c r="Q43" s="43"/>
      <c r="R43" s="52"/>
      <c r="S43" s="53"/>
      <c r="T43" s="40"/>
      <c r="U43" s="48"/>
      <c r="V43" s="46"/>
      <c r="W43" s="47"/>
      <c r="X43" s="38"/>
    </row>
    <row r="44" spans="1:24" ht="42.95" customHeight="1">
      <c r="A44" s="49"/>
      <c r="B44" s="55" t="s">
        <v>17</v>
      </c>
      <c r="C44" s="55" t="s">
        <v>45</v>
      </c>
      <c r="D44" s="83" t="s">
        <v>42</v>
      </c>
      <c r="E44" s="84"/>
      <c r="F44" s="85"/>
      <c r="G44" s="62" t="s">
        <v>27</v>
      </c>
      <c r="H44" s="80">
        <v>1131</v>
      </c>
      <c r="I44" s="81"/>
      <c r="J44" s="81"/>
      <c r="K44" s="82"/>
      <c r="L44" s="49" t="s">
        <v>49</v>
      </c>
      <c r="M44" s="50">
        <v>1131</v>
      </c>
      <c r="N44">
        <v>8051301</v>
      </c>
      <c r="O44" t="s">
        <v>78</v>
      </c>
      <c r="P44" s="45"/>
      <c r="Q44" s="43"/>
      <c r="R44" s="52"/>
      <c r="S44" s="53"/>
      <c r="T44" s="40"/>
      <c r="U44" s="48"/>
      <c r="V44" s="46"/>
      <c r="W44" s="47"/>
      <c r="X44" s="38"/>
    </row>
    <row r="45" spans="1:24" ht="42.95" customHeight="1">
      <c r="A45" s="49"/>
      <c r="B45" s="55" t="s">
        <v>17</v>
      </c>
      <c r="C45" s="55" t="s">
        <v>45</v>
      </c>
      <c r="D45" s="83" t="s">
        <v>42</v>
      </c>
      <c r="E45" s="84"/>
      <c r="F45" s="85"/>
      <c r="G45" s="62" t="s">
        <v>27</v>
      </c>
      <c r="H45" s="80">
        <v>180</v>
      </c>
      <c r="I45" s="81"/>
      <c r="J45" s="81"/>
      <c r="K45" s="82"/>
      <c r="L45" s="49" t="s">
        <v>49</v>
      </c>
      <c r="M45" s="50">
        <v>180</v>
      </c>
      <c r="N45">
        <v>8051301</v>
      </c>
      <c r="O45" t="s">
        <v>78</v>
      </c>
      <c r="P45" s="45"/>
      <c r="Q45" s="43"/>
      <c r="R45" s="52"/>
      <c r="S45" s="53"/>
      <c r="T45" s="40"/>
      <c r="U45" s="48"/>
      <c r="V45" s="46"/>
      <c r="W45" s="47"/>
      <c r="X45" s="38"/>
    </row>
    <row r="46" spans="1:24" ht="42.95" customHeight="1">
      <c r="A46" s="49"/>
      <c r="B46" s="55" t="s">
        <v>17</v>
      </c>
      <c r="C46" s="55" t="s">
        <v>45</v>
      </c>
      <c r="D46" s="83" t="s">
        <v>42</v>
      </c>
      <c r="E46" s="84"/>
      <c r="F46" s="85"/>
      <c r="G46" s="62" t="s">
        <v>27</v>
      </c>
      <c r="H46" s="80">
        <v>941</v>
      </c>
      <c r="I46" s="81"/>
      <c r="J46" s="81"/>
      <c r="K46" s="82"/>
      <c r="L46" s="49" t="s">
        <v>49</v>
      </c>
      <c r="M46" s="50">
        <v>941</v>
      </c>
      <c r="N46">
        <v>8051301</v>
      </c>
      <c r="O46" t="s">
        <v>78</v>
      </c>
      <c r="P46" s="45"/>
      <c r="Q46" s="43"/>
      <c r="R46" s="52"/>
      <c r="S46" s="53"/>
      <c r="T46" s="40"/>
      <c r="U46" s="48"/>
      <c r="V46" s="46"/>
      <c r="W46" s="47"/>
      <c r="X46" s="38"/>
    </row>
    <row r="47" spans="1:24" ht="42.95" customHeight="1">
      <c r="A47" s="49"/>
      <c r="B47" s="55" t="s">
        <v>17</v>
      </c>
      <c r="C47" s="55" t="s">
        <v>45</v>
      </c>
      <c r="D47" s="83" t="s">
        <v>42</v>
      </c>
      <c r="E47" s="84"/>
      <c r="F47" s="85"/>
      <c r="G47" s="62" t="s">
        <v>27</v>
      </c>
      <c r="H47" s="80">
        <v>219</v>
      </c>
      <c r="I47" s="81"/>
      <c r="J47" s="81"/>
      <c r="K47" s="82"/>
      <c r="L47" s="49" t="s">
        <v>49</v>
      </c>
      <c r="M47" s="50">
        <v>219</v>
      </c>
      <c r="N47">
        <v>8051301</v>
      </c>
      <c r="O47" t="s">
        <v>78</v>
      </c>
      <c r="P47" s="45"/>
      <c r="Q47" s="43"/>
      <c r="R47" s="52"/>
      <c r="S47" s="53"/>
      <c r="T47" s="40"/>
      <c r="U47" s="48"/>
      <c r="V47" s="46"/>
      <c r="W47" s="47"/>
      <c r="X47" s="38"/>
    </row>
    <row r="48" spans="1:24" ht="42.95" customHeight="1">
      <c r="A48" s="49"/>
      <c r="B48" s="55" t="s">
        <v>17</v>
      </c>
      <c r="C48" s="55" t="s">
        <v>45</v>
      </c>
      <c r="D48" s="83" t="s">
        <v>42</v>
      </c>
      <c r="E48" s="84"/>
      <c r="F48" s="85"/>
      <c r="G48" s="62" t="s">
        <v>27</v>
      </c>
      <c r="H48" s="80">
        <v>48</v>
      </c>
      <c r="I48" s="81"/>
      <c r="J48" s="81"/>
      <c r="K48" s="82"/>
      <c r="L48" s="49" t="s">
        <v>49</v>
      </c>
      <c r="M48" s="50">
        <v>48</v>
      </c>
      <c r="N48">
        <v>8051301</v>
      </c>
      <c r="O48" t="s">
        <v>78</v>
      </c>
      <c r="P48" s="45"/>
      <c r="Q48" s="43"/>
      <c r="R48" s="52"/>
      <c r="S48" s="53"/>
      <c r="T48" s="40"/>
      <c r="U48" s="48"/>
      <c r="V48" s="46"/>
      <c r="W48" s="47"/>
      <c r="X48" s="38"/>
    </row>
    <row r="49" spans="1:24" ht="42.95" customHeight="1">
      <c r="A49" s="49"/>
      <c r="B49" s="55" t="s">
        <v>17</v>
      </c>
      <c r="C49" s="55" t="s">
        <v>45</v>
      </c>
      <c r="D49" s="83" t="s">
        <v>42</v>
      </c>
      <c r="E49" s="84"/>
      <c r="F49" s="85"/>
      <c r="G49" s="62" t="s">
        <v>27</v>
      </c>
      <c r="H49" s="80">
        <v>124</v>
      </c>
      <c r="I49" s="81"/>
      <c r="J49" s="81"/>
      <c r="K49" s="82"/>
      <c r="L49" s="49" t="s">
        <v>49</v>
      </c>
      <c r="M49" s="50">
        <v>124</v>
      </c>
      <c r="N49">
        <v>8051301</v>
      </c>
      <c r="O49" t="s">
        <v>78</v>
      </c>
      <c r="P49" s="45"/>
      <c r="Q49" s="43"/>
      <c r="R49" s="52"/>
      <c r="S49" s="53"/>
      <c r="T49" s="40"/>
      <c r="U49" s="48"/>
      <c r="V49" s="46"/>
      <c r="W49" s="47"/>
      <c r="X49" s="38"/>
    </row>
    <row r="50" spans="1:24" ht="1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49"/>
      <c r="M50" s="50"/>
    </row>
    <row r="51" spans="1:24" ht="15" customHeight="1">
      <c r="A51" s="7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"/>
    </row>
    <row r="52" spans="1:24" ht="15" customHeight="1">
      <c r="A52" s="14"/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7"/>
    </row>
    <row r="53" spans="1:24" ht="26.25" customHeight="1">
      <c r="A53" s="8"/>
      <c r="B53" s="111" t="s">
        <v>50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3"/>
      <c r="M53" s="76"/>
    </row>
    <row r="54" spans="1:24" ht="13.5" customHeight="1">
      <c r="A54" s="8"/>
      <c r="B54" s="114" t="s">
        <v>6</v>
      </c>
      <c r="C54" s="115"/>
      <c r="D54" s="32" t="s">
        <v>0</v>
      </c>
      <c r="E54" s="114" t="s">
        <v>1</v>
      </c>
      <c r="F54" s="115"/>
      <c r="G54" s="32" t="s">
        <v>51</v>
      </c>
      <c r="H54" s="32" t="s">
        <v>52</v>
      </c>
      <c r="I54" s="104" t="s">
        <v>53</v>
      </c>
      <c r="J54" s="105"/>
      <c r="K54" s="105"/>
      <c r="L54" s="106"/>
      <c r="M54" s="77"/>
      <c r="P54" s="79" t="s">
        <v>81</v>
      </c>
      <c r="Q54" s="79" t="s">
        <v>82</v>
      </c>
    </row>
    <row r="55" spans="1:24" ht="23.25" customHeight="1">
      <c r="A55" s="6"/>
      <c r="B55" s="116" t="s">
        <v>54</v>
      </c>
      <c r="C55" s="117"/>
      <c r="D55" s="55" t="s">
        <v>33</v>
      </c>
      <c r="E55" s="83" t="s">
        <v>55</v>
      </c>
      <c r="F55" s="118"/>
      <c r="G55" s="73" t="s">
        <v>56</v>
      </c>
      <c r="H55" s="74">
        <v>47.5</v>
      </c>
      <c r="I55" s="119">
        <v>13.3</v>
      </c>
      <c r="J55" s="120"/>
      <c r="K55" s="120"/>
      <c r="L55" s="121"/>
      <c r="M55" s="50">
        <f t="shared" ref="M55:M73" si="1">ROUND(Q55,0)</f>
        <v>12380</v>
      </c>
      <c r="N55">
        <v>8040706</v>
      </c>
      <c r="O55" t="s">
        <v>79</v>
      </c>
      <c r="P55">
        <v>930.79</v>
      </c>
      <c r="Q55">
        <f t="shared" ref="Q55:Q73" si="2">I55*P55</f>
        <v>12379.507</v>
      </c>
      <c r="R55" s="49" t="s">
        <v>48</v>
      </c>
    </row>
    <row r="56" spans="1:24" ht="15" customHeight="1">
      <c r="A56" s="4"/>
      <c r="B56" s="116" t="s">
        <v>54</v>
      </c>
      <c r="C56" s="117"/>
      <c r="D56" s="55" t="s">
        <v>33</v>
      </c>
      <c r="E56" s="83" t="s">
        <v>57</v>
      </c>
      <c r="F56" s="118"/>
      <c r="G56" s="73" t="s">
        <v>58</v>
      </c>
      <c r="H56" s="74">
        <v>126398</v>
      </c>
      <c r="I56" s="119">
        <v>31.08</v>
      </c>
      <c r="J56" s="120"/>
      <c r="K56" s="120"/>
      <c r="L56" s="121"/>
      <c r="M56" s="50">
        <f t="shared" si="1"/>
        <v>28929</v>
      </c>
      <c r="N56">
        <v>8040706</v>
      </c>
      <c r="O56" t="s">
        <v>79</v>
      </c>
      <c r="P56">
        <v>930.79</v>
      </c>
      <c r="Q56">
        <f t="shared" si="2"/>
        <v>28928.953199999996</v>
      </c>
      <c r="R56" s="49" t="s">
        <v>48</v>
      </c>
    </row>
    <row r="57" spans="1:24" ht="29.25" customHeight="1">
      <c r="A57" s="13"/>
      <c r="B57" s="116" t="s">
        <v>54</v>
      </c>
      <c r="C57" s="117"/>
      <c r="D57" s="55" t="s">
        <v>33</v>
      </c>
      <c r="E57" s="83" t="s">
        <v>59</v>
      </c>
      <c r="F57" s="118"/>
      <c r="G57" s="73" t="s">
        <v>56</v>
      </c>
      <c r="H57" s="74">
        <v>7</v>
      </c>
      <c r="I57" s="119">
        <v>7</v>
      </c>
      <c r="J57" s="120"/>
      <c r="K57" s="120"/>
      <c r="L57" s="121"/>
      <c r="M57" s="50">
        <f t="shared" si="1"/>
        <v>6516</v>
      </c>
      <c r="N57">
        <v>8040706</v>
      </c>
      <c r="O57" t="s">
        <v>79</v>
      </c>
      <c r="P57">
        <v>930.79</v>
      </c>
      <c r="Q57">
        <f t="shared" si="2"/>
        <v>6515.53</v>
      </c>
      <c r="R57" s="49" t="s">
        <v>48</v>
      </c>
    </row>
    <row r="58" spans="1:24" ht="15" customHeight="1">
      <c r="A58" s="2"/>
      <c r="B58" s="116" t="s">
        <v>54</v>
      </c>
      <c r="C58" s="117"/>
      <c r="D58" s="55" t="s">
        <v>43</v>
      </c>
      <c r="E58" s="83" t="s">
        <v>60</v>
      </c>
      <c r="F58" s="118"/>
      <c r="G58" s="73" t="s">
        <v>58</v>
      </c>
      <c r="H58" s="74">
        <v>192600</v>
      </c>
      <c r="I58" s="119">
        <v>47.35</v>
      </c>
      <c r="J58" s="120"/>
      <c r="K58" s="120"/>
      <c r="L58" s="121"/>
      <c r="M58" s="50">
        <f t="shared" si="1"/>
        <v>44362</v>
      </c>
      <c r="N58">
        <v>8040706</v>
      </c>
      <c r="O58" t="s">
        <v>79</v>
      </c>
      <c r="P58">
        <v>936.89</v>
      </c>
      <c r="Q58">
        <f t="shared" si="2"/>
        <v>44361.741500000004</v>
      </c>
      <c r="R58" s="49" t="s">
        <v>46</v>
      </c>
    </row>
    <row r="59" spans="1:24" ht="21" customHeight="1">
      <c r="B59" s="116" t="s">
        <v>54</v>
      </c>
      <c r="C59" s="117"/>
      <c r="D59" s="55" t="s">
        <v>43</v>
      </c>
      <c r="E59" s="83" t="s">
        <v>61</v>
      </c>
      <c r="F59" s="118"/>
      <c r="G59" s="73" t="s">
        <v>58</v>
      </c>
      <c r="H59" s="74">
        <v>148484</v>
      </c>
      <c r="I59" s="119">
        <v>36.5</v>
      </c>
      <c r="J59" s="120"/>
      <c r="K59" s="120"/>
      <c r="L59" s="121"/>
      <c r="M59" s="50">
        <f t="shared" si="1"/>
        <v>34196</v>
      </c>
      <c r="N59">
        <v>8040706</v>
      </c>
      <c r="O59" t="s">
        <v>79</v>
      </c>
      <c r="P59">
        <v>936.89</v>
      </c>
      <c r="Q59">
        <f t="shared" si="2"/>
        <v>34196.485000000001</v>
      </c>
      <c r="R59" s="49" t="s">
        <v>48</v>
      </c>
    </row>
    <row r="60" spans="1:24" ht="15" customHeight="1">
      <c r="B60" s="116" t="s">
        <v>54</v>
      </c>
      <c r="C60" s="117"/>
      <c r="D60" s="55" t="s">
        <v>43</v>
      </c>
      <c r="E60" s="83" t="s">
        <v>62</v>
      </c>
      <c r="F60" s="118"/>
      <c r="G60" s="73" t="s">
        <v>58</v>
      </c>
      <c r="H60" s="74">
        <v>9700</v>
      </c>
      <c r="I60" s="119">
        <v>2.36</v>
      </c>
      <c r="J60" s="120"/>
      <c r="K60" s="120"/>
      <c r="L60" s="121"/>
      <c r="M60" s="50">
        <f t="shared" si="1"/>
        <v>2211</v>
      </c>
      <c r="N60">
        <v>8040706</v>
      </c>
      <c r="O60" t="s">
        <v>79</v>
      </c>
      <c r="P60">
        <v>936.89</v>
      </c>
      <c r="Q60">
        <f t="shared" si="2"/>
        <v>2211.0603999999998</v>
      </c>
      <c r="R60" s="49" t="s">
        <v>48</v>
      </c>
    </row>
    <row r="61" spans="1:24" ht="15" customHeight="1">
      <c r="B61" s="116" t="s">
        <v>54</v>
      </c>
      <c r="C61" s="117"/>
      <c r="D61" s="55" t="s">
        <v>43</v>
      </c>
      <c r="E61" s="83" t="s">
        <v>63</v>
      </c>
      <c r="F61" s="118"/>
      <c r="G61" s="73" t="s">
        <v>58</v>
      </c>
      <c r="H61" s="74">
        <v>10591</v>
      </c>
      <c r="I61" s="119">
        <v>2.61</v>
      </c>
      <c r="J61" s="120"/>
      <c r="K61" s="120"/>
      <c r="L61" s="121"/>
      <c r="M61" s="50">
        <f t="shared" si="1"/>
        <v>2445</v>
      </c>
      <c r="N61">
        <v>8040706</v>
      </c>
      <c r="O61" t="s">
        <v>79</v>
      </c>
      <c r="P61">
        <v>936.89</v>
      </c>
      <c r="Q61">
        <f t="shared" si="2"/>
        <v>2445.2828999999997</v>
      </c>
      <c r="R61" s="49" t="s">
        <v>48</v>
      </c>
    </row>
    <row r="62" spans="1:24" ht="24" customHeight="1">
      <c r="B62" s="116" t="s">
        <v>54</v>
      </c>
      <c r="C62" s="117"/>
      <c r="D62" s="55" t="s">
        <v>44</v>
      </c>
      <c r="E62" s="83" t="s">
        <v>64</v>
      </c>
      <c r="F62" s="118"/>
      <c r="G62" s="73" t="s">
        <v>58</v>
      </c>
      <c r="H62" s="74">
        <v>443593</v>
      </c>
      <c r="I62" s="119">
        <v>107.98</v>
      </c>
      <c r="J62" s="120"/>
      <c r="K62" s="120"/>
      <c r="L62" s="121"/>
      <c r="M62" s="50">
        <f t="shared" si="1"/>
        <v>101666</v>
      </c>
      <c r="N62">
        <v>8040706</v>
      </c>
      <c r="O62" t="s">
        <v>79</v>
      </c>
      <c r="P62">
        <v>941.53</v>
      </c>
      <c r="Q62">
        <f t="shared" si="2"/>
        <v>101666.4094</v>
      </c>
      <c r="R62" s="49" t="s">
        <v>48</v>
      </c>
    </row>
    <row r="63" spans="1:24" ht="15" customHeight="1">
      <c r="B63" s="116" t="s">
        <v>54</v>
      </c>
      <c r="C63" s="117"/>
      <c r="D63" s="55" t="s">
        <v>44</v>
      </c>
      <c r="E63" s="83" t="s">
        <v>65</v>
      </c>
      <c r="F63" s="118"/>
      <c r="G63" s="73" t="s">
        <v>58</v>
      </c>
      <c r="H63" s="74">
        <v>611583</v>
      </c>
      <c r="I63" s="119">
        <v>149.30000000000001</v>
      </c>
      <c r="J63" s="120"/>
      <c r="K63" s="120"/>
      <c r="L63" s="121"/>
      <c r="M63" s="50">
        <f t="shared" si="1"/>
        <v>140570</v>
      </c>
      <c r="N63">
        <v>8040706</v>
      </c>
      <c r="O63" t="s">
        <v>79</v>
      </c>
      <c r="P63">
        <v>941.53</v>
      </c>
      <c r="Q63">
        <f t="shared" si="2"/>
        <v>140570.429</v>
      </c>
      <c r="R63" s="49" t="s">
        <v>48</v>
      </c>
    </row>
    <row r="64" spans="1:24" ht="15" customHeight="1">
      <c r="B64" s="116" t="s">
        <v>54</v>
      </c>
      <c r="C64" s="117"/>
      <c r="D64" s="55" t="s">
        <v>44</v>
      </c>
      <c r="E64" s="83" t="s">
        <v>66</v>
      </c>
      <c r="F64" s="118"/>
      <c r="G64" s="73" t="s">
        <v>58</v>
      </c>
      <c r="H64" s="74">
        <v>23200</v>
      </c>
      <c r="I64" s="119">
        <v>5.67</v>
      </c>
      <c r="J64" s="120"/>
      <c r="K64" s="120"/>
      <c r="L64" s="121"/>
      <c r="M64" s="50">
        <f t="shared" si="1"/>
        <v>5338</v>
      </c>
      <c r="N64">
        <v>8040706</v>
      </c>
      <c r="O64" t="s">
        <v>79</v>
      </c>
      <c r="P64">
        <v>941.53</v>
      </c>
      <c r="Q64">
        <f t="shared" si="2"/>
        <v>5338.4750999999997</v>
      </c>
      <c r="R64" s="49" t="s">
        <v>48</v>
      </c>
    </row>
    <row r="65" spans="2:18" ht="15" customHeight="1">
      <c r="B65" s="116" t="s">
        <v>54</v>
      </c>
      <c r="C65" s="117"/>
      <c r="D65" s="55" t="s">
        <v>45</v>
      </c>
      <c r="E65" s="83" t="s">
        <v>67</v>
      </c>
      <c r="F65" s="118"/>
      <c r="G65" s="73" t="s">
        <v>58</v>
      </c>
      <c r="H65" s="74">
        <v>282700</v>
      </c>
      <c r="I65" s="119">
        <v>68.81</v>
      </c>
      <c r="J65" s="120"/>
      <c r="K65" s="120"/>
      <c r="L65" s="121"/>
      <c r="M65" s="50">
        <f t="shared" si="1"/>
        <v>64657</v>
      </c>
      <c r="N65">
        <v>8040706</v>
      </c>
      <c r="O65" t="s">
        <v>79</v>
      </c>
      <c r="P65">
        <v>939.65</v>
      </c>
      <c r="Q65">
        <f t="shared" si="2"/>
        <v>64657.316500000001</v>
      </c>
      <c r="R65" s="49" t="s">
        <v>48</v>
      </c>
    </row>
    <row r="66" spans="2:18" ht="15" customHeight="1">
      <c r="B66" s="116" t="s">
        <v>54</v>
      </c>
      <c r="C66" s="117"/>
      <c r="D66" s="55" t="s">
        <v>45</v>
      </c>
      <c r="E66" s="83" t="s">
        <v>68</v>
      </c>
      <c r="F66" s="118"/>
      <c r="G66" s="73" t="s">
        <v>58</v>
      </c>
      <c r="H66" s="74">
        <v>325310</v>
      </c>
      <c r="I66" s="119">
        <v>79.180000000000007</v>
      </c>
      <c r="J66" s="120"/>
      <c r="K66" s="120"/>
      <c r="L66" s="121"/>
      <c r="M66" s="50">
        <f t="shared" si="1"/>
        <v>74401</v>
      </c>
      <c r="N66">
        <v>8040706</v>
      </c>
      <c r="O66" t="s">
        <v>79</v>
      </c>
      <c r="P66">
        <v>939.65</v>
      </c>
      <c r="Q66">
        <f t="shared" si="2"/>
        <v>74401.487000000008</v>
      </c>
      <c r="R66" s="49" t="s">
        <v>48</v>
      </c>
    </row>
    <row r="67" spans="2:18" ht="26.25" customHeight="1">
      <c r="B67" s="116" t="s">
        <v>54</v>
      </c>
      <c r="C67" s="117"/>
      <c r="D67" s="55" t="s">
        <v>45</v>
      </c>
      <c r="E67" s="83" t="s">
        <v>66</v>
      </c>
      <c r="F67" s="118"/>
      <c r="G67" s="73" t="s">
        <v>58</v>
      </c>
      <c r="H67" s="74">
        <v>9700</v>
      </c>
      <c r="I67" s="119">
        <v>2.36</v>
      </c>
      <c r="J67" s="120"/>
      <c r="K67" s="120"/>
      <c r="L67" s="121"/>
      <c r="M67" s="50">
        <f t="shared" si="1"/>
        <v>2218</v>
      </c>
      <c r="N67">
        <v>8040706</v>
      </c>
      <c r="O67" t="s">
        <v>79</v>
      </c>
      <c r="P67">
        <v>939.65</v>
      </c>
      <c r="Q67">
        <f t="shared" si="2"/>
        <v>2217.5739999999996</v>
      </c>
      <c r="R67" s="49" t="s">
        <v>48</v>
      </c>
    </row>
    <row r="68" spans="2:18" ht="23.25" customHeight="1">
      <c r="B68" s="116" t="s">
        <v>54</v>
      </c>
      <c r="C68" s="117"/>
      <c r="D68" s="55" t="s">
        <v>69</v>
      </c>
      <c r="E68" s="83" t="s">
        <v>70</v>
      </c>
      <c r="F68" s="118"/>
      <c r="G68" s="73" t="s">
        <v>58</v>
      </c>
      <c r="H68" s="74">
        <v>195574</v>
      </c>
      <c r="I68" s="119">
        <v>47.6</v>
      </c>
      <c r="J68" s="120"/>
      <c r="K68" s="120"/>
      <c r="L68" s="121"/>
      <c r="M68" s="50">
        <f t="shared" si="1"/>
        <v>44838</v>
      </c>
      <c r="N68">
        <v>8040706</v>
      </c>
      <c r="O68" t="s">
        <v>79</v>
      </c>
      <c r="P68">
        <v>941.97</v>
      </c>
      <c r="Q68">
        <f t="shared" si="2"/>
        <v>44837.772000000004</v>
      </c>
      <c r="R68" s="49" t="s">
        <v>48</v>
      </c>
    </row>
    <row r="69" spans="2:18" ht="23.25" customHeight="1">
      <c r="B69" s="116" t="s">
        <v>54</v>
      </c>
      <c r="C69" s="117"/>
      <c r="D69" s="55" t="s">
        <v>69</v>
      </c>
      <c r="E69" s="83" t="s">
        <v>71</v>
      </c>
      <c r="F69" s="118"/>
      <c r="G69" s="73" t="s">
        <v>58</v>
      </c>
      <c r="H69" s="74">
        <v>30400</v>
      </c>
      <c r="I69" s="119">
        <v>7.4</v>
      </c>
      <c r="J69" s="120"/>
      <c r="K69" s="120"/>
      <c r="L69" s="121"/>
      <c r="M69" s="50">
        <f t="shared" si="1"/>
        <v>6971</v>
      </c>
      <c r="N69">
        <v>8040706</v>
      </c>
      <c r="O69" t="s">
        <v>79</v>
      </c>
      <c r="P69">
        <v>941.97</v>
      </c>
      <c r="Q69">
        <f t="shared" si="2"/>
        <v>6970.5780000000004</v>
      </c>
      <c r="R69" s="49" t="s">
        <v>48</v>
      </c>
    </row>
    <row r="70" spans="2:18" ht="15" customHeight="1">
      <c r="B70" s="116" t="s">
        <v>54</v>
      </c>
      <c r="C70" s="117"/>
      <c r="D70" s="55" t="s">
        <v>69</v>
      </c>
      <c r="E70" s="83" t="s">
        <v>60</v>
      </c>
      <c r="F70" s="118"/>
      <c r="G70" s="73" t="s">
        <v>58</v>
      </c>
      <c r="H70" s="74">
        <v>160850</v>
      </c>
      <c r="I70" s="119">
        <v>39.56</v>
      </c>
      <c r="J70" s="120"/>
      <c r="K70" s="120"/>
      <c r="L70" s="121"/>
      <c r="M70" s="50">
        <f t="shared" si="1"/>
        <v>37264</v>
      </c>
      <c r="N70">
        <v>8040706</v>
      </c>
      <c r="O70" t="s">
        <v>79</v>
      </c>
      <c r="P70">
        <v>941.97</v>
      </c>
      <c r="Q70">
        <f t="shared" si="2"/>
        <v>37264.333200000001</v>
      </c>
      <c r="R70" s="49" t="s">
        <v>46</v>
      </c>
    </row>
    <row r="71" spans="2:18" ht="29.25" customHeight="1">
      <c r="B71" s="116" t="s">
        <v>54</v>
      </c>
      <c r="C71" s="117"/>
      <c r="D71" s="55" t="s">
        <v>69</v>
      </c>
      <c r="E71" s="83" t="s">
        <v>70</v>
      </c>
      <c r="F71" s="118"/>
      <c r="G71" s="73" t="s">
        <v>58</v>
      </c>
      <c r="H71" s="74">
        <v>38500</v>
      </c>
      <c r="I71" s="119">
        <v>9.3699999999999992</v>
      </c>
      <c r="J71" s="120"/>
      <c r="K71" s="120"/>
      <c r="L71" s="121"/>
      <c r="M71" s="50">
        <f t="shared" si="1"/>
        <v>8826</v>
      </c>
      <c r="N71">
        <v>8040706</v>
      </c>
      <c r="O71" t="s">
        <v>79</v>
      </c>
      <c r="P71">
        <v>941.97</v>
      </c>
      <c r="Q71">
        <f t="shared" si="2"/>
        <v>8826.2588999999989</v>
      </c>
      <c r="R71" s="49" t="s">
        <v>48</v>
      </c>
    </row>
    <row r="72" spans="2:18" ht="15" customHeight="1">
      <c r="B72" s="116" t="s">
        <v>54</v>
      </c>
      <c r="C72" s="117"/>
      <c r="D72" s="55" t="s">
        <v>69</v>
      </c>
      <c r="E72" s="83" t="s">
        <v>72</v>
      </c>
      <c r="F72" s="118"/>
      <c r="G72" s="73" t="s">
        <v>58</v>
      </c>
      <c r="H72" s="74">
        <v>8900</v>
      </c>
      <c r="I72" s="119">
        <v>2.19</v>
      </c>
      <c r="J72" s="120"/>
      <c r="K72" s="120"/>
      <c r="L72" s="121"/>
      <c r="M72" s="50">
        <f t="shared" si="1"/>
        <v>2063</v>
      </c>
      <c r="N72">
        <v>8040706</v>
      </c>
      <c r="O72" t="s">
        <v>79</v>
      </c>
      <c r="P72">
        <v>941.97</v>
      </c>
      <c r="Q72">
        <f t="shared" si="2"/>
        <v>2062.9142999999999</v>
      </c>
      <c r="R72" s="49" t="s">
        <v>48</v>
      </c>
    </row>
    <row r="73" spans="2:18" ht="21" customHeight="1">
      <c r="B73" s="116" t="s">
        <v>54</v>
      </c>
      <c r="C73" s="117"/>
      <c r="D73" s="55" t="s">
        <v>69</v>
      </c>
      <c r="E73" s="83" t="s">
        <v>73</v>
      </c>
      <c r="F73" s="118"/>
      <c r="G73" s="73" t="s">
        <v>74</v>
      </c>
      <c r="H73" s="74">
        <v>5</v>
      </c>
      <c r="I73" s="119">
        <v>5</v>
      </c>
      <c r="J73" s="120"/>
      <c r="K73" s="120"/>
      <c r="L73" s="121"/>
      <c r="M73" s="50">
        <f t="shared" si="1"/>
        <v>4710</v>
      </c>
      <c r="N73">
        <v>8040706</v>
      </c>
      <c r="O73" t="s">
        <v>79</v>
      </c>
      <c r="P73">
        <v>941.97</v>
      </c>
      <c r="Q73">
        <f t="shared" si="2"/>
        <v>4709.8500000000004</v>
      </c>
      <c r="R73" s="49" t="s">
        <v>48</v>
      </c>
    </row>
    <row r="74" spans="2:18" ht="15" customHeight="1">
      <c r="B74" s="116" t="s">
        <v>75</v>
      </c>
      <c r="C74" s="117"/>
      <c r="D74" s="55" t="s">
        <v>31</v>
      </c>
      <c r="E74" s="83" t="s">
        <v>76</v>
      </c>
      <c r="F74" s="118"/>
      <c r="G74" s="73"/>
      <c r="H74" s="74">
        <v>0</v>
      </c>
      <c r="I74" s="119">
        <v>-1710.39</v>
      </c>
      <c r="J74" s="120"/>
      <c r="K74" s="120"/>
      <c r="L74" s="121"/>
      <c r="M74" s="78"/>
    </row>
    <row r="75" spans="2:18" ht="15" customHeight="1">
      <c r="M75" s="50">
        <f>SUM(M20:M74)</f>
        <v>2645021</v>
      </c>
    </row>
    <row r="76" spans="2:18" ht="24" customHeight="1"/>
    <row r="77" spans="2:18" ht="15" customHeight="1"/>
    <row r="78" spans="2:18" ht="15" customHeight="1"/>
    <row r="79" spans="2:18" ht="15" customHeight="1"/>
    <row r="80" spans="2:18" ht="15" customHeight="1"/>
    <row r="81" ht="26.25" customHeight="1"/>
    <row r="82" ht="23.25" customHeight="1"/>
    <row r="83" ht="23.25" customHeight="1"/>
    <row r="84" ht="15" customHeight="1"/>
    <row r="85" ht="29.25" customHeight="1"/>
    <row r="86" ht="15" customHeight="1"/>
    <row r="87" ht="21" customHeight="1"/>
    <row r="88" ht="15" customHeight="1"/>
    <row r="89" ht="15" customHeight="1"/>
    <row r="90" ht="24" customHeight="1"/>
    <row r="91" ht="15" customHeight="1"/>
    <row r="92" ht="15" customHeight="1"/>
    <row r="93" ht="15" customHeight="1"/>
    <row r="94" ht="15" customHeight="1"/>
    <row r="95" ht="18.75" customHeight="1"/>
    <row r="96" ht="20.25" customHeight="1"/>
    <row r="97" ht="19.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</sheetData>
  <mergeCells count="141">
    <mergeCell ref="B74:C74"/>
    <mergeCell ref="E74:F74"/>
    <mergeCell ref="I74:L74"/>
    <mergeCell ref="B72:C72"/>
    <mergeCell ref="E72:F72"/>
    <mergeCell ref="I72:L72"/>
    <mergeCell ref="B73:C73"/>
    <mergeCell ref="E73:F73"/>
    <mergeCell ref="I73:L73"/>
    <mergeCell ref="B70:C70"/>
    <mergeCell ref="E70:F70"/>
    <mergeCell ref="I70:L70"/>
    <mergeCell ref="B71:C71"/>
    <mergeCell ref="E71:F71"/>
    <mergeCell ref="I71:L71"/>
    <mergeCell ref="B68:C68"/>
    <mergeCell ref="E68:F68"/>
    <mergeCell ref="I68:L68"/>
    <mergeCell ref="B69:C69"/>
    <mergeCell ref="E69:F69"/>
    <mergeCell ref="I69:L69"/>
    <mergeCell ref="B66:C66"/>
    <mergeCell ref="E66:F66"/>
    <mergeCell ref="I66:L66"/>
    <mergeCell ref="B67:C67"/>
    <mergeCell ref="E67:F67"/>
    <mergeCell ref="I67:L67"/>
    <mergeCell ref="B64:C64"/>
    <mergeCell ref="E64:F64"/>
    <mergeCell ref="I64:L64"/>
    <mergeCell ref="B65:C65"/>
    <mergeCell ref="E65:F65"/>
    <mergeCell ref="I65:L65"/>
    <mergeCell ref="B62:C62"/>
    <mergeCell ref="E62:F62"/>
    <mergeCell ref="I62:L62"/>
    <mergeCell ref="B63:C63"/>
    <mergeCell ref="E63:F63"/>
    <mergeCell ref="I63:L63"/>
    <mergeCell ref="B60:C60"/>
    <mergeCell ref="E60:F60"/>
    <mergeCell ref="I60:L60"/>
    <mergeCell ref="B61:C61"/>
    <mergeCell ref="E61:F61"/>
    <mergeCell ref="I61:L61"/>
    <mergeCell ref="B58:C58"/>
    <mergeCell ref="E58:F58"/>
    <mergeCell ref="I58:L58"/>
    <mergeCell ref="B59:C59"/>
    <mergeCell ref="E59:F59"/>
    <mergeCell ref="I59:L59"/>
    <mergeCell ref="B56:C56"/>
    <mergeCell ref="E56:F56"/>
    <mergeCell ref="I56:L56"/>
    <mergeCell ref="B57:C57"/>
    <mergeCell ref="E57:F57"/>
    <mergeCell ref="I57:L57"/>
    <mergeCell ref="B53:L53"/>
    <mergeCell ref="B54:C54"/>
    <mergeCell ref="E54:F54"/>
    <mergeCell ref="I54:L54"/>
    <mergeCell ref="B55:C55"/>
    <mergeCell ref="E55:F55"/>
    <mergeCell ref="I55:L55"/>
    <mergeCell ref="D47:F47"/>
    <mergeCell ref="H47:K47"/>
    <mergeCell ref="D48:F48"/>
    <mergeCell ref="H48:K48"/>
    <mergeCell ref="D49:F49"/>
    <mergeCell ref="H49:K49"/>
    <mergeCell ref="D44:F44"/>
    <mergeCell ref="H44:K44"/>
    <mergeCell ref="D45:F45"/>
    <mergeCell ref="H45:K45"/>
    <mergeCell ref="D46:F46"/>
    <mergeCell ref="H46:K46"/>
    <mergeCell ref="D41:F41"/>
    <mergeCell ref="H41:K41"/>
    <mergeCell ref="D42:F42"/>
    <mergeCell ref="H42:K42"/>
    <mergeCell ref="D43:F43"/>
    <mergeCell ref="H43:K43"/>
    <mergeCell ref="D38:F38"/>
    <mergeCell ref="H38:K38"/>
    <mergeCell ref="D39:F39"/>
    <mergeCell ref="H39:K39"/>
    <mergeCell ref="D40:F40"/>
    <mergeCell ref="H40:K40"/>
    <mergeCell ref="D35:F35"/>
    <mergeCell ref="H35:K35"/>
    <mergeCell ref="D36:F36"/>
    <mergeCell ref="H36:K36"/>
    <mergeCell ref="D37:F37"/>
    <mergeCell ref="H37:K37"/>
    <mergeCell ref="D32:F32"/>
    <mergeCell ref="H32:K32"/>
    <mergeCell ref="D33:F33"/>
    <mergeCell ref="H33:K33"/>
    <mergeCell ref="D34:F34"/>
    <mergeCell ref="H34:K34"/>
    <mergeCell ref="D29:F29"/>
    <mergeCell ref="H29:K29"/>
    <mergeCell ref="D30:F30"/>
    <mergeCell ref="H30:K30"/>
    <mergeCell ref="D31:F31"/>
    <mergeCell ref="H31:K31"/>
    <mergeCell ref="D26:F26"/>
    <mergeCell ref="H26:K26"/>
    <mergeCell ref="D27:F27"/>
    <mergeCell ref="H27:K27"/>
    <mergeCell ref="D28:F28"/>
    <mergeCell ref="H28:K28"/>
    <mergeCell ref="D23:F23"/>
    <mergeCell ref="H23:K23"/>
    <mergeCell ref="D24:F24"/>
    <mergeCell ref="H24:K24"/>
    <mergeCell ref="D25:F25"/>
    <mergeCell ref="H25:K25"/>
    <mergeCell ref="H20:K20"/>
    <mergeCell ref="D20:F20"/>
    <mergeCell ref="D21:F21"/>
    <mergeCell ref="H21:K21"/>
    <mergeCell ref="D22:F22"/>
    <mergeCell ref="H22:K22"/>
    <mergeCell ref="B14:E14"/>
    <mergeCell ref="B15:C15"/>
    <mergeCell ref="B6:E6"/>
    <mergeCell ref="G9:K9"/>
    <mergeCell ref="G8:J8"/>
    <mergeCell ref="B16:C16"/>
    <mergeCell ref="D15:E15"/>
    <mergeCell ref="D16:E16"/>
    <mergeCell ref="F15:G15"/>
    <mergeCell ref="F16:G16"/>
    <mergeCell ref="J15:K15"/>
    <mergeCell ref="J16:K16"/>
    <mergeCell ref="H19:K19"/>
    <mergeCell ref="D19:F19"/>
    <mergeCell ref="B18:E18"/>
    <mergeCell ref="F18:I18"/>
    <mergeCell ref="J18:K18"/>
  </mergeCells>
  <pageMargins left="0.23622047244094491" right="0.23622047244094491" top="0.74803149606299213" bottom="0.74803149606299213" header="0.31496062992125984" footer="0.31496062992125984"/>
  <pageSetup scale="5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2BE3-55BF-4044-A172-C8D1543DF624}">
  <sheetPr codeName="Hoja2"/>
  <dimension ref="A1"/>
  <sheetViews>
    <sheetView workbookViewId="0"/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1CE4-B487-48EE-9469-1839683696D0}">
  <sheetPr codeName="Hoja3"/>
  <dimension ref="A1"/>
  <sheetViews>
    <sheetView workbookViewId="0">
      <selection activeCell="D9" sqref="D9"/>
    </sheetView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768AAF-5C24-497C-AC72-9ED0B63B1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DE4578-D1F6-4FA6-8E67-645A7EA748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25342-947A-4503-A521-1A35D7F7DE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Banco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Carolina Cabrera</cp:lastModifiedBy>
  <cp:lastPrinted>2015-05-26T20:16:05Z</cp:lastPrinted>
  <dcterms:created xsi:type="dcterms:W3CDTF">2015-01-02T18:12:30Z</dcterms:created>
  <dcterms:modified xsi:type="dcterms:W3CDTF">2025-10-03T20:28:02Z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