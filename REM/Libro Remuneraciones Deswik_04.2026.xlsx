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19_Camila_Larenas/REMU/DESWIK/Proceso Remu/Proceso Remu 2026/04.2026/"/>
    </mc:Choice>
  </mc:AlternateContent>
  <xr:revisionPtr revIDLastSave="3" documentId="13_ncr:1_{BAA7DAB9-0B24-41F1-A027-A3076F0175C9}" xr6:coauthVersionLast="47" xr6:coauthVersionMax="47" xr10:uidLastSave="{9F86CEBD-0F71-44FA-AF8E-C71ADAADE9C3}"/>
  <bookViews>
    <workbookView xWindow="-28920" yWindow="-7980" windowWidth="29040" windowHeight="15720" xr2:uid="{00000000-000D-0000-FFFF-FFFF00000000}"/>
  </bookViews>
  <sheets>
    <sheet name="04.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0" i="1" l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Q18" i="1"/>
</calcChain>
</file>

<file path=xl/sharedStrings.xml><?xml version="1.0" encoding="utf-8"?>
<sst xmlns="http://schemas.openxmlformats.org/spreadsheetml/2006/main" count="243" uniqueCount="135">
  <si>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</si>
  <si>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</si>
  <si>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</si>
  <si>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</si>
  <si>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</si>
  <si>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</si>
  <si>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</si>
  <si>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</si>
  <si>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</si>
  <si>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</si>
  <si>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</si>
  <si>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</si>
  <si>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</si>
  <si>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</si>
  <si>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</si>
  <si>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</si>
  <si>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</si>
  <si>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</si>
  <si>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Bono de Salud</t>
  </si>
  <si>
    <t>Bono Sitio</t>
  </si>
  <si>
    <t>Suma de Haberes Afectos</t>
  </si>
  <si>
    <t>AFP</t>
  </si>
  <si>
    <t>Seguro Cesantia Trabajador</t>
  </si>
  <si>
    <t>Salud 7% (Fonasa)</t>
  </si>
  <si>
    <t>Isapre</t>
  </si>
  <si>
    <t>Isapre sobre 7%</t>
  </si>
  <si>
    <t>APV (Régimen A)</t>
  </si>
  <si>
    <t>APV</t>
  </si>
  <si>
    <t>Impuestos</t>
  </si>
  <si>
    <t>Liquido a Pago</t>
  </si>
  <si>
    <t>Seguro accidentes del Trabajo</t>
  </si>
  <si>
    <t>Seguro Cesantia Empleador</t>
  </si>
  <si>
    <t>Seguro Cesantia (Fondo Solidario)</t>
  </si>
  <si>
    <t>Seguro Invalidez y Supervivencia (SIS)</t>
  </si>
  <si>
    <t>Expectativa de Vida</t>
  </si>
  <si>
    <t>Capitalización Individual AFP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</si>
  <si>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</si>
  <si>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</si>
  <si>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</si>
  <si>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</si>
  <si>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</si>
  <si>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</si>
  <si>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</si>
  <si>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</si>
  <si>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</si>
  <si>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</si>
  <si>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Administración</t>
  </si>
  <si>
    <t>13462322-5</t>
  </si>
  <si>
    <t>CRISTIAN</t>
  </si>
  <si>
    <t>ANABALON</t>
  </si>
  <si>
    <t>BARRÍA</t>
  </si>
  <si>
    <t>16/12/2016</t>
  </si>
  <si>
    <t>Cuprum</t>
  </si>
  <si>
    <t>Colmena</t>
  </si>
  <si>
    <t>Consultoria</t>
  </si>
  <si>
    <t>13973582-K</t>
  </si>
  <si>
    <t>Carolina Alejandra</t>
  </si>
  <si>
    <t>Toro</t>
  </si>
  <si>
    <t>Segura</t>
  </si>
  <si>
    <t>15/12/2025</t>
  </si>
  <si>
    <t>15/06/2026</t>
  </si>
  <si>
    <t>Habitat</t>
  </si>
  <si>
    <t>15633296-8</t>
  </si>
  <si>
    <t>JORGE</t>
  </si>
  <si>
    <t>MORIS</t>
  </si>
  <si>
    <t>JORDÁN</t>
  </si>
  <si>
    <t>15/05/2017</t>
  </si>
  <si>
    <t>VidaTres</t>
  </si>
  <si>
    <t>16475670-K</t>
  </si>
  <si>
    <t>CAROL TATIANA</t>
  </si>
  <si>
    <t>CONTRERAS</t>
  </si>
  <si>
    <t>MUÑOZ</t>
  </si>
  <si>
    <t>01/12/2023</t>
  </si>
  <si>
    <t>Modelo</t>
  </si>
  <si>
    <t>Fonasa</t>
  </si>
  <si>
    <t>17308225-8</t>
  </si>
  <si>
    <t>FRANCISCO</t>
  </si>
  <si>
    <t>MIRANDA</t>
  </si>
  <si>
    <t>RIADI</t>
  </si>
  <si>
    <t>14/09/2017</t>
  </si>
  <si>
    <t>17533327-4</t>
  </si>
  <si>
    <t>JUAN SEBASTIAN</t>
  </si>
  <si>
    <t>CARVALLO</t>
  </si>
  <si>
    <t>JIMÉNEZ</t>
  </si>
  <si>
    <t>01/06/2017</t>
  </si>
  <si>
    <t>17534575-2</t>
  </si>
  <si>
    <t>YERKO</t>
  </si>
  <si>
    <t>FRANASOVIC</t>
  </si>
  <si>
    <t>BRAINE</t>
  </si>
  <si>
    <t>05/01/2026</t>
  </si>
  <si>
    <t>05/07/2026</t>
  </si>
  <si>
    <t>Nueva Mas Vida</t>
  </si>
  <si>
    <t>20322470-2</t>
  </si>
  <si>
    <t>Denisse Massiel</t>
  </si>
  <si>
    <t>Castro</t>
  </si>
  <si>
    <t>Acuña</t>
  </si>
  <si>
    <t>01/04/2025</t>
  </si>
  <si>
    <t>Uno</t>
  </si>
  <si>
    <t>Soporte</t>
  </si>
  <si>
    <t>20505480-4</t>
  </si>
  <si>
    <t>Renata Francisca</t>
  </si>
  <si>
    <t>Morales</t>
  </si>
  <si>
    <t>Melgarejo</t>
  </si>
  <si>
    <t>17/02/2026</t>
  </si>
  <si>
    <t>17/08/2026</t>
  </si>
  <si>
    <t>Consalud</t>
  </si>
  <si>
    <t>Mkt</t>
  </si>
  <si>
    <t>25111494-3</t>
  </si>
  <si>
    <t>Caroline</t>
  </si>
  <si>
    <t>Zorzi</t>
  </si>
  <si>
    <t>.</t>
  </si>
  <si>
    <t>04/11/2024</t>
  </si>
  <si>
    <t>Planvital</t>
  </si>
  <si>
    <t>Banmedica</t>
  </si>
  <si>
    <t>25221995-1</t>
  </si>
  <si>
    <t>CAITLIN JOY</t>
  </si>
  <si>
    <t>WHEAT</t>
  </si>
  <si>
    <t>01/01/2023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</si>
  <si>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</si>
  <si>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</si>
  <si>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</si>
  <si>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</si>
  <si>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</si>
  <si>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</si>
  <si>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</si>
  <si>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</si>
  <si>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</si>
  <si>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Esencial</t>
  </si>
  <si>
    <t>Ventas y marketing</t>
  </si>
  <si>
    <t>28794341-5</t>
  </si>
  <si>
    <t>Lucas Guilherme</t>
  </si>
  <si>
    <t>Cardoso</t>
  </si>
  <si>
    <t>Bittencourt</t>
  </si>
  <si>
    <t>01/11/2024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</si>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</sst>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545454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Font="1"/>
    <xf numFmtId="164" fontId="2" fillId="0" borderId="0" xfId="1" applyFont="1"/>
    <xf numFmtId="164" fontId="0" fillId="0" borderId="0" xfId="0" applyNumberFormat="1"/>
    <xf numFmtId="3" fontId="3" fillId="0" borderId="0" xfId="0" applyNumberFormat="1" applyFont="1"/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845820</xdr:colOff>
      <xdr:row>24</xdr:row>
      <xdr:rowOff>152400</xdr:rowOff>
    </xdr:from>
    <xdr:to>
      <xdr:col>33</xdr:col>
      <xdr:colOff>840875</xdr:colOff>
      <xdr:row>40</xdr:row>
      <xdr:rowOff>73943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3FF36-4528-A615-894D-4B3B60DF1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71895" y="4505325"/>
          <a:ext cx="9081905" cy="281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1"/>
  <sheetViews>
    <sheetView showGridLines="0" tabSelected="1" topLeftCell="T1" workbookViewId="0">
      <selection activeCell="AA21" sqref="AA21"/>
    </sheetView>
  </sheetViews>
  <sheetFormatPr defaultColWidth="8.88671875" defaultRowHeight="14.4" x14ac:dyDescent="0.3"/>
  <cols>
    <col min="17" max="17" width="16.6640625" bestFit="1" customWidth="1"/>
    <col min="18" max="19" width="15.5546875" bestFit="1" customWidth="1"/>
    <col min="20" max="20" width="14" bestFit="1" customWidth="1"/>
    <col min="21" max="21" width="16.6640625" bestFit="1" customWidth="1"/>
    <col min="22" max="22" width="15.5546875" bestFit="1" customWidth="1"/>
    <col min="23" max="24" width="14" bestFit="1" customWidth="1"/>
    <col min="25" max="25" width="15.5546875" bestFit="1" customWidth="1"/>
    <col min="26" max="27" width="14" bestFit="1" customWidth="1"/>
    <col min="28" max="28" width="13" bestFit="1" customWidth="1"/>
    <col min="29" max="29" width="15.5546875" bestFit="1" customWidth="1"/>
    <col min="30" max="30" width="16.6640625" bestFit="1" customWidth="1"/>
    <col min="31" max="31" width="14" bestFit="1" customWidth="1"/>
    <col min="32" max="32" width="15.5546875" bestFit="1" customWidth="1"/>
    <col min="33" max="35" width="14" bestFit="1" customWidth="1"/>
    <col min="36" max="36" width="13" bestFit="1" customWidth="1"/>
    <col min="37" max="37" width="16.664062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I2" t="s">
        <v>44</v>
      </c>
      <c r="J2" t="s">
        <v>45</v>
      </c>
      <c r="K2">
        <v>6.93</v>
      </c>
      <c r="L2">
        <v>6400000</v>
      </c>
      <c r="M2" t="s">
        <v>46</v>
      </c>
      <c r="N2">
        <v>30</v>
      </c>
      <c r="O2">
        <v>10</v>
      </c>
      <c r="P2">
        <v>0</v>
      </c>
      <c r="Q2" s="1">
        <v>6400000</v>
      </c>
      <c r="R2" s="1">
        <v>213354</v>
      </c>
      <c r="S2" s="1">
        <v>150000</v>
      </c>
      <c r="T2" s="1">
        <v>0</v>
      </c>
      <c r="U2" s="1">
        <v>6763354</v>
      </c>
      <c r="V2" s="1">
        <v>413439</v>
      </c>
      <c r="W2" s="1">
        <v>32546</v>
      </c>
      <c r="X2" s="1">
        <v>0</v>
      </c>
      <c r="Y2" s="1">
        <v>252757</v>
      </c>
      <c r="Z2" s="1">
        <v>25436</v>
      </c>
      <c r="AA2" s="1">
        <v>0</v>
      </c>
      <c r="AB2" s="1">
        <v>0</v>
      </c>
      <c r="AC2" s="1">
        <v>616297</v>
      </c>
      <c r="AD2" s="1">
        <v>5422879</v>
      </c>
      <c r="AE2" s="1">
        <v>33581</v>
      </c>
      <c r="AF2" s="1">
        <v>86788</v>
      </c>
      <c r="AG2" s="1">
        <v>43394</v>
      </c>
      <c r="AH2" s="1">
        <v>58495</v>
      </c>
      <c r="AI2" s="1">
        <v>32497</v>
      </c>
      <c r="AJ2" s="1">
        <v>3611</v>
      </c>
      <c r="AK2" s="1">
        <v>7021720</v>
      </c>
    </row>
    <row r="3" spans="1:37" x14ac:dyDescent="0.3">
      <c r="A3" t="s">
        <v>37</v>
      </c>
      <c r="B3" t="s">
        <v>38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I3" t="s">
        <v>52</v>
      </c>
      <c r="J3" t="s">
        <v>53</v>
      </c>
      <c r="K3">
        <v>12.87</v>
      </c>
      <c r="L3">
        <v>6650000</v>
      </c>
      <c r="M3" t="s">
        <v>54</v>
      </c>
      <c r="N3">
        <v>30</v>
      </c>
      <c r="O3">
        <v>0</v>
      </c>
      <c r="P3">
        <v>0</v>
      </c>
      <c r="Q3" s="1">
        <v>6650000</v>
      </c>
      <c r="R3" s="1">
        <v>213354</v>
      </c>
      <c r="S3" s="1">
        <v>150000</v>
      </c>
      <c r="T3" s="1">
        <v>0</v>
      </c>
      <c r="U3" s="1">
        <v>7013354</v>
      </c>
      <c r="V3" s="1">
        <v>413078</v>
      </c>
      <c r="W3" s="1">
        <v>32546</v>
      </c>
      <c r="X3" s="1">
        <v>0</v>
      </c>
      <c r="Y3" s="1">
        <v>252757</v>
      </c>
      <c r="Z3" s="1">
        <v>263590</v>
      </c>
      <c r="AA3" s="1">
        <v>0</v>
      </c>
      <c r="AB3" s="1">
        <v>0</v>
      </c>
      <c r="AC3" s="1">
        <v>675728</v>
      </c>
      <c r="AD3" s="1">
        <v>5375655</v>
      </c>
      <c r="AE3" s="1">
        <v>33581</v>
      </c>
      <c r="AF3" s="1">
        <v>86788</v>
      </c>
      <c r="AG3" s="1">
        <v>43394</v>
      </c>
      <c r="AH3" s="1">
        <v>58495</v>
      </c>
      <c r="AI3" s="1">
        <v>32497</v>
      </c>
      <c r="AJ3" s="1">
        <v>3611</v>
      </c>
      <c r="AK3" s="1">
        <v>7271720</v>
      </c>
    </row>
    <row r="4" spans="1:37" x14ac:dyDescent="0.3">
      <c r="A4" t="s">
        <v>37</v>
      </c>
      <c r="B4" t="s">
        <v>38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53</v>
      </c>
      <c r="K4">
        <v>7.64</v>
      </c>
      <c r="L4">
        <v>5500000</v>
      </c>
      <c r="M4" t="s">
        <v>46</v>
      </c>
      <c r="N4">
        <v>30</v>
      </c>
      <c r="O4">
        <v>0</v>
      </c>
      <c r="P4">
        <v>0</v>
      </c>
      <c r="Q4" s="1">
        <v>5500000</v>
      </c>
      <c r="R4" s="1">
        <v>213354</v>
      </c>
      <c r="S4" s="1">
        <v>150000</v>
      </c>
      <c r="T4" s="1">
        <v>0</v>
      </c>
      <c r="U4" s="1">
        <v>5863354</v>
      </c>
      <c r="V4" s="1">
        <v>406939</v>
      </c>
      <c r="W4" s="1">
        <v>0</v>
      </c>
      <c r="X4" s="1">
        <v>0</v>
      </c>
      <c r="Y4" s="1">
        <v>252757</v>
      </c>
      <c r="Z4" s="1">
        <v>53761</v>
      </c>
      <c r="AA4" s="1">
        <v>0</v>
      </c>
      <c r="AB4" s="1">
        <v>0</v>
      </c>
      <c r="AC4" s="1">
        <v>418278</v>
      </c>
      <c r="AD4" s="1">
        <v>4731619</v>
      </c>
      <c r="AE4" s="1">
        <v>33581</v>
      </c>
      <c r="AF4" s="1">
        <v>151879</v>
      </c>
      <c r="AG4" s="1">
        <v>10849</v>
      </c>
      <c r="AH4" s="1">
        <v>58495</v>
      </c>
      <c r="AI4" s="1">
        <v>32497</v>
      </c>
      <c r="AJ4" s="1">
        <v>3611</v>
      </c>
      <c r="AK4" s="1">
        <v>6154266</v>
      </c>
    </row>
    <row r="5" spans="1:37" x14ac:dyDescent="0.3">
      <c r="A5" t="s">
        <v>37</v>
      </c>
      <c r="B5" t="s">
        <v>38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I5" t="s">
        <v>52</v>
      </c>
      <c r="J5" t="s">
        <v>67</v>
      </c>
      <c r="K5">
        <v>7.33</v>
      </c>
      <c r="L5">
        <v>7750000</v>
      </c>
      <c r="M5" t="s">
        <v>54</v>
      </c>
      <c r="N5">
        <v>30</v>
      </c>
      <c r="O5">
        <v>0</v>
      </c>
      <c r="P5">
        <v>0</v>
      </c>
      <c r="Q5" s="1">
        <v>7750000</v>
      </c>
      <c r="R5" s="1">
        <v>213354</v>
      </c>
      <c r="S5" s="1">
        <v>150000</v>
      </c>
      <c r="T5" s="1">
        <v>0</v>
      </c>
      <c r="U5" s="1">
        <v>8113354</v>
      </c>
      <c r="V5" s="1">
        <v>413078</v>
      </c>
      <c r="W5" s="1">
        <v>32546</v>
      </c>
      <c r="X5" s="1">
        <v>0</v>
      </c>
      <c r="Y5" s="1">
        <v>252757</v>
      </c>
      <c r="Z5" s="1">
        <v>41525</v>
      </c>
      <c r="AA5" s="1">
        <v>0</v>
      </c>
      <c r="AB5" s="1">
        <v>50000</v>
      </c>
      <c r="AC5" s="1">
        <v>994928</v>
      </c>
      <c r="AD5" s="1">
        <v>6328520</v>
      </c>
      <c r="AE5" s="1">
        <v>33581</v>
      </c>
      <c r="AF5" s="1">
        <v>86788</v>
      </c>
      <c r="AG5" s="1">
        <v>43394</v>
      </c>
      <c r="AH5" s="1">
        <v>58495</v>
      </c>
      <c r="AI5" s="1">
        <v>32497</v>
      </c>
      <c r="AJ5" s="1">
        <v>3611</v>
      </c>
      <c r="AK5" s="1">
        <v>8371720</v>
      </c>
    </row>
    <row r="6" spans="1:37" x14ac:dyDescent="0.3">
      <c r="A6" t="s">
        <v>37</v>
      </c>
      <c r="B6" t="s">
        <v>38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I6" t="s">
        <v>73</v>
      </c>
      <c r="J6" t="s">
        <v>74</v>
      </c>
      <c r="L6">
        <v>1575000</v>
      </c>
      <c r="M6" t="s">
        <v>46</v>
      </c>
      <c r="N6">
        <v>30</v>
      </c>
      <c r="O6">
        <v>0</v>
      </c>
      <c r="P6">
        <v>0</v>
      </c>
      <c r="Q6" s="1">
        <v>1575000</v>
      </c>
      <c r="R6" s="1">
        <v>213354</v>
      </c>
      <c r="S6" s="1">
        <v>150000</v>
      </c>
      <c r="T6" s="1">
        <v>0</v>
      </c>
      <c r="U6" s="1">
        <v>1938354</v>
      </c>
      <c r="V6" s="1">
        <v>205078</v>
      </c>
      <c r="W6" s="1">
        <v>11630</v>
      </c>
      <c r="X6" s="1">
        <v>135685</v>
      </c>
      <c r="Y6" s="1">
        <v>0</v>
      </c>
      <c r="Z6" s="1">
        <v>0</v>
      </c>
      <c r="AA6" s="1">
        <v>0</v>
      </c>
      <c r="AB6" s="1">
        <v>0</v>
      </c>
      <c r="AC6" s="1">
        <v>25698</v>
      </c>
      <c r="AD6" s="1">
        <v>1560263</v>
      </c>
      <c r="AE6" s="1">
        <v>18027</v>
      </c>
      <c r="AF6" s="1">
        <v>31014</v>
      </c>
      <c r="AG6" s="1">
        <v>15507</v>
      </c>
      <c r="AH6" s="1">
        <v>31401</v>
      </c>
      <c r="AI6" s="1">
        <v>17445</v>
      </c>
      <c r="AJ6" s="1">
        <v>1938</v>
      </c>
      <c r="AK6" s="1">
        <v>2053686</v>
      </c>
    </row>
    <row r="7" spans="1:37" x14ac:dyDescent="0.3">
      <c r="A7" t="s">
        <v>37</v>
      </c>
      <c r="B7" t="s">
        <v>38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I7" t="s">
        <v>61</v>
      </c>
      <c r="J7" t="s">
        <v>67</v>
      </c>
      <c r="K7">
        <v>9.75</v>
      </c>
      <c r="L7">
        <v>6800000</v>
      </c>
      <c r="M7" t="s">
        <v>54</v>
      </c>
      <c r="N7">
        <v>30</v>
      </c>
      <c r="O7">
        <v>0</v>
      </c>
      <c r="P7">
        <v>0</v>
      </c>
      <c r="Q7" s="1">
        <v>6800000</v>
      </c>
      <c r="R7" s="1">
        <v>213354</v>
      </c>
      <c r="S7" s="1">
        <v>150000</v>
      </c>
      <c r="T7" s="1">
        <v>0</v>
      </c>
      <c r="U7" s="1">
        <v>7163354</v>
      </c>
      <c r="V7" s="1">
        <v>406939</v>
      </c>
      <c r="W7" s="1">
        <v>32546</v>
      </c>
      <c r="X7" s="1">
        <v>0</v>
      </c>
      <c r="Y7" s="1">
        <v>252757</v>
      </c>
      <c r="Z7" s="1">
        <v>138254</v>
      </c>
      <c r="AA7" s="1">
        <v>160481</v>
      </c>
      <c r="AB7" s="1">
        <v>0</v>
      </c>
      <c r="AC7" s="1">
        <v>723194</v>
      </c>
      <c r="AD7" s="1">
        <v>5449183</v>
      </c>
      <c r="AE7" s="1">
        <v>33581</v>
      </c>
      <c r="AF7" s="1">
        <v>86788</v>
      </c>
      <c r="AG7" s="1">
        <v>43394</v>
      </c>
      <c r="AH7" s="1">
        <v>58495</v>
      </c>
      <c r="AI7" s="1">
        <v>32497</v>
      </c>
      <c r="AJ7" s="1">
        <v>3611</v>
      </c>
      <c r="AK7" s="1">
        <v>7421720</v>
      </c>
    </row>
    <row r="8" spans="1:37" x14ac:dyDescent="0.3">
      <c r="A8" t="s">
        <v>37</v>
      </c>
      <c r="B8" t="s">
        <v>38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I8" t="s">
        <v>73</v>
      </c>
      <c r="J8" t="s">
        <v>67</v>
      </c>
      <c r="K8">
        <v>6.89</v>
      </c>
      <c r="L8">
        <v>7250000</v>
      </c>
      <c r="M8" t="s">
        <v>54</v>
      </c>
      <c r="N8">
        <v>30</v>
      </c>
      <c r="O8">
        <v>0</v>
      </c>
      <c r="P8">
        <v>0</v>
      </c>
      <c r="Q8" s="1">
        <v>7250000</v>
      </c>
      <c r="R8" s="1">
        <v>213354</v>
      </c>
      <c r="S8" s="1">
        <v>150000</v>
      </c>
      <c r="T8" s="1">
        <v>100000</v>
      </c>
      <c r="U8" s="1">
        <v>7713354</v>
      </c>
      <c r="V8" s="1">
        <v>382025</v>
      </c>
      <c r="W8" s="1">
        <v>32546</v>
      </c>
      <c r="X8" s="1">
        <v>0</v>
      </c>
      <c r="Y8" s="1">
        <v>252757</v>
      </c>
      <c r="Z8" s="1">
        <v>23792</v>
      </c>
      <c r="AA8" s="1">
        <v>0</v>
      </c>
      <c r="AB8" s="1">
        <v>0</v>
      </c>
      <c r="AC8" s="1">
        <v>897968</v>
      </c>
      <c r="AD8" s="1">
        <v>6124266</v>
      </c>
      <c r="AE8" s="1">
        <v>33581</v>
      </c>
      <c r="AF8" s="1">
        <v>86788</v>
      </c>
      <c r="AG8" s="1">
        <v>43394</v>
      </c>
      <c r="AH8" s="1">
        <v>58495</v>
      </c>
      <c r="AI8" s="1">
        <v>32497</v>
      </c>
      <c r="AJ8" s="1">
        <v>3611</v>
      </c>
      <c r="AK8" s="1">
        <v>7971720</v>
      </c>
    </row>
    <row r="9" spans="1:37" x14ac:dyDescent="0.3">
      <c r="A9" t="s">
        <v>37</v>
      </c>
      <c r="B9" t="s">
        <v>38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I9" t="s">
        <v>73</v>
      </c>
      <c r="J9" t="s">
        <v>91</v>
      </c>
      <c r="K9">
        <v>6.51</v>
      </c>
      <c r="L9">
        <v>5500000</v>
      </c>
      <c r="M9" t="s">
        <v>54</v>
      </c>
      <c r="N9">
        <v>30</v>
      </c>
      <c r="O9">
        <v>0</v>
      </c>
      <c r="P9">
        <v>0</v>
      </c>
      <c r="Q9" s="1">
        <v>5500000</v>
      </c>
      <c r="R9" s="1">
        <v>213354</v>
      </c>
      <c r="S9" s="1">
        <v>150000</v>
      </c>
      <c r="T9" s="1">
        <v>0</v>
      </c>
      <c r="U9" s="1">
        <v>5863354</v>
      </c>
      <c r="V9" s="1">
        <v>382025</v>
      </c>
      <c r="W9" s="1">
        <v>0</v>
      </c>
      <c r="X9" s="1">
        <v>0</v>
      </c>
      <c r="Y9" s="1">
        <v>252757</v>
      </c>
      <c r="Z9" s="1">
        <v>8586</v>
      </c>
      <c r="AA9" s="1">
        <v>0</v>
      </c>
      <c r="AB9" s="1">
        <v>0</v>
      </c>
      <c r="AC9" s="1">
        <v>424008</v>
      </c>
      <c r="AD9" s="1">
        <v>4795978</v>
      </c>
      <c r="AE9" s="1">
        <v>33581</v>
      </c>
      <c r="AF9" s="1">
        <v>151879</v>
      </c>
      <c r="AG9" s="1">
        <v>10849</v>
      </c>
      <c r="AH9" s="1">
        <v>58495</v>
      </c>
      <c r="AI9" s="1">
        <v>32497</v>
      </c>
      <c r="AJ9" s="1">
        <v>3611</v>
      </c>
      <c r="AK9" s="1">
        <v>6154266</v>
      </c>
    </row>
    <row r="10" spans="1:37" x14ac:dyDescent="0.3">
      <c r="A10" t="s">
        <v>37</v>
      </c>
      <c r="B10" t="s">
        <v>38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I10" t="s">
        <v>97</v>
      </c>
      <c r="J10" t="s">
        <v>74</v>
      </c>
      <c r="L10">
        <v>2000000</v>
      </c>
      <c r="M10" t="s">
        <v>98</v>
      </c>
      <c r="N10">
        <v>30</v>
      </c>
      <c r="O10">
        <v>0</v>
      </c>
      <c r="P10">
        <v>0</v>
      </c>
      <c r="Q10" s="1">
        <v>2000000</v>
      </c>
      <c r="R10" s="1">
        <v>213354</v>
      </c>
      <c r="S10" s="1">
        <v>150000</v>
      </c>
      <c r="T10" s="1">
        <v>0</v>
      </c>
      <c r="U10" s="1">
        <v>2363354</v>
      </c>
      <c r="V10" s="1">
        <v>247207</v>
      </c>
      <c r="W10" s="1">
        <v>14180</v>
      </c>
      <c r="X10" s="1">
        <v>165435</v>
      </c>
      <c r="Y10" s="1">
        <v>0</v>
      </c>
      <c r="Z10" s="1">
        <v>0</v>
      </c>
      <c r="AA10" s="1">
        <v>0</v>
      </c>
      <c r="AB10" s="1">
        <v>0</v>
      </c>
      <c r="AC10" s="1">
        <v>39721</v>
      </c>
      <c r="AD10" s="1">
        <v>1896811</v>
      </c>
      <c r="AE10" s="1">
        <v>21979</v>
      </c>
      <c r="AF10" s="1">
        <v>37814</v>
      </c>
      <c r="AG10" s="1">
        <v>18907</v>
      </c>
      <c r="AH10" s="1">
        <v>38286</v>
      </c>
      <c r="AI10" s="1">
        <v>21270</v>
      </c>
      <c r="AJ10" s="1">
        <v>2363</v>
      </c>
      <c r="AK10" s="1">
        <v>2503973</v>
      </c>
    </row>
    <row r="11" spans="1:37" x14ac:dyDescent="0.3">
      <c r="A11" t="s">
        <v>37</v>
      </c>
      <c r="B11" t="s">
        <v>38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97</v>
      </c>
      <c r="J11" t="s">
        <v>105</v>
      </c>
      <c r="K11">
        <v>3.69</v>
      </c>
      <c r="L11">
        <v>1734631</v>
      </c>
      <c r="M11" t="s">
        <v>106</v>
      </c>
      <c r="N11">
        <v>30</v>
      </c>
      <c r="O11">
        <v>0</v>
      </c>
      <c r="P11">
        <v>0</v>
      </c>
      <c r="Q11" s="1">
        <v>1734631</v>
      </c>
      <c r="R11" s="1">
        <v>213354</v>
      </c>
      <c r="S11" s="1">
        <v>150000</v>
      </c>
      <c r="T11" s="1">
        <v>0</v>
      </c>
      <c r="U11" s="1">
        <v>2097985</v>
      </c>
      <c r="V11" s="1">
        <v>219449</v>
      </c>
      <c r="W11" s="1">
        <v>0</v>
      </c>
      <c r="X11" s="1">
        <v>0</v>
      </c>
      <c r="Y11" s="1">
        <v>146859</v>
      </c>
      <c r="Z11" s="1">
        <v>1225</v>
      </c>
      <c r="AA11" s="1">
        <v>0</v>
      </c>
      <c r="AB11" s="1">
        <v>0</v>
      </c>
      <c r="AC11" s="1">
        <v>31478</v>
      </c>
      <c r="AD11" s="1">
        <v>1698974</v>
      </c>
      <c r="AE11" s="1">
        <v>19511</v>
      </c>
      <c r="AF11" s="1">
        <v>58744</v>
      </c>
      <c r="AG11" s="1">
        <v>4196</v>
      </c>
      <c r="AH11" s="1">
        <v>33987</v>
      </c>
      <c r="AI11" s="1">
        <v>18882</v>
      </c>
      <c r="AJ11" s="1">
        <v>2098</v>
      </c>
      <c r="AK11" s="1">
        <v>2235403</v>
      </c>
    </row>
    <row r="12" spans="1:37" x14ac:dyDescent="0.3">
      <c r="A12" t="s">
        <v>37</v>
      </c>
      <c r="B12" t="s">
        <v>38</v>
      </c>
      <c r="C12" t="s">
        <v>107</v>
      </c>
      <c r="D12" t="s">
        <v>108</v>
      </c>
      <c r="E12" t="s">
        <v>109</v>
      </c>
      <c r="F12" t="s">
        <v>110</v>
      </c>
      <c r="G12" t="s">
        <v>111</v>
      </c>
      <c r="I12" t="s">
        <v>112</v>
      </c>
      <c r="J12" t="s">
        <v>113</v>
      </c>
      <c r="K12">
        <v>6.66</v>
      </c>
      <c r="L12">
        <v>5700000</v>
      </c>
      <c r="M12" t="s">
        <v>54</v>
      </c>
      <c r="N12">
        <v>30</v>
      </c>
      <c r="O12">
        <v>0</v>
      </c>
      <c r="P12">
        <v>0</v>
      </c>
      <c r="Q12" s="1">
        <v>5700000</v>
      </c>
      <c r="R12" s="1">
        <v>213354</v>
      </c>
      <c r="S12" s="1">
        <v>150000</v>
      </c>
      <c r="T12" s="1">
        <v>0</v>
      </c>
      <c r="U12" s="1">
        <v>6063354</v>
      </c>
      <c r="V12" s="1">
        <v>402967</v>
      </c>
      <c r="W12" s="1">
        <v>32546</v>
      </c>
      <c r="X12" s="1">
        <v>0</v>
      </c>
      <c r="Y12" s="1">
        <v>252757</v>
      </c>
      <c r="Z12" s="1">
        <v>14323</v>
      </c>
      <c r="AA12" s="1">
        <v>0</v>
      </c>
      <c r="AB12" s="1">
        <v>0</v>
      </c>
      <c r="AC12" s="1">
        <v>457706</v>
      </c>
      <c r="AD12" s="1">
        <v>4903055</v>
      </c>
      <c r="AE12" s="1">
        <v>33581</v>
      </c>
      <c r="AF12" s="1">
        <v>86788</v>
      </c>
      <c r="AG12" s="1">
        <v>43394</v>
      </c>
      <c r="AH12" s="1">
        <v>58495</v>
      </c>
      <c r="AI12" s="1">
        <v>32497</v>
      </c>
      <c r="AJ12" s="1">
        <v>3611</v>
      </c>
      <c r="AK12" s="1">
        <v>6321720</v>
      </c>
    </row>
    <row r="13" spans="1:37" x14ac:dyDescent="0.3">
      <c r="A13" t="s">
        <v>37</v>
      </c>
      <c r="B13" t="s">
        <v>38</v>
      </c>
      <c r="C13" t="s">
        <v>114</v>
      </c>
      <c r="D13" t="s">
        <v>115</v>
      </c>
      <c r="E13" t="s">
        <v>116</v>
      </c>
      <c r="F13" t="s">
        <v>110</v>
      </c>
      <c r="G13" t="s">
        <v>117</v>
      </c>
      <c r="I13" t="s">
        <v>112</v>
      </c>
      <c r="J13" t="s">
        <v>105</v>
      </c>
      <c r="K13">
        <v>9.74</v>
      </c>
      <c r="L13">
        <v>4650000</v>
      </c>
      <c r="M13" t="s">
        <v>46</v>
      </c>
      <c r="N13">
        <v>30</v>
      </c>
      <c r="O13">
        <v>0</v>
      </c>
      <c r="P13">
        <v>0</v>
      </c>
      <c r="Q13" s="1">
        <v>4650000</v>
      </c>
      <c r="R13" s="1">
        <v>213354</v>
      </c>
      <c r="S13" s="1">
        <v>150000</v>
      </c>
      <c r="T13" s="1">
        <v>0</v>
      </c>
      <c r="U13" s="1">
        <v>5013354</v>
      </c>
      <c r="V13" s="1">
        <v>402967</v>
      </c>
      <c r="W13" s="1">
        <v>30080</v>
      </c>
      <c r="X13" s="1">
        <v>0</v>
      </c>
      <c r="Y13" s="1">
        <v>252757</v>
      </c>
      <c r="Z13" s="1">
        <v>137853</v>
      </c>
      <c r="AA13" s="1">
        <v>0</v>
      </c>
      <c r="AB13" s="1">
        <v>0</v>
      </c>
      <c r="AC13" s="1">
        <v>270418</v>
      </c>
      <c r="AD13" s="1">
        <v>3919279</v>
      </c>
      <c r="AE13" s="1">
        <v>33581</v>
      </c>
      <c r="AF13" s="1">
        <v>80214</v>
      </c>
      <c r="AG13" s="1">
        <v>40107</v>
      </c>
      <c r="AH13" s="1">
        <v>58495</v>
      </c>
      <c r="AI13" s="1">
        <v>32497</v>
      </c>
      <c r="AJ13" s="1">
        <v>3611</v>
      </c>
      <c r="AK13" s="1">
        <v>5261859</v>
      </c>
    </row>
    <row r="14" spans="1:37" x14ac:dyDescent="0.3">
      <c r="A14" t="s">
        <v>37</v>
      </c>
      <c r="B14" t="s">
        <v>38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I14" t="s">
        <v>112</v>
      </c>
      <c r="J14" t="s">
        <v>45</v>
      </c>
      <c r="K14">
        <v>7.2</v>
      </c>
      <c r="L14">
        <v>5500000</v>
      </c>
      <c r="M14" t="s">
        <v>54</v>
      </c>
      <c r="N14">
        <v>30</v>
      </c>
      <c r="O14">
        <v>10</v>
      </c>
      <c r="P14">
        <v>0</v>
      </c>
      <c r="Q14" s="1">
        <v>5500000</v>
      </c>
      <c r="R14" s="1">
        <v>213354</v>
      </c>
      <c r="S14" s="1">
        <v>150000</v>
      </c>
      <c r="T14" s="1">
        <v>0</v>
      </c>
      <c r="U14" s="1">
        <v>5863354</v>
      </c>
      <c r="V14" s="1">
        <v>402967</v>
      </c>
      <c r="W14" s="1">
        <v>32546</v>
      </c>
      <c r="X14" s="1">
        <v>0</v>
      </c>
      <c r="Y14" s="1">
        <v>252757</v>
      </c>
      <c r="Z14" s="1">
        <v>35948</v>
      </c>
      <c r="AA14" s="1">
        <v>0</v>
      </c>
      <c r="AB14" s="1">
        <v>0</v>
      </c>
      <c r="AC14" s="1">
        <v>411706</v>
      </c>
      <c r="AD14" s="1">
        <v>4727430</v>
      </c>
      <c r="AE14" s="1">
        <v>33581</v>
      </c>
      <c r="AF14" s="1">
        <v>86788</v>
      </c>
      <c r="AG14" s="1">
        <v>43394</v>
      </c>
      <c r="AH14" s="1">
        <v>58495</v>
      </c>
      <c r="AI14" s="1">
        <v>32497</v>
      </c>
      <c r="AJ14" s="1">
        <v>3611</v>
      </c>
      <c r="AK14" s="1">
        <v>6121720</v>
      </c>
    </row>
    <row r="15" spans="1:37" x14ac:dyDescent="0.3">
      <c r="A15" t="s">
        <v>37</v>
      </c>
      <c r="B15" t="s">
        <v>38</v>
      </c>
      <c r="C15" t="s">
        <v>123</v>
      </c>
      <c r="D15" t="s">
        <v>124</v>
      </c>
      <c r="E15" t="s">
        <v>125</v>
      </c>
      <c r="F15" t="s">
        <v>126</v>
      </c>
      <c r="G15" t="s">
        <v>117</v>
      </c>
      <c r="I15" t="s">
        <v>73</v>
      </c>
      <c r="J15" t="s">
        <v>127</v>
      </c>
      <c r="K15">
        <v>12</v>
      </c>
      <c r="L15">
        <v>10627571</v>
      </c>
      <c r="M15" t="s">
        <v>128</v>
      </c>
      <c r="N15">
        <v>30</v>
      </c>
      <c r="O15">
        <v>0</v>
      </c>
      <c r="P15">
        <v>0</v>
      </c>
      <c r="Q15" s="1">
        <v>10627571</v>
      </c>
      <c r="R15" s="1">
        <v>213354</v>
      </c>
      <c r="S15" s="1">
        <v>150000</v>
      </c>
      <c r="T15" s="1">
        <v>0</v>
      </c>
      <c r="U15" s="1">
        <v>10990925</v>
      </c>
      <c r="V15" s="1">
        <v>382025</v>
      </c>
      <c r="W15" s="1">
        <v>32546</v>
      </c>
      <c r="X15" s="1">
        <v>0</v>
      </c>
      <c r="Y15" s="1">
        <v>252757</v>
      </c>
      <c r="Z15" s="1">
        <v>228685</v>
      </c>
      <c r="AA15" s="1">
        <v>0</v>
      </c>
      <c r="AB15" s="1">
        <v>0</v>
      </c>
      <c r="AC15" s="1">
        <v>1983447</v>
      </c>
      <c r="AD15" s="1">
        <v>8111465</v>
      </c>
      <c r="AE15" s="1">
        <v>33581</v>
      </c>
      <c r="AF15" s="1">
        <v>86788</v>
      </c>
      <c r="AG15" s="1">
        <v>43394</v>
      </c>
      <c r="AH15" s="1">
        <v>58495</v>
      </c>
      <c r="AI15" s="1">
        <v>32497</v>
      </c>
      <c r="AJ15" s="1">
        <v>3611</v>
      </c>
      <c r="AK15" s="1">
        <v>11249291</v>
      </c>
    </row>
    <row r="16" spans="1:37" x14ac:dyDescent="0.3">
      <c r="A16" t="s">
        <v>37</v>
      </c>
      <c r="B16" t="s">
        <v>38</v>
      </c>
      <c r="C16" t="s">
        <v>129</v>
      </c>
      <c r="D16" t="s">
        <v>130</v>
      </c>
      <c r="E16" t="s">
        <v>131</v>
      </c>
      <c r="F16" t="s">
        <v>132</v>
      </c>
      <c r="G16" t="s">
        <v>133</v>
      </c>
      <c r="I16" t="s">
        <v>97</v>
      </c>
      <c r="J16" t="s">
        <v>53</v>
      </c>
      <c r="K16">
        <v>6.79</v>
      </c>
      <c r="L16">
        <v>3500000</v>
      </c>
      <c r="M16" t="s">
        <v>54</v>
      </c>
      <c r="N16">
        <v>30</v>
      </c>
      <c r="O16">
        <v>0</v>
      </c>
      <c r="P16">
        <v>0</v>
      </c>
      <c r="Q16" s="1">
        <v>3500000</v>
      </c>
      <c r="R16" s="1">
        <v>213354</v>
      </c>
      <c r="S16" s="1">
        <v>150000</v>
      </c>
      <c r="T16" s="1">
        <v>0</v>
      </c>
      <c r="U16" s="1">
        <v>3863354</v>
      </c>
      <c r="V16" s="1">
        <v>377692</v>
      </c>
      <c r="W16" s="1">
        <v>23180</v>
      </c>
      <c r="X16" s="1">
        <v>0</v>
      </c>
      <c r="Y16" s="1">
        <v>252757</v>
      </c>
      <c r="Z16" s="1">
        <v>19499</v>
      </c>
      <c r="AA16" s="1">
        <v>0</v>
      </c>
      <c r="AB16" s="1">
        <v>0</v>
      </c>
      <c r="AC16" s="1">
        <v>135171</v>
      </c>
      <c r="AD16" s="1">
        <v>3055055</v>
      </c>
      <c r="AE16" s="1">
        <v>33581</v>
      </c>
      <c r="AF16" s="1">
        <v>61814</v>
      </c>
      <c r="AG16" s="1">
        <v>30907</v>
      </c>
      <c r="AH16" s="1">
        <v>58495</v>
      </c>
      <c r="AI16" s="1">
        <v>32497</v>
      </c>
      <c r="AJ16" s="1">
        <v>3611</v>
      </c>
      <c r="AK16" s="1">
        <v>4084259</v>
      </c>
    </row>
    <row r="17" spans="1:37" x14ac:dyDescent="0.3"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3">
      <c r="A18" t="s">
        <v>134</v>
      </c>
      <c r="B18" t="s">
        <v>134</v>
      </c>
      <c r="C18" t="s">
        <v>134</v>
      </c>
      <c r="D18" t="s">
        <v>134</v>
      </c>
      <c r="E18" t="s">
        <v>134</v>
      </c>
      <c r="F18" t="s">
        <v>134</v>
      </c>
      <c r="G18" t="s">
        <v>134</v>
      </c>
      <c r="H18" t="s">
        <v>134</v>
      </c>
      <c r="I18" t="s">
        <v>134</v>
      </c>
      <c r="J18" t="s">
        <v>134</v>
      </c>
      <c r="K18" t="s">
        <v>134</v>
      </c>
      <c r="L18" t="s">
        <v>134</v>
      </c>
      <c r="M18" t="s">
        <v>134</v>
      </c>
      <c r="N18" t="s">
        <v>134</v>
      </c>
      <c r="O18" t="s">
        <v>134</v>
      </c>
      <c r="P18" t="s">
        <v>134</v>
      </c>
      <c r="Q18" s="2">
        <f>+SUM(Q2:Q16)</f>
        <v>81137202</v>
      </c>
      <c r="R18" s="2">
        <f t="shared" ref="R18:AK18" si="0">+SUM(R2:R16)</f>
        <v>3200310</v>
      </c>
      <c r="S18" s="2">
        <f t="shared" si="0"/>
        <v>2250000</v>
      </c>
      <c r="T18" s="2">
        <f t="shared" si="0"/>
        <v>100000</v>
      </c>
      <c r="U18" s="2">
        <f t="shared" si="0"/>
        <v>86687512</v>
      </c>
      <c r="V18" s="2">
        <f t="shared" si="0"/>
        <v>5457875</v>
      </c>
      <c r="W18" s="2">
        <f t="shared" si="0"/>
        <v>339438</v>
      </c>
      <c r="X18" s="2">
        <f t="shared" si="0"/>
        <v>301120</v>
      </c>
      <c r="Y18" s="2">
        <f t="shared" si="0"/>
        <v>3179943</v>
      </c>
      <c r="Z18" s="2">
        <f t="shared" si="0"/>
        <v>992477</v>
      </c>
      <c r="AA18" s="2">
        <f t="shared" si="0"/>
        <v>160481</v>
      </c>
      <c r="AB18" s="2">
        <f t="shared" si="0"/>
        <v>50000</v>
      </c>
      <c r="AC18" s="2">
        <f t="shared" si="0"/>
        <v>8105746</v>
      </c>
      <c r="AD18" s="2">
        <f t="shared" si="0"/>
        <v>68100432</v>
      </c>
      <c r="AE18" s="2">
        <f t="shared" si="0"/>
        <v>462489</v>
      </c>
      <c r="AF18" s="2">
        <f t="shared" si="0"/>
        <v>1267662</v>
      </c>
      <c r="AG18" s="2">
        <f t="shared" si="0"/>
        <v>478474</v>
      </c>
      <c r="AH18" s="2">
        <f t="shared" si="0"/>
        <v>805614</v>
      </c>
      <c r="AI18" s="2">
        <f t="shared" si="0"/>
        <v>447561</v>
      </c>
      <c r="AJ18" s="2">
        <f t="shared" si="0"/>
        <v>49731</v>
      </c>
      <c r="AK18" s="2">
        <f t="shared" si="0"/>
        <v>90199043</v>
      </c>
    </row>
    <row r="19" spans="1:37" x14ac:dyDescent="0.3">
      <c r="A19" t="s">
        <v>134</v>
      </c>
      <c r="B19" t="s">
        <v>134</v>
      </c>
      <c r="C19" t="s">
        <v>134</v>
      </c>
      <c r="D19" t="s">
        <v>134</v>
      </c>
      <c r="E19" t="s">
        <v>134</v>
      </c>
      <c r="F19" t="s">
        <v>134</v>
      </c>
      <c r="G19" t="s">
        <v>134</v>
      </c>
      <c r="H19" t="s">
        <v>134</v>
      </c>
      <c r="I19" t="s">
        <v>134</v>
      </c>
      <c r="J19" t="s">
        <v>134</v>
      </c>
      <c r="K19" t="s">
        <v>134</v>
      </c>
      <c r="L19" t="s">
        <v>134</v>
      </c>
      <c r="M19" t="s">
        <v>134</v>
      </c>
      <c r="N19" t="s">
        <v>134</v>
      </c>
      <c r="O19" t="s">
        <v>134</v>
      </c>
      <c r="P19" t="s">
        <v>134</v>
      </c>
      <c r="Q19" t="s">
        <v>134</v>
      </c>
      <c r="R19" t="s">
        <v>134</v>
      </c>
      <c r="S19" t="s">
        <v>134</v>
      </c>
      <c r="T19" t="s">
        <v>134</v>
      </c>
      <c r="U19" t="s">
        <v>134</v>
      </c>
      <c r="V19" t="s">
        <v>134</v>
      </c>
      <c r="W19" t="s">
        <v>134</v>
      </c>
      <c r="X19" t="s">
        <v>134</v>
      </c>
      <c r="Y19" t="s">
        <v>134</v>
      </c>
      <c r="Z19" t="s">
        <v>134</v>
      </c>
      <c r="AA19" t="s">
        <v>134</v>
      </c>
      <c r="AB19" t="s">
        <v>134</v>
      </c>
      <c r="AC19" t="s">
        <v>134</v>
      </c>
      <c r="AD19" t="s">
        <v>134</v>
      </c>
      <c r="AE19" t="s">
        <v>134</v>
      </c>
      <c r="AF19" t="s">
        <v>134</v>
      </c>
      <c r="AG19" t="s">
        <v>134</v>
      </c>
      <c r="AH19" t="s">
        <v>134</v>
      </c>
      <c r="AI19" t="s">
        <v>134</v>
      </c>
      <c r="AJ19" t="s">
        <v>134</v>
      </c>
      <c r="AK19" t="s">
        <v>134</v>
      </c>
    </row>
    <row r="20" spans="1:37" x14ac:dyDescent="0.3">
      <c r="AC20" s="3">
        <f>+V18+W18+X18+Y18+Z18+AA18+AB18+AE18+AG18+AH18+AI18+AJ18+AF18</f>
        <v>13992865</v>
      </c>
    </row>
    <row r="21" spans="1:37" ht="15" x14ac:dyDescent="0.35">
      <c r="AC21" s="4">
        <v>13992865</v>
      </c>
    </row>
  </sheetData>
  <pageMargins left="0.75" right="0.75" top="1" bottom="1" header="0.5" footer="0.5"/>
  <headerFooter>
    <oddFooter>&amp;C_x000D_&amp;1#&amp;"Aptos"&amp;9&amp;K000000 Clasificación: Confidencial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1F4535-86E0-49DE-8CC8-1A0CD2BA452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ECAEB956-B382-4BFC-BABE-783521AF19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DAB862-FBDB-48DB-9C34-6CC48B822353}"/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Larenas</cp:lastModifiedBy>
  <dcterms:created xsi:type="dcterms:W3CDTF">2026-04-20T09:25:12Z</dcterms:created>
  <dcterms:modified xsi:type="dcterms:W3CDTF">2026-04-24T03:45:15Z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