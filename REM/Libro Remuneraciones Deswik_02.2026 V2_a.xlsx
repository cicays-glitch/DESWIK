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19_Camila_Larenas/REMU/DESWIK/Proceso Remu/Proceso Remu 2026/02.2026/"/>
    </mc:Choice>
  </mc:AlternateContent>
  <xr:revisionPtr revIDLastSave="38" documentId="13_ncr:1_{ED65C156-2FA4-4F80-9FD5-BC60A32290F6}" xr6:coauthVersionLast="47" xr6:coauthVersionMax="47" xr10:uidLastSave="{CCC08C0A-60AA-4781-A99C-E3E378683103}"/>
  <bookViews>
    <workbookView xWindow="-28920" yWindow="-7980" windowWidth="29040" windowHeight="15720" xr2:uid="{00000000-000D-0000-FFFF-FFFF00000000}"/>
  </bookViews>
  <sheets>
    <sheet name="2.2026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9" i="1" l="1"/>
  <c r="AL29" i="1" s="1"/>
  <c r="AJ25" i="1"/>
  <c r="AJ24" i="1"/>
  <c r="AL24" i="1" s="1"/>
  <c r="AM18" i="1"/>
  <c r="AN18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2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AJ27" i="1" l="1"/>
  <c r="AK32" i="1" s="1"/>
  <c r="AK30" i="1"/>
</calcChain>
</file>

<file path=xl/sharedStrings.xml><?xml version="1.0" encoding="utf-8"?>
<sst xmlns="http://schemas.openxmlformats.org/spreadsheetml/2006/main" count="275" uniqueCount="153">
  <si>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</si>
  <si>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</si>
  <si>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</si>
  <si>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</si>
  <si>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</si>
  <si>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</si>
  <si>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</si>
  <si>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</si>
  <si>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</si>
  <si>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</si>
  <si>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</si>
  <si>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</si>
  <si>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</si>
  <si>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</si>
  <si>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</si>
  <si>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</si>
  <si>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</si>
  <si>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</si>
  <si>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Diferencia Gratificación</t>
  </si>
  <si>
    <t>Bono de Salud</t>
  </si>
  <si>
    <t>Bono Sitio</t>
  </si>
  <si>
    <t>Suma de Haberes Afectos</t>
  </si>
  <si>
    <t>Bono Reliquidado Actualizado</t>
  </si>
  <si>
    <t>Suma de Haberes Exentos</t>
  </si>
  <si>
    <t>AFP</t>
  </si>
  <si>
    <t>Afp Reliquidada</t>
  </si>
  <si>
    <t>Seguro Cesantia Trabajador</t>
  </si>
  <si>
    <t>Seguro Cesantia Trabajador Reliquidado</t>
  </si>
  <si>
    <t>Salud 7% (Fonasa)</t>
  </si>
  <si>
    <t>Fonasa Reliquidado</t>
  </si>
  <si>
    <t>Isapre</t>
  </si>
  <si>
    <t>Isapre sobre 7%</t>
  </si>
  <si>
    <t>Isapre Reliquidada</t>
  </si>
  <si>
    <t>APV (Régimen A)</t>
  </si>
  <si>
    <t>APV</t>
  </si>
  <si>
    <t>Impuestos</t>
  </si>
  <si>
    <t>Impuestos Reliquidado</t>
  </si>
  <si>
    <t>Liquido a Pago</t>
  </si>
  <si>
    <t>Seguro accidentes del Trabajo</t>
  </si>
  <si>
    <t>Seguro accidentes del Trabajo reliquidado</t>
  </si>
  <si>
    <t>Seguro Cesantia Empleador</t>
  </si>
  <si>
    <t>Seguro Cesantia Empleador Reliquidado</t>
  </si>
  <si>
    <t>Seguro Cesantia (Fondo Solidario)</t>
  </si>
  <si>
    <t>Seguro Cesantia Fondo Solidario Reliquidado</t>
  </si>
  <si>
    <t>Seguro Invalidez y Supervivencia (SIS)</t>
  </si>
  <si>
    <t>Seguro Invalidez Y Supervivencia Reliquidado</t>
  </si>
  <si>
    <t>Capitalización Individual AFP Reliquidado</t>
  </si>
  <si>
    <t>Expectativa de Vida</t>
  </si>
  <si>
    <t>Expectativa de Vida Reliquidado</t>
  </si>
  <si>
    <t>Capitalización Individual AFP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</si>
  <si>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</si>
  <si>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</si>
  <si>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</si>
  <si>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</si>
  <si>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</si>
  <si>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</si>
  <si>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</si>
  <si>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</si>
  <si>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</si>
  <si>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</si>
  <si>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Administración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</si>
  <si>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</si>
  <si>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</si>
  <si>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</si>
  <si>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</si>
  <si>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</si>
  <si>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</si>
  <si>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</si>
  <si>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Consultoria</t>
  </si>
  <si>
    <t>13973582-K</t>
  </si>
  <si>
    <t>Carolina Alejandra</t>
  </si>
  <si>
    <t>Toro</t>
  </si>
  <si>
    <t>Segura</t>
  </si>
  <si>
    <t>15/12/2025</t>
  </si>
  <si>
    <t>15/06/2026</t>
  </si>
  <si>
    <t>Habitat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</si>
  <si>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</si>
  <si>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</si>
  <si>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</si>
  <si>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</si>
  <si>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</si>
  <si>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</si>
  <si>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</si>
  <si>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</si>
  <si>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</si>
  <si>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</si>
  <si>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</si>
  <si>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</si>
  <si>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</si>
  <si>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</si>
  <si>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</si>
  <si>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</si>
  <si>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</si>
  <si>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</si>
  <si>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17533327-4</t>
  </si>
  <si>
    <t>JUAN SEBASTIAN</t>
  </si>
  <si>
    <t>CARVALLO</t>
  </si>
  <si>
    <t>JIMÉNEZ</t>
  </si>
  <si>
    <t>01/06/2017</t>
  </si>
  <si>
    <t>17534575-2</t>
  </si>
  <si>
    <t>YERKO</t>
  </si>
  <si>
    <t>FRANASOVIC</t>
  </si>
  <si>
    <t>BRAINE</t>
  </si>
  <si>
    <t>05/01/2026</t>
  </si>
  <si>
    <t>05/07/2026</t>
  </si>
  <si>
    <t>Nueva Mas Vida</t>
  </si>
  <si>
    <t>20322470-2</t>
  </si>
  <si>
    <t>Denisse Massiel</t>
  </si>
  <si>
    <t>Castro</t>
  </si>
  <si>
    <t>Acuña</t>
  </si>
  <si>
    <t>01/04/2025</t>
  </si>
  <si>
    <t>Uno</t>
  </si>
  <si>
    <t>Soporte</t>
  </si>
  <si>
    <t>20505480-4</t>
  </si>
  <si>
    <t>Renata Francisca</t>
  </si>
  <si>
    <t>Morales</t>
  </si>
  <si>
    <t>Melgarejo</t>
  </si>
  <si>
    <t>17/02/2026</t>
  </si>
  <si>
    <t>17/08/2026</t>
  </si>
  <si>
    <t>Mkt</t>
  </si>
  <si>
    <t>25111494-3</t>
  </si>
  <si>
    <t>Caroline</t>
  </si>
  <si>
    <t>Zorzi</t>
  </si>
  <si>
    <t>.</t>
  </si>
  <si>
    <t>04/11/2024</t>
  </si>
  <si>
    <t>Planvital</t>
  </si>
  <si>
    <t>Banmedica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</si>
  <si>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</si>
  <si>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</si>
  <si>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</si>
  <si>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</si>
  <si>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</si>
  <si>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</si>
  <si>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</si>
  <si>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</si>
  <si>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</si>
  <si>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</si>
  <si>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</si>
  <si>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</si>
  <si>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</si>
  <si>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</si>
  <si>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</si>
  <si>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Ventas y marketing</t>
  </si>
  <si>
    <t>28794341-5</t>
  </si>
  <si>
    <t>Lucas Guilherme</t>
  </si>
  <si>
    <t>Cardoso</t>
  </si>
  <si>
    <t>Bittencourt</t>
  </si>
  <si>
    <t>01/11/2024</t>
  </si>
  <si>
    <t xml:space="preserve"> </t>
  </si>
  <si>
    <t xml:space="preserve">Direncias a Pagar </t>
  </si>
  <si>
    <t>Liquidos pagados según L° Enviado</t>
  </si>
  <si>
    <t>Previred del Mes</t>
  </si>
  <si>
    <t>Previred Reliquidado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</si>
</sst>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164" fontId="0" fillId="0" borderId="0" xfId="1" applyNumberFormat="1" applyFont="1"/>
    <xf numFmtId="164" fontId="3" fillId="0" borderId="0" xfId="1" applyNumberFormat="1" applyFont="1"/>
    <xf numFmtId="0" fontId="2" fillId="0" borderId="0" xfId="0" applyFont="1"/>
    <xf numFmtId="0" fontId="2" fillId="2" borderId="0" xfId="0" applyFont="1" applyFill="1"/>
    <xf numFmtId="164" fontId="0" fillId="2" borderId="0" xfId="1" applyNumberFormat="1" applyFont="1" applyFill="1"/>
    <xf numFmtId="164" fontId="3" fillId="2" borderId="0" xfId="1" applyNumberFormat="1" applyFont="1" applyFill="1"/>
    <xf numFmtId="0" fontId="0" fillId="3" borderId="0" xfId="0" applyFill="1"/>
    <xf numFmtId="164" fontId="0" fillId="0" borderId="0" xfId="0" applyNumberFormat="1"/>
    <xf numFmtId="164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smchilespa.sharepoint.com/sites/RSMContabilidadyProcesos/Documentos%20compartidos/RSM%20Contabilidad%20y%20Procesos/02_equipo_bpo/Yessenia%20Pino/19_Camila_Larenas/REMU/DESWIK/Proceso%20Remu/Proceso%20Remu%202026/02.2026/Libro%20Remuneraciones%20Deswik_02.2026_Pagado.xlsx" TargetMode="External"/><Relationship Id="rId2" Type="http://schemas.microsoft.com/office/2019/04/relationships/externalLinkLongPath" Target="Libro%20Remuneraciones%20Deswik_02.2026_Pagado.xlsx?A61F7F3C" TargetMode="External"/><Relationship Id="rId1" Type="http://schemas.openxmlformats.org/officeDocument/2006/relationships/externalLinkPath" Target="file:///\\A61F7F3C\Libro%20Remuneraciones%20Deswik_02.2026_Pag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02.2026"/>
    </sheetNames>
    <sheetDataSet>
      <sheetData sheetId="0">
        <row r="2">
          <cell r="C2" t="str">
            <v>12681353-8</v>
          </cell>
          <cell r="D2" t="str">
            <v>KATHERINNE SILVANA</v>
          </cell>
          <cell r="E2" t="str">
            <v>ALARCON</v>
          </cell>
          <cell r="F2" t="str">
            <v>ESCOBAR</v>
          </cell>
          <cell r="G2" t="str">
            <v>01/08/2023</v>
          </cell>
          <cell r="I2" t="str">
            <v>Provida</v>
          </cell>
          <cell r="J2" t="str">
            <v>Cruz Blanca</v>
          </cell>
          <cell r="K2">
            <v>6.93</v>
          </cell>
          <cell r="L2">
            <v>6231500</v>
          </cell>
          <cell r="M2" t="str">
            <v>Administración</v>
          </cell>
          <cell r="N2">
            <v>30</v>
          </cell>
          <cell r="O2">
            <v>5</v>
          </cell>
          <cell r="P2">
            <v>0</v>
          </cell>
          <cell r="Q2">
            <v>6231500</v>
          </cell>
          <cell r="R2">
            <v>213354</v>
          </cell>
          <cell r="S2">
            <v>0</v>
          </cell>
          <cell r="T2">
            <v>150000</v>
          </cell>
          <cell r="U2">
            <v>0</v>
          </cell>
          <cell r="V2">
            <v>6594854</v>
          </cell>
          <cell r="W2">
            <v>11392558</v>
          </cell>
          <cell r="X2">
            <v>11392558</v>
          </cell>
          <cell r="Y2">
            <v>410042</v>
          </cell>
          <cell r="Z2">
            <v>0</v>
          </cell>
          <cell r="AA2">
            <v>32278</v>
          </cell>
          <cell r="AB2">
            <v>0</v>
          </cell>
          <cell r="AC2">
            <v>0</v>
          </cell>
          <cell r="AD2">
            <v>250681</v>
          </cell>
          <cell r="AE2">
            <v>25227</v>
          </cell>
          <cell r="AF2">
            <v>0</v>
          </cell>
          <cell r="AG2">
            <v>0</v>
          </cell>
          <cell r="AH2">
            <v>0</v>
          </cell>
          <cell r="AI2">
            <v>581960</v>
          </cell>
          <cell r="AJ2">
            <v>3152471</v>
          </cell>
          <cell r="AK2">
            <v>0</v>
          </cell>
          <cell r="AL2">
            <v>13534753</v>
          </cell>
        </row>
        <row r="3">
          <cell r="C3" t="str">
            <v>13462322-5</v>
          </cell>
          <cell r="D3" t="str">
            <v>CRISTIAN</v>
          </cell>
          <cell r="E3" t="str">
            <v>ANABALON</v>
          </cell>
          <cell r="F3" t="str">
            <v>BARRÍA</v>
          </cell>
          <cell r="G3" t="str">
            <v>16/12/2016</v>
          </cell>
          <cell r="I3" t="str">
            <v>Cuprum</v>
          </cell>
          <cell r="J3" t="str">
            <v>Colmena</v>
          </cell>
          <cell r="K3">
            <v>12.87</v>
          </cell>
          <cell r="L3">
            <v>6395833</v>
          </cell>
          <cell r="M3" t="str">
            <v>Consultoria</v>
          </cell>
          <cell r="N3">
            <v>30</v>
          </cell>
          <cell r="O3">
            <v>15</v>
          </cell>
          <cell r="P3">
            <v>0</v>
          </cell>
          <cell r="Q3">
            <v>6395833</v>
          </cell>
          <cell r="R3">
            <v>213354</v>
          </cell>
          <cell r="S3">
            <v>0</v>
          </cell>
          <cell r="T3">
            <v>150000</v>
          </cell>
          <cell r="U3">
            <v>0</v>
          </cell>
          <cell r="V3">
            <v>6759187</v>
          </cell>
          <cell r="W3">
            <v>5846498</v>
          </cell>
          <cell r="X3">
            <v>5846498</v>
          </cell>
          <cell r="Y3">
            <v>409684</v>
          </cell>
          <cell r="Z3">
            <v>0</v>
          </cell>
          <cell r="AA3">
            <v>32278</v>
          </cell>
          <cell r="AB3">
            <v>0</v>
          </cell>
          <cell r="AC3">
            <v>0</v>
          </cell>
          <cell r="AD3">
            <v>250681</v>
          </cell>
          <cell r="AE3">
            <v>261424</v>
          </cell>
          <cell r="AF3">
            <v>0</v>
          </cell>
          <cell r="AG3">
            <v>0</v>
          </cell>
          <cell r="AH3">
            <v>0</v>
          </cell>
          <cell r="AI3">
            <v>619839</v>
          </cell>
          <cell r="AJ3">
            <v>1703905</v>
          </cell>
          <cell r="AK3">
            <v>0</v>
          </cell>
          <cell r="AL3">
            <v>9327874</v>
          </cell>
        </row>
        <row r="4">
          <cell r="C4" t="str">
            <v>13973582-K</v>
          </cell>
          <cell r="D4" t="str">
            <v>Carolina Alejandra</v>
          </cell>
          <cell r="E4" t="str">
            <v>Toro</v>
          </cell>
          <cell r="F4" t="str">
            <v>Segura</v>
          </cell>
          <cell r="G4" t="str">
            <v>15/12/2025</v>
          </cell>
          <cell r="H4" t="str">
            <v>15/06/2026</v>
          </cell>
          <cell r="I4" t="str">
            <v>Habitat</v>
          </cell>
          <cell r="J4" t="str">
            <v>Colmena</v>
          </cell>
          <cell r="K4">
            <v>7.64</v>
          </cell>
          <cell r="L4">
            <v>5500000</v>
          </cell>
          <cell r="M4" t="str">
            <v>Administración</v>
          </cell>
          <cell r="N4">
            <v>30</v>
          </cell>
          <cell r="O4">
            <v>0</v>
          </cell>
          <cell r="P4">
            <v>0</v>
          </cell>
          <cell r="Q4">
            <v>5500000</v>
          </cell>
          <cell r="R4">
            <v>213354</v>
          </cell>
          <cell r="S4">
            <v>0</v>
          </cell>
          <cell r="T4">
            <v>150000</v>
          </cell>
          <cell r="U4">
            <v>0</v>
          </cell>
          <cell r="V4">
            <v>5863354</v>
          </cell>
          <cell r="W4">
            <v>0</v>
          </cell>
          <cell r="X4">
            <v>0</v>
          </cell>
          <cell r="Y4">
            <v>403596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250681</v>
          </cell>
          <cell r="AE4">
            <v>53319</v>
          </cell>
          <cell r="AF4">
            <v>0</v>
          </cell>
          <cell r="AG4">
            <v>0</v>
          </cell>
          <cell r="AH4">
            <v>0</v>
          </cell>
          <cell r="AI4">
            <v>422621</v>
          </cell>
          <cell r="AJ4">
            <v>0</v>
          </cell>
          <cell r="AK4">
            <v>0</v>
          </cell>
          <cell r="AL4">
            <v>4733137</v>
          </cell>
        </row>
        <row r="5">
          <cell r="C5" t="str">
            <v>15633296-8</v>
          </cell>
          <cell r="D5" t="str">
            <v>JORGE</v>
          </cell>
          <cell r="E5" t="str">
            <v>MORIS</v>
          </cell>
          <cell r="F5" t="str">
            <v>JORDÁN</v>
          </cell>
          <cell r="G5" t="str">
            <v>15/05/2017</v>
          </cell>
          <cell r="I5" t="str">
            <v>Cuprum</v>
          </cell>
          <cell r="J5" t="str">
            <v>VidaTres</v>
          </cell>
          <cell r="K5">
            <v>7.33</v>
          </cell>
          <cell r="L5">
            <v>7500000</v>
          </cell>
          <cell r="M5" t="str">
            <v>Consultoria</v>
          </cell>
          <cell r="N5">
            <v>30</v>
          </cell>
          <cell r="O5">
            <v>11</v>
          </cell>
          <cell r="P5">
            <v>0</v>
          </cell>
          <cell r="Q5">
            <v>7500000</v>
          </cell>
          <cell r="R5">
            <v>213354</v>
          </cell>
          <cell r="S5">
            <v>0</v>
          </cell>
          <cell r="T5">
            <v>150000</v>
          </cell>
          <cell r="U5">
            <v>0</v>
          </cell>
          <cell r="V5">
            <v>7863354</v>
          </cell>
          <cell r="W5">
            <v>10283742</v>
          </cell>
          <cell r="X5">
            <v>10283742</v>
          </cell>
          <cell r="Y5">
            <v>409684</v>
          </cell>
          <cell r="Z5">
            <v>0</v>
          </cell>
          <cell r="AA5">
            <v>32278</v>
          </cell>
          <cell r="AB5">
            <v>0</v>
          </cell>
          <cell r="AC5">
            <v>0</v>
          </cell>
          <cell r="AD5">
            <v>250681</v>
          </cell>
          <cell r="AE5">
            <v>41183</v>
          </cell>
          <cell r="AF5">
            <v>0</v>
          </cell>
          <cell r="AG5">
            <v>0</v>
          </cell>
          <cell r="AH5">
            <v>50000</v>
          </cell>
          <cell r="AI5">
            <v>925620</v>
          </cell>
          <cell r="AJ5">
            <v>3134139</v>
          </cell>
          <cell r="AK5">
            <v>50000</v>
          </cell>
          <cell r="AL5">
            <v>13253511</v>
          </cell>
        </row>
        <row r="6">
          <cell r="C6" t="str">
            <v>16475670-K</v>
          </cell>
          <cell r="D6" t="str">
            <v>CAROL TATIANA</v>
          </cell>
          <cell r="E6" t="str">
            <v>CONTRERAS</v>
          </cell>
          <cell r="F6" t="str">
            <v>MUÑOZ</v>
          </cell>
          <cell r="G6" t="str">
            <v>01/12/2023</v>
          </cell>
          <cell r="I6" t="str">
            <v>Modelo</v>
          </cell>
          <cell r="J6" t="str">
            <v>Fonasa</v>
          </cell>
          <cell r="L6">
            <v>1500000</v>
          </cell>
          <cell r="M6" t="str">
            <v>Administración</v>
          </cell>
          <cell r="N6">
            <v>0</v>
          </cell>
          <cell r="O6">
            <v>0</v>
          </cell>
          <cell r="P6">
            <v>30</v>
          </cell>
          <cell r="Q6">
            <v>0</v>
          </cell>
          <cell r="R6">
            <v>0</v>
          </cell>
          <cell r="S6">
            <v>0</v>
          </cell>
          <cell r="T6">
            <v>150000</v>
          </cell>
          <cell r="U6">
            <v>0</v>
          </cell>
          <cell r="V6">
            <v>150000</v>
          </cell>
          <cell r="W6">
            <v>2056748</v>
          </cell>
          <cell r="X6">
            <v>2056748</v>
          </cell>
          <cell r="Y6">
            <v>15870</v>
          </cell>
          <cell r="Z6">
            <v>217604</v>
          </cell>
          <cell r="AA6">
            <v>900</v>
          </cell>
          <cell r="AB6">
            <v>12338</v>
          </cell>
          <cell r="AC6">
            <v>10500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39086</v>
          </cell>
          <cell r="AK6">
            <v>0</v>
          </cell>
          <cell r="AL6">
            <v>1766478</v>
          </cell>
        </row>
        <row r="7">
          <cell r="C7" t="str">
            <v>17308225-8</v>
          </cell>
          <cell r="D7" t="str">
            <v>FRANCISCO</v>
          </cell>
          <cell r="E7" t="str">
            <v>MIRANDA</v>
          </cell>
          <cell r="F7" t="str">
            <v>RIADI</v>
          </cell>
          <cell r="G7" t="str">
            <v>14/09/2017</v>
          </cell>
          <cell r="I7" t="str">
            <v>Habitat</v>
          </cell>
          <cell r="J7" t="str">
            <v>VidaTres</v>
          </cell>
          <cell r="K7">
            <v>9.75</v>
          </cell>
          <cell r="L7">
            <v>6562600</v>
          </cell>
          <cell r="M7" t="str">
            <v>Consultoria</v>
          </cell>
          <cell r="N7">
            <v>30</v>
          </cell>
          <cell r="O7">
            <v>5</v>
          </cell>
          <cell r="P7">
            <v>0</v>
          </cell>
          <cell r="Q7">
            <v>6562600</v>
          </cell>
          <cell r="R7">
            <v>213354</v>
          </cell>
          <cell r="S7">
            <v>0</v>
          </cell>
          <cell r="T7">
            <v>150000</v>
          </cell>
          <cell r="U7">
            <v>550000</v>
          </cell>
          <cell r="V7">
            <v>7475954</v>
          </cell>
          <cell r="W7">
            <v>8998412</v>
          </cell>
          <cell r="X7">
            <v>8998412</v>
          </cell>
          <cell r="Y7">
            <v>403596</v>
          </cell>
          <cell r="Z7">
            <v>0</v>
          </cell>
          <cell r="AA7">
            <v>32278</v>
          </cell>
          <cell r="AB7">
            <v>0</v>
          </cell>
          <cell r="AC7">
            <v>0</v>
          </cell>
          <cell r="AD7">
            <v>250681</v>
          </cell>
          <cell r="AE7">
            <v>137118</v>
          </cell>
          <cell r="AF7">
            <v>0</v>
          </cell>
          <cell r="AG7">
            <v>159163</v>
          </cell>
          <cell r="AH7">
            <v>0</v>
          </cell>
          <cell r="AI7">
            <v>824901</v>
          </cell>
          <cell r="AJ7">
            <v>2718587</v>
          </cell>
          <cell r="AK7">
            <v>0</v>
          </cell>
          <cell r="AL7">
            <v>11948042</v>
          </cell>
        </row>
        <row r="8">
          <cell r="C8" t="str">
            <v>17533327-4</v>
          </cell>
          <cell r="D8" t="str">
            <v>JUAN SEBASTIAN</v>
          </cell>
          <cell r="E8" t="str">
            <v>CARVALLO</v>
          </cell>
          <cell r="F8" t="str">
            <v>JIMÉNEZ</v>
          </cell>
          <cell r="G8" t="str">
            <v>01/06/2017</v>
          </cell>
          <cell r="I8" t="str">
            <v>Modelo</v>
          </cell>
          <cell r="J8" t="str">
            <v>VidaTres</v>
          </cell>
          <cell r="K8">
            <v>6.89</v>
          </cell>
          <cell r="L8">
            <v>6825000</v>
          </cell>
          <cell r="M8" t="str">
            <v>Consultoria</v>
          </cell>
          <cell r="N8">
            <v>30</v>
          </cell>
          <cell r="O8">
            <v>0</v>
          </cell>
          <cell r="P8">
            <v>0</v>
          </cell>
          <cell r="Q8">
            <v>6825000</v>
          </cell>
          <cell r="R8">
            <v>213354</v>
          </cell>
          <cell r="S8">
            <v>0</v>
          </cell>
          <cell r="T8">
            <v>150000</v>
          </cell>
          <cell r="U8">
            <v>0</v>
          </cell>
          <cell r="V8">
            <v>7188354</v>
          </cell>
          <cell r="W8">
            <v>9358205</v>
          </cell>
          <cell r="X8">
            <v>9358205</v>
          </cell>
          <cell r="Y8">
            <v>378886</v>
          </cell>
          <cell r="Z8">
            <v>0</v>
          </cell>
          <cell r="AA8">
            <v>32278</v>
          </cell>
          <cell r="AB8">
            <v>0</v>
          </cell>
          <cell r="AC8">
            <v>0</v>
          </cell>
          <cell r="AD8">
            <v>250681</v>
          </cell>
          <cell r="AE8">
            <v>23596</v>
          </cell>
          <cell r="AF8">
            <v>0</v>
          </cell>
          <cell r="AG8">
            <v>0</v>
          </cell>
          <cell r="AH8">
            <v>0</v>
          </cell>
          <cell r="AI8">
            <v>744983</v>
          </cell>
          <cell r="AJ8">
            <v>2844890</v>
          </cell>
          <cell r="AK8">
            <v>0</v>
          </cell>
          <cell r="AL8">
            <v>12271245</v>
          </cell>
        </row>
        <row r="9">
          <cell r="C9" t="str">
            <v>17534575-2</v>
          </cell>
          <cell r="D9" t="str">
            <v>YERKO</v>
          </cell>
          <cell r="E9" t="str">
            <v>FRANASOVIC</v>
          </cell>
          <cell r="F9" t="str">
            <v>BRAINE</v>
          </cell>
          <cell r="G9" t="str">
            <v>05/01/2026</v>
          </cell>
          <cell r="H9" t="str">
            <v>05/07/2026</v>
          </cell>
          <cell r="I9" t="str">
            <v>Modelo</v>
          </cell>
          <cell r="J9" t="str">
            <v>Nueva Mas Vida</v>
          </cell>
          <cell r="K9">
            <v>6.51</v>
          </cell>
          <cell r="L9">
            <v>5500000</v>
          </cell>
          <cell r="M9" t="str">
            <v>Consultoria</v>
          </cell>
          <cell r="N9">
            <v>30</v>
          </cell>
          <cell r="O9">
            <v>0</v>
          </cell>
          <cell r="P9">
            <v>0</v>
          </cell>
          <cell r="Q9">
            <v>5500000</v>
          </cell>
          <cell r="R9">
            <v>213354</v>
          </cell>
          <cell r="S9">
            <v>0</v>
          </cell>
          <cell r="T9">
            <v>150000</v>
          </cell>
          <cell r="U9">
            <v>0</v>
          </cell>
          <cell r="V9">
            <v>5863354</v>
          </cell>
          <cell r="W9">
            <v>0</v>
          </cell>
          <cell r="X9">
            <v>0</v>
          </cell>
          <cell r="Y9">
            <v>378886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250681</v>
          </cell>
          <cell r="AE9">
            <v>8515</v>
          </cell>
          <cell r="AF9">
            <v>0</v>
          </cell>
          <cell r="AG9">
            <v>0</v>
          </cell>
          <cell r="AH9">
            <v>0</v>
          </cell>
          <cell r="AI9">
            <v>428304</v>
          </cell>
          <cell r="AJ9">
            <v>0</v>
          </cell>
          <cell r="AK9">
            <v>0</v>
          </cell>
          <cell r="AL9">
            <v>4796968</v>
          </cell>
        </row>
        <row r="10">
          <cell r="C10" t="str">
            <v>20322470-2</v>
          </cell>
          <cell r="D10" t="str">
            <v>Denisse Massiel</v>
          </cell>
          <cell r="E10" t="str">
            <v>Castro</v>
          </cell>
          <cell r="F10" t="str">
            <v>Acuña</v>
          </cell>
          <cell r="G10" t="str">
            <v>01/04/2025</v>
          </cell>
          <cell r="I10" t="str">
            <v>Uno</v>
          </cell>
          <cell r="J10" t="str">
            <v>Fonasa</v>
          </cell>
          <cell r="L10">
            <v>1750000</v>
          </cell>
          <cell r="M10" t="str">
            <v>Soporte</v>
          </cell>
          <cell r="N10">
            <v>30</v>
          </cell>
          <cell r="O10">
            <v>10</v>
          </cell>
          <cell r="P10">
            <v>0</v>
          </cell>
          <cell r="Q10">
            <v>1750000</v>
          </cell>
          <cell r="R10">
            <v>213354</v>
          </cell>
          <cell r="S10">
            <v>0</v>
          </cell>
          <cell r="T10">
            <v>150000</v>
          </cell>
          <cell r="U10">
            <v>0</v>
          </cell>
          <cell r="V10">
            <v>2113354</v>
          </cell>
          <cell r="W10">
            <v>2399540</v>
          </cell>
          <cell r="X10">
            <v>2399540</v>
          </cell>
          <cell r="Y10">
            <v>221057</v>
          </cell>
          <cell r="Z10">
            <v>251471</v>
          </cell>
          <cell r="AA10">
            <v>12680</v>
          </cell>
          <cell r="AB10">
            <v>14397</v>
          </cell>
          <cell r="AC10">
            <v>147935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31677</v>
          </cell>
          <cell r="AJ10">
            <v>84249</v>
          </cell>
          <cell r="AK10">
            <v>0</v>
          </cell>
          <cell r="AL10">
            <v>3581461</v>
          </cell>
        </row>
        <row r="11">
          <cell r="C11" t="str">
            <v>20505480-4</v>
          </cell>
          <cell r="D11" t="str">
            <v>Renata Francisca</v>
          </cell>
          <cell r="E11" t="str">
            <v>Morales</v>
          </cell>
          <cell r="F11" t="str">
            <v>Melgarejo</v>
          </cell>
          <cell r="G11" t="str">
            <v>17/02/2026</v>
          </cell>
          <cell r="H11" t="str">
            <v>17/08/2026</v>
          </cell>
          <cell r="I11" t="str">
            <v>Uno</v>
          </cell>
          <cell r="J11" t="str">
            <v>Fonasa</v>
          </cell>
          <cell r="L11">
            <v>1734631</v>
          </cell>
          <cell r="M11" t="str">
            <v>Mkt</v>
          </cell>
          <cell r="N11">
            <v>12</v>
          </cell>
          <cell r="O11">
            <v>0</v>
          </cell>
          <cell r="P11">
            <v>0</v>
          </cell>
          <cell r="Q11">
            <v>693852</v>
          </cell>
          <cell r="R11">
            <v>173463</v>
          </cell>
          <cell r="S11">
            <v>0</v>
          </cell>
          <cell r="T11">
            <v>150000</v>
          </cell>
          <cell r="U11">
            <v>0</v>
          </cell>
          <cell r="V11">
            <v>1017315</v>
          </cell>
          <cell r="W11">
            <v>0</v>
          </cell>
          <cell r="X11">
            <v>0</v>
          </cell>
          <cell r="Y11">
            <v>106411</v>
          </cell>
          <cell r="Z11">
            <v>0</v>
          </cell>
          <cell r="AA11">
            <v>0</v>
          </cell>
          <cell r="AB11">
            <v>0</v>
          </cell>
          <cell r="AC11">
            <v>71212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839692</v>
          </cell>
        </row>
        <row r="12">
          <cell r="C12" t="str">
            <v>25111494-3</v>
          </cell>
          <cell r="D12" t="str">
            <v>Caroline</v>
          </cell>
          <cell r="E12" t="str">
            <v>Zorzi</v>
          </cell>
          <cell r="F12" t="str">
            <v>.</v>
          </cell>
          <cell r="G12" t="str">
            <v>04/11/2024</v>
          </cell>
          <cell r="I12" t="str">
            <v>Planvital</v>
          </cell>
          <cell r="J12" t="str">
            <v>Banmedica</v>
          </cell>
          <cell r="K12">
            <v>6.66</v>
          </cell>
          <cell r="L12">
            <v>5500000</v>
          </cell>
          <cell r="M12" t="str">
            <v>Consultoria</v>
          </cell>
          <cell r="N12">
            <v>30</v>
          </cell>
          <cell r="O12">
            <v>10</v>
          </cell>
          <cell r="P12">
            <v>0</v>
          </cell>
          <cell r="Q12">
            <v>5500000</v>
          </cell>
          <cell r="R12">
            <v>213354</v>
          </cell>
          <cell r="S12">
            <v>0</v>
          </cell>
          <cell r="T12">
            <v>150000</v>
          </cell>
          <cell r="U12">
            <v>0</v>
          </cell>
          <cell r="V12">
            <v>5863354</v>
          </cell>
          <cell r="W12">
            <v>7541411</v>
          </cell>
          <cell r="X12">
            <v>7541411</v>
          </cell>
          <cell r="Y12">
            <v>399657</v>
          </cell>
          <cell r="Z12">
            <v>0</v>
          </cell>
          <cell r="AA12">
            <v>32278</v>
          </cell>
          <cell r="AB12">
            <v>0</v>
          </cell>
          <cell r="AC12">
            <v>0</v>
          </cell>
          <cell r="AD12">
            <v>250681</v>
          </cell>
          <cell r="AE12">
            <v>14205</v>
          </cell>
          <cell r="AF12">
            <v>0</v>
          </cell>
          <cell r="AG12">
            <v>0</v>
          </cell>
          <cell r="AH12">
            <v>0</v>
          </cell>
          <cell r="AI12">
            <v>416103</v>
          </cell>
          <cell r="AJ12">
            <v>1812189</v>
          </cell>
          <cell r="AK12">
            <v>0</v>
          </cell>
          <cell r="AL12">
            <v>10479652</v>
          </cell>
        </row>
        <row r="13">
          <cell r="C13" t="str">
            <v>25221995-1</v>
          </cell>
          <cell r="D13" t="str">
            <v>CAITLIN JOY</v>
          </cell>
          <cell r="E13" t="str">
            <v>WHEAT</v>
          </cell>
          <cell r="F13" t="str">
            <v>.</v>
          </cell>
          <cell r="G13" t="str">
            <v>01/01/2023</v>
          </cell>
          <cell r="I13" t="str">
            <v>Planvital</v>
          </cell>
          <cell r="J13" t="str">
            <v>Consalud</v>
          </cell>
          <cell r="K13">
            <v>9.74</v>
          </cell>
          <cell r="L13">
            <v>4510000</v>
          </cell>
          <cell r="M13" t="str">
            <v>Administración</v>
          </cell>
          <cell r="N13">
            <v>30</v>
          </cell>
          <cell r="O13">
            <v>1</v>
          </cell>
          <cell r="P13">
            <v>0</v>
          </cell>
          <cell r="Q13">
            <v>4510000</v>
          </cell>
          <cell r="R13">
            <v>213354</v>
          </cell>
          <cell r="S13">
            <v>0</v>
          </cell>
          <cell r="T13">
            <v>150000</v>
          </cell>
          <cell r="U13">
            <v>0</v>
          </cell>
          <cell r="V13">
            <v>4873354</v>
          </cell>
          <cell r="W13">
            <v>8245276</v>
          </cell>
          <cell r="X13">
            <v>8245276</v>
          </cell>
          <cell r="Y13">
            <v>399657</v>
          </cell>
          <cell r="Z13">
            <v>130605</v>
          </cell>
          <cell r="AA13">
            <v>29240</v>
          </cell>
          <cell r="AB13">
            <v>27090</v>
          </cell>
          <cell r="AC13">
            <v>0</v>
          </cell>
          <cell r="AD13">
            <v>250681</v>
          </cell>
          <cell r="AE13">
            <v>136721</v>
          </cell>
          <cell r="AF13">
            <v>30025</v>
          </cell>
          <cell r="AG13">
            <v>0</v>
          </cell>
          <cell r="AH13">
            <v>0</v>
          </cell>
          <cell r="AI13">
            <v>253606</v>
          </cell>
          <cell r="AJ13">
            <v>1075675</v>
          </cell>
          <cell r="AK13">
            <v>0</v>
          </cell>
          <cell r="AL13">
            <v>10785330</v>
          </cell>
        </row>
        <row r="14">
          <cell r="C14" t="str">
            <v>26047681-5</v>
          </cell>
          <cell r="D14" t="str">
            <v>ANTONIETA</v>
          </cell>
          <cell r="E14" t="str">
            <v>GONZALEZ</v>
          </cell>
          <cell r="F14" t="str">
            <v>OLIVEROS</v>
          </cell>
          <cell r="G14" t="str">
            <v>31/07/2017</v>
          </cell>
          <cell r="I14" t="str">
            <v>Planvital</v>
          </cell>
          <cell r="J14" t="str">
            <v>Cruz Blanca</v>
          </cell>
          <cell r="K14">
            <v>7.2</v>
          </cell>
          <cell r="L14">
            <v>5500000</v>
          </cell>
          <cell r="M14" t="str">
            <v>Consultoria</v>
          </cell>
          <cell r="N14">
            <v>30</v>
          </cell>
          <cell r="O14">
            <v>0</v>
          </cell>
          <cell r="P14">
            <v>0</v>
          </cell>
          <cell r="Q14">
            <v>5500000</v>
          </cell>
          <cell r="R14">
            <v>213354</v>
          </cell>
          <cell r="S14">
            <v>0</v>
          </cell>
          <cell r="T14">
            <v>150000</v>
          </cell>
          <cell r="U14">
            <v>0</v>
          </cell>
          <cell r="V14">
            <v>5863354</v>
          </cell>
          <cell r="W14">
            <v>7541411</v>
          </cell>
          <cell r="X14">
            <v>7541411</v>
          </cell>
          <cell r="Y14">
            <v>399657</v>
          </cell>
          <cell r="Z14">
            <v>0</v>
          </cell>
          <cell r="AA14">
            <v>32278</v>
          </cell>
          <cell r="AB14">
            <v>6361</v>
          </cell>
          <cell r="AC14">
            <v>0</v>
          </cell>
          <cell r="AD14">
            <v>250681</v>
          </cell>
          <cell r="AE14">
            <v>35652</v>
          </cell>
          <cell r="AF14">
            <v>0</v>
          </cell>
          <cell r="AG14">
            <v>0</v>
          </cell>
          <cell r="AH14">
            <v>0</v>
          </cell>
          <cell r="AI14">
            <v>416103</v>
          </cell>
          <cell r="AJ14">
            <v>1371925</v>
          </cell>
          <cell r="AK14">
            <v>0</v>
          </cell>
          <cell r="AL14">
            <v>10892108</v>
          </cell>
        </row>
        <row r="15">
          <cell r="C15" t="str">
            <v>28095040-8</v>
          </cell>
          <cell r="D15" t="str">
            <v>MARCELO</v>
          </cell>
          <cell r="E15" t="str">
            <v>PENNA</v>
          </cell>
          <cell r="F15" t="str">
            <v>SANTOS</v>
          </cell>
          <cell r="G15" t="str">
            <v>01/01/2023</v>
          </cell>
          <cell r="I15" t="str">
            <v>Modelo</v>
          </cell>
          <cell r="J15" t="str">
            <v>Esencial</v>
          </cell>
          <cell r="K15">
            <v>12</v>
          </cell>
          <cell r="L15">
            <v>10010847</v>
          </cell>
          <cell r="M15" t="str">
            <v>Ventas y marketing</v>
          </cell>
          <cell r="N15">
            <v>30</v>
          </cell>
          <cell r="O15">
            <v>4</v>
          </cell>
          <cell r="P15">
            <v>0</v>
          </cell>
          <cell r="Q15">
            <v>10010847</v>
          </cell>
          <cell r="R15">
            <v>213354</v>
          </cell>
          <cell r="S15">
            <v>0</v>
          </cell>
          <cell r="T15">
            <v>150000</v>
          </cell>
          <cell r="U15">
            <v>0</v>
          </cell>
          <cell r="V15">
            <v>10374201</v>
          </cell>
          <cell r="W15">
            <v>31628122</v>
          </cell>
          <cell r="X15">
            <v>31628122</v>
          </cell>
          <cell r="Y15">
            <v>378886</v>
          </cell>
          <cell r="Z15">
            <v>0</v>
          </cell>
          <cell r="AA15">
            <v>32278</v>
          </cell>
          <cell r="AB15">
            <v>0</v>
          </cell>
          <cell r="AC15">
            <v>0</v>
          </cell>
          <cell r="AD15">
            <v>250681</v>
          </cell>
          <cell r="AE15">
            <v>226807</v>
          </cell>
          <cell r="AF15">
            <v>0</v>
          </cell>
          <cell r="AG15">
            <v>0</v>
          </cell>
          <cell r="AH15">
            <v>0</v>
          </cell>
          <cell r="AI15">
            <v>1775996</v>
          </cell>
          <cell r="AJ15">
            <v>11201624</v>
          </cell>
          <cell r="AK15">
            <v>0</v>
          </cell>
          <cell r="AL15">
            <v>28136051</v>
          </cell>
        </row>
        <row r="16">
          <cell r="C16" t="str">
            <v>28794341-5</v>
          </cell>
          <cell r="D16" t="str">
            <v>Lucas Guilherme</v>
          </cell>
          <cell r="E16" t="str">
            <v>Cardoso</v>
          </cell>
          <cell r="F16" t="str">
            <v>Bittencourt</v>
          </cell>
          <cell r="G16" t="str">
            <v>01/11/2024</v>
          </cell>
          <cell r="I16" t="str">
            <v>Uno</v>
          </cell>
          <cell r="J16" t="str">
            <v>Colmena</v>
          </cell>
          <cell r="K16">
            <v>6.43</v>
          </cell>
          <cell r="L16">
            <v>3075000</v>
          </cell>
          <cell r="M16" t="str">
            <v>Consultoria</v>
          </cell>
          <cell r="N16">
            <v>30</v>
          </cell>
          <cell r="O16">
            <v>0</v>
          </cell>
          <cell r="P16">
            <v>0</v>
          </cell>
          <cell r="Q16">
            <v>3075000</v>
          </cell>
          <cell r="R16">
            <v>213354</v>
          </cell>
          <cell r="S16">
            <v>0</v>
          </cell>
          <cell r="T16">
            <v>150000</v>
          </cell>
          <cell r="U16">
            <v>0</v>
          </cell>
          <cell r="V16">
            <v>3438354</v>
          </cell>
          <cell r="W16">
            <v>5621779</v>
          </cell>
          <cell r="X16">
            <v>5621779</v>
          </cell>
          <cell r="Y16">
            <v>359652</v>
          </cell>
          <cell r="Z16">
            <v>28495</v>
          </cell>
          <cell r="AA16">
            <v>20630</v>
          </cell>
          <cell r="AB16">
            <v>33730</v>
          </cell>
          <cell r="AC16">
            <v>0</v>
          </cell>
          <cell r="AD16">
            <v>240685</v>
          </cell>
          <cell r="AE16">
            <v>15010</v>
          </cell>
          <cell r="AF16">
            <v>1266</v>
          </cell>
          <cell r="AG16">
            <v>0</v>
          </cell>
          <cell r="AH16">
            <v>0</v>
          </cell>
          <cell r="AI16">
            <v>103468</v>
          </cell>
          <cell r="AJ16">
            <v>452331</v>
          </cell>
          <cell r="AK16">
            <v>0</v>
          </cell>
          <cell r="AL16">
            <v>7804866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2"/>
  <sheetViews>
    <sheetView showGridLines="0" tabSelected="1" topLeftCell="AA1" workbookViewId="0">
      <selection activeCell="AN22" sqref="AN22:AR22"/>
    </sheetView>
  </sheetViews>
  <sheetFormatPr defaultRowHeight="14.4" x14ac:dyDescent="0.3"/>
  <cols>
    <col min="17" max="17" width="15.109375" bestFit="1" customWidth="1"/>
    <col min="18" max="18" width="14.109375" bestFit="1" customWidth="1"/>
    <col min="19" max="19" width="9" bestFit="1" customWidth="1"/>
    <col min="20" max="20" width="14.109375" bestFit="1" customWidth="1"/>
    <col min="21" max="21" width="12.44140625" bestFit="1" customWidth="1"/>
    <col min="22" max="22" width="15.109375" bestFit="1" customWidth="1"/>
    <col min="23" max="24" width="16.109375" bestFit="1" customWidth="1"/>
    <col min="25" max="25" width="14.109375" bestFit="1" customWidth="1"/>
    <col min="26" max="27" width="12.44140625" bestFit="1" customWidth="1"/>
    <col min="28" max="28" width="11.44140625" bestFit="1" customWidth="1"/>
    <col min="29" max="30" width="12.44140625" bestFit="1" customWidth="1"/>
    <col min="31" max="31" width="14.109375" bestFit="1" customWidth="1"/>
    <col min="32" max="32" width="12.44140625" bestFit="1" customWidth="1"/>
    <col min="33" max="33" width="11.44140625" bestFit="1" customWidth="1"/>
    <col min="34" max="34" width="12.44140625" bestFit="1" customWidth="1"/>
    <col min="35" max="35" width="19.44140625" bestFit="1" customWidth="1"/>
    <col min="36" max="36" width="14.109375" bestFit="1" customWidth="1"/>
    <col min="37" max="37" width="15.109375" bestFit="1" customWidth="1"/>
    <col min="38" max="38" width="16.109375" bestFit="1" customWidth="1"/>
    <col min="39" max="40" width="16.109375" customWidth="1"/>
    <col min="41" max="41" width="12.44140625" bestFit="1" customWidth="1"/>
    <col min="42" max="42" width="11.44140625" bestFit="1" customWidth="1"/>
    <col min="43" max="43" width="14.109375" bestFit="1" customWidth="1"/>
    <col min="44" max="47" width="12.44140625" bestFit="1" customWidth="1"/>
    <col min="48" max="48" width="11.44140625" bestFit="1" customWidth="1"/>
    <col min="49" max="49" width="10.44140625" bestFit="1" customWidth="1"/>
    <col min="50" max="50" width="12.44140625" bestFit="1" customWidth="1"/>
    <col min="51" max="52" width="11.44140625" bestFit="1" customWidth="1"/>
    <col min="53" max="53" width="16.109375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8" t="s">
        <v>25</v>
      </c>
      <c r="AA1" t="s">
        <v>26</v>
      </c>
      <c r="AB1" s="8" t="s">
        <v>27</v>
      </c>
      <c r="AC1" t="s">
        <v>28</v>
      </c>
      <c r="AD1" s="8" t="s">
        <v>29</v>
      </c>
      <c r="AE1" t="s">
        <v>30</v>
      </c>
      <c r="AF1" t="s">
        <v>31</v>
      </c>
      <c r="AG1" s="8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4" t="s">
        <v>150</v>
      </c>
      <c r="AN1" s="5" t="s">
        <v>149</v>
      </c>
      <c r="AO1" t="s">
        <v>38</v>
      </c>
      <c r="AP1" s="8" t="s">
        <v>39</v>
      </c>
      <c r="AQ1" t="s">
        <v>40</v>
      </c>
      <c r="AR1" s="8" t="s">
        <v>41</v>
      </c>
      <c r="AS1" t="s">
        <v>42</v>
      </c>
      <c r="AT1" s="8" t="s">
        <v>43</v>
      </c>
      <c r="AU1" t="s">
        <v>44</v>
      </c>
      <c r="AV1" s="8" t="s">
        <v>45</v>
      </c>
      <c r="AW1" s="8" t="s">
        <v>46</v>
      </c>
      <c r="AX1" t="s">
        <v>47</v>
      </c>
      <c r="AY1" s="8" t="s">
        <v>48</v>
      </c>
      <c r="AZ1" t="s">
        <v>49</v>
      </c>
      <c r="BA1" t="s">
        <v>50</v>
      </c>
    </row>
    <row r="2" spans="1:53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I2" t="s">
        <v>58</v>
      </c>
      <c r="J2" t="s">
        <v>59</v>
      </c>
      <c r="K2">
        <v>6.93</v>
      </c>
      <c r="L2">
        <v>6231500</v>
      </c>
      <c r="M2" t="s">
        <v>60</v>
      </c>
      <c r="N2">
        <v>30</v>
      </c>
      <c r="O2">
        <v>5</v>
      </c>
      <c r="P2">
        <v>0</v>
      </c>
      <c r="Q2" s="2">
        <v>6231500</v>
      </c>
      <c r="R2" s="2">
        <v>213354</v>
      </c>
      <c r="S2" s="2">
        <v>0</v>
      </c>
      <c r="T2" s="2">
        <v>150000</v>
      </c>
      <c r="U2" s="2">
        <v>0</v>
      </c>
      <c r="V2" s="2">
        <v>6594854</v>
      </c>
      <c r="W2" s="2">
        <v>11392558</v>
      </c>
      <c r="X2" s="2">
        <v>11392558</v>
      </c>
      <c r="Y2" s="2">
        <v>410042</v>
      </c>
      <c r="Z2" s="2">
        <v>0</v>
      </c>
      <c r="AA2" s="2">
        <v>32278</v>
      </c>
      <c r="AB2" s="2">
        <v>0</v>
      </c>
      <c r="AC2" s="2">
        <v>0</v>
      </c>
      <c r="AD2" s="2">
        <v>0</v>
      </c>
      <c r="AE2" s="2">
        <v>250681</v>
      </c>
      <c r="AF2" s="2">
        <v>25227</v>
      </c>
      <c r="AG2" s="2">
        <v>0</v>
      </c>
      <c r="AH2" s="2">
        <v>0</v>
      </c>
      <c r="AI2" s="2">
        <v>0</v>
      </c>
      <c r="AJ2" s="2">
        <v>581960</v>
      </c>
      <c r="AK2" s="2">
        <v>3149071</v>
      </c>
      <c r="AL2" s="2">
        <v>13538153</v>
      </c>
      <c r="AM2" s="2">
        <f>+VLOOKUP(C2,'[1]02.2026'!$C$2:$AL$16,36,FALSE)</f>
        <v>13534753</v>
      </c>
      <c r="AN2" s="6">
        <f>AL2-AM2</f>
        <v>3400</v>
      </c>
      <c r="AO2" s="2">
        <v>33305</v>
      </c>
      <c r="AP2" s="2">
        <v>0</v>
      </c>
      <c r="AQ2" s="2">
        <v>86075</v>
      </c>
      <c r="AR2" s="2">
        <v>0</v>
      </c>
      <c r="AS2" s="2">
        <v>43038</v>
      </c>
      <c r="AT2" s="2">
        <v>0</v>
      </c>
      <c r="AU2" s="2">
        <v>55150</v>
      </c>
      <c r="AV2" s="2">
        <v>0</v>
      </c>
      <c r="AW2" s="2">
        <v>0</v>
      </c>
      <c r="AX2" s="2">
        <v>32230</v>
      </c>
      <c r="AY2" s="2">
        <v>0</v>
      </c>
      <c r="AZ2" s="2">
        <v>3581</v>
      </c>
      <c r="BA2" s="2">
        <v>18240791</v>
      </c>
    </row>
    <row r="3" spans="1:53" s="1" customFormat="1" x14ac:dyDescent="0.3">
      <c r="A3" s="1" t="s">
        <v>51</v>
      </c>
      <c r="B3" s="1" t="s">
        <v>52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  <c r="I3" s="1" t="s">
        <v>66</v>
      </c>
      <c r="J3" s="1" t="s">
        <v>67</v>
      </c>
      <c r="K3" s="1">
        <v>12.87</v>
      </c>
      <c r="L3" s="1">
        <v>6395833</v>
      </c>
      <c r="M3" s="1" t="s">
        <v>68</v>
      </c>
      <c r="N3" s="1">
        <v>30</v>
      </c>
      <c r="O3" s="1">
        <v>15</v>
      </c>
      <c r="P3" s="1">
        <v>0</v>
      </c>
      <c r="Q3" s="3">
        <v>6395833</v>
      </c>
      <c r="R3" s="3">
        <v>213354</v>
      </c>
      <c r="S3" s="3">
        <v>0</v>
      </c>
      <c r="T3" s="3">
        <v>150000</v>
      </c>
      <c r="U3" s="3">
        <v>0</v>
      </c>
      <c r="V3" s="3">
        <v>6759187</v>
      </c>
      <c r="W3" s="3">
        <v>5846498</v>
      </c>
      <c r="X3" s="3">
        <v>5846498</v>
      </c>
      <c r="Y3" s="3">
        <v>409684</v>
      </c>
      <c r="Z3" s="3">
        <v>0</v>
      </c>
      <c r="AA3" s="3">
        <v>32278</v>
      </c>
      <c r="AB3" s="3">
        <v>0</v>
      </c>
      <c r="AC3" s="3">
        <v>0</v>
      </c>
      <c r="AD3" s="3">
        <v>0</v>
      </c>
      <c r="AE3" s="3">
        <v>250681</v>
      </c>
      <c r="AF3" s="3">
        <v>261424</v>
      </c>
      <c r="AG3" s="3">
        <v>0</v>
      </c>
      <c r="AH3" s="3">
        <v>0</v>
      </c>
      <c r="AI3" s="3">
        <v>0</v>
      </c>
      <c r="AJ3" s="3">
        <v>619839</v>
      </c>
      <c r="AK3" s="3">
        <v>1611779</v>
      </c>
      <c r="AL3" s="3">
        <v>9420000</v>
      </c>
      <c r="AM3" s="3">
        <f>+VLOOKUP(C3,'[1]02.2026'!$C$2:$AL$16,36,FALSE)</f>
        <v>9327874</v>
      </c>
      <c r="AN3" s="7">
        <f t="shared" ref="AN3:AN16" si="0">AL3-AM3</f>
        <v>92126</v>
      </c>
      <c r="AO3" s="3">
        <v>33305</v>
      </c>
      <c r="AP3" s="3">
        <v>0</v>
      </c>
      <c r="AQ3" s="3">
        <v>86075</v>
      </c>
      <c r="AR3" s="3">
        <v>0</v>
      </c>
      <c r="AS3" s="3">
        <v>43038</v>
      </c>
      <c r="AT3" s="3">
        <v>0</v>
      </c>
      <c r="AU3" s="3">
        <v>55150</v>
      </c>
      <c r="AV3" s="3">
        <v>0</v>
      </c>
      <c r="AW3" s="3">
        <v>0</v>
      </c>
      <c r="AX3" s="3">
        <v>32230</v>
      </c>
      <c r="AY3" s="3">
        <v>0</v>
      </c>
      <c r="AZ3" s="3">
        <v>3581</v>
      </c>
      <c r="BA3" s="3">
        <v>12859064</v>
      </c>
    </row>
    <row r="4" spans="1:53" x14ac:dyDescent="0.3">
      <c r="A4" t="s">
        <v>51</v>
      </c>
      <c r="B4" t="s">
        <v>52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J4" t="s">
        <v>67</v>
      </c>
      <c r="K4">
        <v>7.64</v>
      </c>
      <c r="L4">
        <v>5500000</v>
      </c>
      <c r="M4" t="s">
        <v>60</v>
      </c>
      <c r="N4">
        <v>30</v>
      </c>
      <c r="O4">
        <v>0</v>
      </c>
      <c r="P4">
        <v>0</v>
      </c>
      <c r="Q4" s="2">
        <v>5500000</v>
      </c>
      <c r="R4" s="2">
        <v>213354</v>
      </c>
      <c r="S4" s="2">
        <v>0</v>
      </c>
      <c r="T4" s="2">
        <v>150000</v>
      </c>
      <c r="U4" s="2">
        <v>0</v>
      </c>
      <c r="V4" s="2">
        <v>5863354</v>
      </c>
      <c r="W4" s="2">
        <v>0</v>
      </c>
      <c r="X4" s="2">
        <v>0</v>
      </c>
      <c r="Y4" s="2">
        <v>403596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250681</v>
      </c>
      <c r="AF4" s="2">
        <v>53319</v>
      </c>
      <c r="AG4" s="2">
        <v>0</v>
      </c>
      <c r="AH4" s="2">
        <v>0</v>
      </c>
      <c r="AI4" s="2">
        <v>0</v>
      </c>
      <c r="AJ4" s="2">
        <v>422621</v>
      </c>
      <c r="AK4" s="2">
        <v>0</v>
      </c>
      <c r="AL4" s="2">
        <v>4733137</v>
      </c>
      <c r="AM4" s="2">
        <f>+VLOOKUP(C4,'[1]02.2026'!$C$2:$AL$16,36,FALSE)</f>
        <v>4733137</v>
      </c>
      <c r="AN4" s="6">
        <f t="shared" si="0"/>
        <v>0</v>
      </c>
      <c r="AO4" s="2">
        <v>33305</v>
      </c>
      <c r="AP4" s="2">
        <v>0</v>
      </c>
      <c r="AQ4" s="2">
        <v>150631</v>
      </c>
      <c r="AR4" s="2">
        <v>0</v>
      </c>
      <c r="AS4" s="2">
        <v>10759</v>
      </c>
      <c r="AT4" s="2">
        <v>0</v>
      </c>
      <c r="AU4" s="2">
        <v>55150</v>
      </c>
      <c r="AV4" s="2">
        <v>0</v>
      </c>
      <c r="AW4" s="2">
        <v>0</v>
      </c>
      <c r="AX4" s="2">
        <v>32230</v>
      </c>
      <c r="AY4" s="2">
        <v>0</v>
      </c>
      <c r="AZ4" s="2">
        <v>3581</v>
      </c>
      <c r="BA4" s="2">
        <v>6149010</v>
      </c>
    </row>
    <row r="5" spans="1:53" s="1" customFormat="1" x14ac:dyDescent="0.3">
      <c r="A5" s="1" t="s">
        <v>51</v>
      </c>
      <c r="B5" s="1" t="s">
        <v>52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I5" s="1" t="s">
        <v>66</v>
      </c>
      <c r="J5" s="1" t="s">
        <v>81</v>
      </c>
      <c r="K5" s="1">
        <v>7.33</v>
      </c>
      <c r="L5" s="1">
        <v>7500000</v>
      </c>
      <c r="M5" s="1" t="s">
        <v>68</v>
      </c>
      <c r="N5" s="1">
        <v>30</v>
      </c>
      <c r="O5" s="1">
        <v>11</v>
      </c>
      <c r="P5" s="1">
        <v>0</v>
      </c>
      <c r="Q5" s="3">
        <v>7500000</v>
      </c>
      <c r="R5" s="3">
        <v>213354</v>
      </c>
      <c r="S5" s="3">
        <v>0</v>
      </c>
      <c r="T5" s="3">
        <v>150000</v>
      </c>
      <c r="U5" s="3">
        <v>0</v>
      </c>
      <c r="V5" s="3">
        <v>7863354</v>
      </c>
      <c r="W5" s="3">
        <v>10283742</v>
      </c>
      <c r="X5" s="3">
        <v>10283742</v>
      </c>
      <c r="Y5" s="3">
        <v>409684</v>
      </c>
      <c r="Z5" s="3">
        <v>0</v>
      </c>
      <c r="AA5" s="3">
        <v>32278</v>
      </c>
      <c r="AB5" s="3">
        <v>0</v>
      </c>
      <c r="AC5" s="3">
        <v>0</v>
      </c>
      <c r="AD5" s="3">
        <v>0</v>
      </c>
      <c r="AE5" s="3">
        <v>250681</v>
      </c>
      <c r="AF5" s="3">
        <v>41183</v>
      </c>
      <c r="AG5" s="3">
        <v>0</v>
      </c>
      <c r="AH5" s="3">
        <v>0</v>
      </c>
      <c r="AI5" s="3">
        <v>50000</v>
      </c>
      <c r="AJ5" s="3">
        <v>925620</v>
      </c>
      <c r="AK5" s="3">
        <v>3129646</v>
      </c>
      <c r="AL5" s="3">
        <v>13308004</v>
      </c>
      <c r="AM5" s="3">
        <f>+VLOOKUP(C5,'[1]02.2026'!$C$2:$AL$16,36,FALSE)</f>
        <v>13253511</v>
      </c>
      <c r="AN5" s="7">
        <f t="shared" si="0"/>
        <v>54493</v>
      </c>
      <c r="AO5" s="3">
        <v>33305</v>
      </c>
      <c r="AP5" s="3">
        <v>0</v>
      </c>
      <c r="AQ5" s="3">
        <v>86075</v>
      </c>
      <c r="AR5" s="3">
        <v>0</v>
      </c>
      <c r="AS5" s="3">
        <v>43038</v>
      </c>
      <c r="AT5" s="3">
        <v>0</v>
      </c>
      <c r="AU5" s="3">
        <v>55150</v>
      </c>
      <c r="AV5" s="3">
        <v>0</v>
      </c>
      <c r="AW5" s="3">
        <v>0</v>
      </c>
      <c r="AX5" s="3">
        <v>32230</v>
      </c>
      <c r="AY5" s="3">
        <v>0</v>
      </c>
      <c r="AZ5" s="3">
        <v>3581</v>
      </c>
      <c r="BA5" s="3">
        <v>18400475</v>
      </c>
    </row>
    <row r="6" spans="1:53" x14ac:dyDescent="0.3">
      <c r="A6" t="s">
        <v>51</v>
      </c>
      <c r="B6" t="s">
        <v>52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I6" t="s">
        <v>87</v>
      </c>
      <c r="J6" t="s">
        <v>88</v>
      </c>
      <c r="L6">
        <v>1500000</v>
      </c>
      <c r="M6" t="s">
        <v>60</v>
      </c>
      <c r="N6">
        <v>0</v>
      </c>
      <c r="O6">
        <v>0</v>
      </c>
      <c r="P6">
        <v>30</v>
      </c>
      <c r="Q6" s="2">
        <v>0</v>
      </c>
      <c r="R6" s="2">
        <v>0</v>
      </c>
      <c r="S6" s="2">
        <v>0</v>
      </c>
      <c r="T6" s="2">
        <v>150000</v>
      </c>
      <c r="U6" s="2">
        <v>0</v>
      </c>
      <c r="V6" s="2">
        <v>150000</v>
      </c>
      <c r="W6" s="2">
        <v>2056748</v>
      </c>
      <c r="X6" s="2">
        <v>2056748</v>
      </c>
      <c r="Y6" s="2">
        <v>15870</v>
      </c>
      <c r="Z6" s="2">
        <v>216061</v>
      </c>
      <c r="AA6" s="2">
        <v>900</v>
      </c>
      <c r="AB6" s="2">
        <v>12251</v>
      </c>
      <c r="AC6" s="2">
        <v>10500</v>
      </c>
      <c r="AD6" s="2">
        <v>142950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38603</v>
      </c>
      <c r="AL6" s="2">
        <v>1769613</v>
      </c>
      <c r="AM6" s="2">
        <f>+VLOOKUP(C6,'[1]02.2026'!$C$2:$AL$16,36,FALSE)</f>
        <v>1766478</v>
      </c>
      <c r="AN6" s="6">
        <f t="shared" si="0"/>
        <v>3135</v>
      </c>
      <c r="AO6" s="2">
        <v>1966</v>
      </c>
      <c r="AP6" s="2">
        <v>18992</v>
      </c>
      <c r="AQ6" s="2">
        <v>32848</v>
      </c>
      <c r="AR6" s="2">
        <v>32673</v>
      </c>
      <c r="AS6" s="2">
        <v>16424</v>
      </c>
      <c r="AT6" s="2">
        <v>16337</v>
      </c>
      <c r="AU6" s="2">
        <v>31616</v>
      </c>
      <c r="AV6" s="2">
        <v>31450</v>
      </c>
      <c r="AW6" s="2">
        <v>857</v>
      </c>
      <c r="AX6" s="2">
        <v>18477</v>
      </c>
      <c r="AY6" s="2">
        <v>7715</v>
      </c>
      <c r="AZ6" s="2">
        <v>150</v>
      </c>
      <c r="BA6" s="2">
        <v>2416253</v>
      </c>
    </row>
    <row r="7" spans="1:53" x14ac:dyDescent="0.3">
      <c r="A7" t="s">
        <v>51</v>
      </c>
      <c r="B7" t="s">
        <v>52</v>
      </c>
      <c r="C7" t="s">
        <v>89</v>
      </c>
      <c r="D7" t="s">
        <v>90</v>
      </c>
      <c r="E7" t="s">
        <v>91</v>
      </c>
      <c r="F7" t="s">
        <v>92</v>
      </c>
      <c r="G7" t="s">
        <v>93</v>
      </c>
      <c r="I7" t="s">
        <v>75</v>
      </c>
      <c r="J7" t="s">
        <v>81</v>
      </c>
      <c r="K7">
        <v>9.75</v>
      </c>
      <c r="L7">
        <v>6562600</v>
      </c>
      <c r="M7" t="s">
        <v>68</v>
      </c>
      <c r="N7">
        <v>30</v>
      </c>
      <c r="O7">
        <v>5</v>
      </c>
      <c r="P7">
        <v>0</v>
      </c>
      <c r="Q7" s="2">
        <v>6562600</v>
      </c>
      <c r="R7" s="2">
        <v>213354</v>
      </c>
      <c r="S7" s="2">
        <v>0</v>
      </c>
      <c r="T7" s="2">
        <v>150000</v>
      </c>
      <c r="U7" s="2">
        <v>550000</v>
      </c>
      <c r="V7" s="2">
        <v>7475954</v>
      </c>
      <c r="W7" s="2">
        <v>8998412</v>
      </c>
      <c r="X7" s="2">
        <v>8998412</v>
      </c>
      <c r="Y7" s="2">
        <v>403596</v>
      </c>
      <c r="Z7" s="2">
        <v>0</v>
      </c>
      <c r="AA7" s="2">
        <v>32278</v>
      </c>
      <c r="AB7" s="2">
        <v>0</v>
      </c>
      <c r="AC7" s="2">
        <v>0</v>
      </c>
      <c r="AD7" s="2">
        <v>0</v>
      </c>
      <c r="AE7" s="2">
        <v>250681</v>
      </c>
      <c r="AF7" s="2">
        <v>137118</v>
      </c>
      <c r="AG7" s="2">
        <v>0</v>
      </c>
      <c r="AH7" s="2">
        <v>159163</v>
      </c>
      <c r="AI7" s="2">
        <v>0</v>
      </c>
      <c r="AJ7" s="2">
        <v>824901</v>
      </c>
      <c r="AK7" s="2">
        <v>2714096</v>
      </c>
      <c r="AL7" s="2">
        <v>11952533</v>
      </c>
      <c r="AM7" s="2">
        <f>+VLOOKUP(C7,'[1]02.2026'!$C$2:$AL$16,36,FALSE)</f>
        <v>11948042</v>
      </c>
      <c r="AN7" s="6">
        <f t="shared" si="0"/>
        <v>4491</v>
      </c>
      <c r="AO7" s="2">
        <v>33305</v>
      </c>
      <c r="AP7" s="2">
        <v>0</v>
      </c>
      <c r="AQ7" s="2">
        <v>86075</v>
      </c>
      <c r="AR7" s="2">
        <v>0</v>
      </c>
      <c r="AS7" s="2">
        <v>43038</v>
      </c>
      <c r="AT7" s="2">
        <v>0</v>
      </c>
      <c r="AU7" s="2">
        <v>55150</v>
      </c>
      <c r="AV7" s="2">
        <v>0</v>
      </c>
      <c r="AW7" s="2">
        <v>0</v>
      </c>
      <c r="AX7" s="2">
        <v>32230</v>
      </c>
      <c r="AY7" s="2">
        <v>0</v>
      </c>
      <c r="AZ7" s="2">
        <v>3581</v>
      </c>
      <c r="BA7" s="2">
        <v>16727745</v>
      </c>
    </row>
    <row r="8" spans="1:53" x14ac:dyDescent="0.3">
      <c r="A8" t="s">
        <v>51</v>
      </c>
      <c r="B8" t="s">
        <v>52</v>
      </c>
      <c r="C8" t="s">
        <v>94</v>
      </c>
      <c r="D8" t="s">
        <v>95</v>
      </c>
      <c r="E8" t="s">
        <v>96</v>
      </c>
      <c r="F8" t="s">
        <v>97</v>
      </c>
      <c r="G8" t="s">
        <v>98</v>
      </c>
      <c r="I8" t="s">
        <v>87</v>
      </c>
      <c r="J8" t="s">
        <v>81</v>
      </c>
      <c r="K8">
        <v>6.89</v>
      </c>
      <c r="L8">
        <v>6825000</v>
      </c>
      <c r="M8" t="s">
        <v>68</v>
      </c>
      <c r="N8">
        <v>30</v>
      </c>
      <c r="O8">
        <v>0</v>
      </c>
      <c r="P8">
        <v>0</v>
      </c>
      <c r="Q8" s="2">
        <v>6825000</v>
      </c>
      <c r="R8" s="2">
        <v>213354</v>
      </c>
      <c r="S8" s="2">
        <v>0</v>
      </c>
      <c r="T8" s="2">
        <v>150000</v>
      </c>
      <c r="U8" s="2">
        <v>0</v>
      </c>
      <c r="V8" s="2">
        <v>7188354</v>
      </c>
      <c r="W8" s="2">
        <v>9358205</v>
      </c>
      <c r="X8" s="2">
        <v>9358205</v>
      </c>
      <c r="Y8" s="2">
        <v>378886</v>
      </c>
      <c r="Z8" s="2">
        <v>0</v>
      </c>
      <c r="AA8" s="2">
        <v>32278</v>
      </c>
      <c r="AB8" s="2">
        <v>0</v>
      </c>
      <c r="AC8" s="2">
        <v>0</v>
      </c>
      <c r="AD8" s="2">
        <v>0</v>
      </c>
      <c r="AE8" s="2">
        <v>250681</v>
      </c>
      <c r="AF8" s="2">
        <v>23596</v>
      </c>
      <c r="AG8" s="2">
        <v>0</v>
      </c>
      <c r="AH8" s="2">
        <v>0</v>
      </c>
      <c r="AI8" s="2">
        <v>0</v>
      </c>
      <c r="AJ8" s="2">
        <v>744983</v>
      </c>
      <c r="AK8" s="2">
        <v>2840397</v>
      </c>
      <c r="AL8" s="2">
        <v>12275738</v>
      </c>
      <c r="AM8" s="2">
        <f>+VLOOKUP(C8,'[1]02.2026'!$C$2:$AL$16,36,FALSE)</f>
        <v>12271245</v>
      </c>
      <c r="AN8" s="6">
        <f t="shared" si="0"/>
        <v>4493</v>
      </c>
      <c r="AO8" s="2">
        <v>33305</v>
      </c>
      <c r="AP8" s="2">
        <v>0</v>
      </c>
      <c r="AQ8" s="2">
        <v>86075</v>
      </c>
      <c r="AR8" s="2">
        <v>0</v>
      </c>
      <c r="AS8" s="2">
        <v>43038</v>
      </c>
      <c r="AT8" s="2">
        <v>0</v>
      </c>
      <c r="AU8" s="2">
        <v>55150</v>
      </c>
      <c r="AV8" s="2">
        <v>0</v>
      </c>
      <c r="AW8" s="2">
        <v>0</v>
      </c>
      <c r="AX8" s="2">
        <v>32230</v>
      </c>
      <c r="AY8" s="2">
        <v>0</v>
      </c>
      <c r="AZ8" s="2">
        <v>3581</v>
      </c>
      <c r="BA8" s="2">
        <v>16799938</v>
      </c>
    </row>
    <row r="9" spans="1:53" x14ac:dyDescent="0.3">
      <c r="A9" t="s">
        <v>51</v>
      </c>
      <c r="B9" t="s">
        <v>52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s">
        <v>104</v>
      </c>
      <c r="I9" t="s">
        <v>87</v>
      </c>
      <c r="J9" t="s">
        <v>105</v>
      </c>
      <c r="K9">
        <v>6.51</v>
      </c>
      <c r="L9">
        <v>5500000</v>
      </c>
      <c r="M9" t="s">
        <v>68</v>
      </c>
      <c r="N9">
        <v>30</v>
      </c>
      <c r="O9">
        <v>0</v>
      </c>
      <c r="P9">
        <v>0</v>
      </c>
      <c r="Q9" s="2">
        <v>5500000</v>
      </c>
      <c r="R9" s="2">
        <v>213354</v>
      </c>
      <c r="S9" s="2">
        <v>0</v>
      </c>
      <c r="T9" s="2">
        <v>150000</v>
      </c>
      <c r="U9" s="2">
        <v>0</v>
      </c>
      <c r="V9" s="2">
        <v>5863354</v>
      </c>
      <c r="W9" s="2">
        <v>0</v>
      </c>
      <c r="X9" s="2">
        <v>0</v>
      </c>
      <c r="Y9" s="2">
        <v>378886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250681</v>
      </c>
      <c r="AF9" s="2">
        <v>8515</v>
      </c>
      <c r="AG9" s="2">
        <v>0</v>
      </c>
      <c r="AH9" s="2">
        <v>0</v>
      </c>
      <c r="AI9" s="2">
        <v>0</v>
      </c>
      <c r="AJ9" s="2">
        <v>428304</v>
      </c>
      <c r="AK9" s="2">
        <v>0</v>
      </c>
      <c r="AL9" s="2">
        <v>4796968</v>
      </c>
      <c r="AM9" s="2">
        <f>+VLOOKUP(C9,'[1]02.2026'!$C$2:$AL$16,36,FALSE)</f>
        <v>4796968</v>
      </c>
      <c r="AN9" s="6">
        <f t="shared" si="0"/>
        <v>0</v>
      </c>
      <c r="AO9" s="2">
        <v>33305</v>
      </c>
      <c r="AP9" s="2">
        <v>0</v>
      </c>
      <c r="AQ9" s="2">
        <v>150631</v>
      </c>
      <c r="AR9" s="2">
        <v>0</v>
      </c>
      <c r="AS9" s="2">
        <v>10759</v>
      </c>
      <c r="AT9" s="2">
        <v>0</v>
      </c>
      <c r="AU9" s="2">
        <v>55150</v>
      </c>
      <c r="AV9" s="2">
        <v>0</v>
      </c>
      <c r="AW9" s="2">
        <v>0</v>
      </c>
      <c r="AX9" s="2">
        <v>32230</v>
      </c>
      <c r="AY9" s="2">
        <v>0</v>
      </c>
      <c r="AZ9" s="2">
        <v>3581</v>
      </c>
      <c r="BA9" s="2">
        <v>6149010</v>
      </c>
    </row>
    <row r="10" spans="1:53" x14ac:dyDescent="0.3">
      <c r="A10" t="s">
        <v>51</v>
      </c>
      <c r="B10" t="s">
        <v>52</v>
      </c>
      <c r="C10" t="s">
        <v>106</v>
      </c>
      <c r="D10" t="s">
        <v>107</v>
      </c>
      <c r="E10" t="s">
        <v>108</v>
      </c>
      <c r="F10" t="s">
        <v>109</v>
      </c>
      <c r="G10" t="s">
        <v>110</v>
      </c>
      <c r="I10" t="s">
        <v>111</v>
      </c>
      <c r="J10" t="s">
        <v>88</v>
      </c>
      <c r="L10">
        <v>1750000</v>
      </c>
      <c r="M10" t="s">
        <v>112</v>
      </c>
      <c r="N10">
        <v>30</v>
      </c>
      <c r="O10">
        <v>10</v>
      </c>
      <c r="P10">
        <v>0</v>
      </c>
      <c r="Q10" s="2">
        <v>1750000</v>
      </c>
      <c r="R10" s="2">
        <v>213354</v>
      </c>
      <c r="S10" s="2">
        <v>0</v>
      </c>
      <c r="T10" s="2">
        <v>150000</v>
      </c>
      <c r="U10" s="2">
        <v>0</v>
      </c>
      <c r="V10" s="2">
        <v>2113354</v>
      </c>
      <c r="W10" s="2">
        <v>2399540</v>
      </c>
      <c r="X10" s="2">
        <v>2399540</v>
      </c>
      <c r="Y10" s="2">
        <v>221057</v>
      </c>
      <c r="Z10" s="2">
        <v>249470</v>
      </c>
      <c r="AA10" s="2">
        <v>12680</v>
      </c>
      <c r="AB10" s="2">
        <v>14311</v>
      </c>
      <c r="AC10" s="2">
        <v>147935</v>
      </c>
      <c r="AD10" s="2">
        <v>166949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31677</v>
      </c>
      <c r="AK10" s="2">
        <v>83816</v>
      </c>
      <c r="AL10" s="2">
        <v>3584999</v>
      </c>
      <c r="AM10" s="2">
        <f>+VLOOKUP(C10,'[1]02.2026'!$C$2:$AL$16,36,FALSE)</f>
        <v>3581461</v>
      </c>
      <c r="AN10" s="6">
        <f t="shared" si="0"/>
        <v>3538</v>
      </c>
      <c r="AO10" s="2">
        <v>19654</v>
      </c>
      <c r="AP10" s="2">
        <v>22181</v>
      </c>
      <c r="AQ10" s="2">
        <v>33814</v>
      </c>
      <c r="AR10" s="2">
        <v>38162</v>
      </c>
      <c r="AS10" s="2">
        <v>16907</v>
      </c>
      <c r="AT10" s="2">
        <v>19081</v>
      </c>
      <c r="AU10" s="2">
        <v>32546</v>
      </c>
      <c r="AV10" s="2">
        <v>36729</v>
      </c>
      <c r="AW10" s="2">
        <v>1333</v>
      </c>
      <c r="AX10" s="2">
        <v>19020</v>
      </c>
      <c r="AY10" s="2">
        <v>11995</v>
      </c>
      <c r="AZ10" s="2">
        <v>2113</v>
      </c>
      <c r="BA10" s="2">
        <v>4766429</v>
      </c>
    </row>
    <row r="11" spans="1:53" x14ac:dyDescent="0.3">
      <c r="A11" t="s">
        <v>51</v>
      </c>
      <c r="B11" t="s">
        <v>52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  <c r="I11" t="s">
        <v>111</v>
      </c>
      <c r="J11" t="s">
        <v>88</v>
      </c>
      <c r="L11">
        <v>1734631</v>
      </c>
      <c r="M11" t="s">
        <v>119</v>
      </c>
      <c r="N11">
        <v>12</v>
      </c>
      <c r="O11">
        <v>0</v>
      </c>
      <c r="P11">
        <v>0</v>
      </c>
      <c r="Q11" s="2">
        <v>693852</v>
      </c>
      <c r="R11" s="2">
        <v>173463</v>
      </c>
      <c r="S11" s="2">
        <v>0</v>
      </c>
      <c r="T11" s="2">
        <v>150000</v>
      </c>
      <c r="U11" s="2">
        <v>0</v>
      </c>
      <c r="V11" s="2">
        <v>1017315</v>
      </c>
      <c r="W11" s="2">
        <v>0</v>
      </c>
      <c r="X11" s="2">
        <v>0</v>
      </c>
      <c r="Y11" s="2">
        <v>106411</v>
      </c>
      <c r="Z11" s="2">
        <v>0</v>
      </c>
      <c r="AA11" s="2">
        <v>0</v>
      </c>
      <c r="AB11" s="2">
        <v>0</v>
      </c>
      <c r="AC11" s="2">
        <v>71212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839692</v>
      </c>
      <c r="AM11" s="2">
        <f>+VLOOKUP(C11,'[1]02.2026'!$C$2:$AL$16,36,FALSE)</f>
        <v>839692</v>
      </c>
      <c r="AN11" s="6">
        <f t="shared" si="0"/>
        <v>0</v>
      </c>
      <c r="AO11" s="2">
        <v>9461</v>
      </c>
      <c r="AP11" s="2">
        <v>0</v>
      </c>
      <c r="AQ11" s="2">
        <v>28485</v>
      </c>
      <c r="AR11" s="2">
        <v>0</v>
      </c>
      <c r="AS11" s="2">
        <v>2035</v>
      </c>
      <c r="AT11" s="2">
        <v>0</v>
      </c>
      <c r="AU11" s="2">
        <v>15667</v>
      </c>
      <c r="AV11" s="2">
        <v>0</v>
      </c>
      <c r="AW11" s="2">
        <v>0</v>
      </c>
      <c r="AX11" s="2">
        <v>9156</v>
      </c>
      <c r="AY11" s="2">
        <v>0</v>
      </c>
      <c r="AZ11" s="2">
        <v>1017</v>
      </c>
      <c r="BA11" s="2">
        <v>1083136</v>
      </c>
    </row>
    <row r="12" spans="1:53" s="1" customFormat="1" x14ac:dyDescent="0.3">
      <c r="A12" s="1" t="s">
        <v>51</v>
      </c>
      <c r="B12" s="1" t="s">
        <v>52</v>
      </c>
      <c r="C12" s="1" t="s">
        <v>120</v>
      </c>
      <c r="D12" s="1" t="s">
        <v>121</v>
      </c>
      <c r="E12" s="1" t="s">
        <v>122</v>
      </c>
      <c r="F12" s="1" t="s">
        <v>123</v>
      </c>
      <c r="G12" s="1" t="s">
        <v>124</v>
      </c>
      <c r="I12" s="1" t="s">
        <v>125</v>
      </c>
      <c r="J12" s="1" t="s">
        <v>126</v>
      </c>
      <c r="K12" s="1">
        <v>6.66</v>
      </c>
      <c r="L12" s="1">
        <v>5500000</v>
      </c>
      <c r="M12" s="1" t="s">
        <v>68</v>
      </c>
      <c r="N12" s="1">
        <v>30</v>
      </c>
      <c r="O12" s="1">
        <v>10</v>
      </c>
      <c r="P12" s="1">
        <v>0</v>
      </c>
      <c r="Q12" s="3">
        <v>5500000</v>
      </c>
      <c r="R12" s="3">
        <v>213354</v>
      </c>
      <c r="S12" s="3">
        <v>0</v>
      </c>
      <c r="T12" s="3">
        <v>150000</v>
      </c>
      <c r="U12" s="3">
        <v>0</v>
      </c>
      <c r="V12" s="3">
        <v>5863354</v>
      </c>
      <c r="W12" s="3">
        <v>7541411</v>
      </c>
      <c r="X12" s="3">
        <v>7541411</v>
      </c>
      <c r="Y12" s="3">
        <v>399657</v>
      </c>
      <c r="Z12" s="3">
        <v>0</v>
      </c>
      <c r="AA12" s="3">
        <v>32278</v>
      </c>
      <c r="AB12" s="3">
        <v>0</v>
      </c>
      <c r="AC12" s="3">
        <v>0</v>
      </c>
      <c r="AD12" s="3">
        <v>0</v>
      </c>
      <c r="AE12" s="3">
        <v>250681</v>
      </c>
      <c r="AF12" s="3">
        <v>14205</v>
      </c>
      <c r="AG12" s="3">
        <v>0</v>
      </c>
      <c r="AH12" s="3">
        <v>0</v>
      </c>
      <c r="AI12" s="3">
        <v>0</v>
      </c>
      <c r="AJ12" s="3">
        <v>416103</v>
      </c>
      <c r="AK12" s="3">
        <v>1738470</v>
      </c>
      <c r="AL12" s="3">
        <v>10553371</v>
      </c>
      <c r="AM12" s="3">
        <f>+VLOOKUP(C12,'[1]02.2026'!$C$2:$AL$16,36,FALSE)</f>
        <v>10479652</v>
      </c>
      <c r="AN12" s="7">
        <f t="shared" si="0"/>
        <v>73719</v>
      </c>
      <c r="AO12" s="3">
        <v>33305</v>
      </c>
      <c r="AP12" s="3">
        <v>0</v>
      </c>
      <c r="AQ12" s="3">
        <v>86075</v>
      </c>
      <c r="AR12" s="3">
        <v>0</v>
      </c>
      <c r="AS12" s="3">
        <v>43038</v>
      </c>
      <c r="AT12" s="3">
        <v>0</v>
      </c>
      <c r="AU12" s="3">
        <v>55150</v>
      </c>
      <c r="AV12" s="3">
        <v>0</v>
      </c>
      <c r="AW12" s="3">
        <v>0</v>
      </c>
      <c r="AX12" s="3">
        <v>32230</v>
      </c>
      <c r="AY12" s="3">
        <v>0</v>
      </c>
      <c r="AZ12" s="3">
        <v>3581</v>
      </c>
      <c r="BA12" s="3">
        <v>13658144</v>
      </c>
    </row>
    <row r="13" spans="1:53" x14ac:dyDescent="0.3">
      <c r="A13" t="s">
        <v>51</v>
      </c>
      <c r="B13" t="s">
        <v>52</v>
      </c>
      <c r="C13" t="s">
        <v>127</v>
      </c>
      <c r="D13" t="s">
        <v>128</v>
      </c>
      <c r="E13" t="s">
        <v>129</v>
      </c>
      <c r="F13" t="s">
        <v>123</v>
      </c>
      <c r="G13" t="s">
        <v>130</v>
      </c>
      <c r="I13" t="s">
        <v>125</v>
      </c>
      <c r="J13" t="s">
        <v>131</v>
      </c>
      <c r="K13">
        <v>9.74</v>
      </c>
      <c r="L13">
        <v>4510000</v>
      </c>
      <c r="M13" t="s">
        <v>60</v>
      </c>
      <c r="N13">
        <v>30</v>
      </c>
      <c r="O13">
        <v>1</v>
      </c>
      <c r="P13">
        <v>0</v>
      </c>
      <c r="Q13" s="2">
        <v>4510000</v>
      </c>
      <c r="R13" s="2">
        <v>213354</v>
      </c>
      <c r="S13" s="2">
        <v>0</v>
      </c>
      <c r="T13" s="2">
        <v>150000</v>
      </c>
      <c r="U13" s="2">
        <v>0</v>
      </c>
      <c r="V13" s="2">
        <v>4873354</v>
      </c>
      <c r="W13" s="2">
        <v>8245276</v>
      </c>
      <c r="X13" s="2">
        <v>8245276</v>
      </c>
      <c r="Y13" s="2">
        <v>399657</v>
      </c>
      <c r="Z13" s="2">
        <v>130599</v>
      </c>
      <c r="AA13" s="2">
        <v>29240</v>
      </c>
      <c r="AB13" s="2">
        <v>27003</v>
      </c>
      <c r="AC13" s="2">
        <v>0</v>
      </c>
      <c r="AD13" s="2">
        <v>0</v>
      </c>
      <c r="AE13" s="2">
        <v>250681</v>
      </c>
      <c r="AF13" s="2">
        <v>136721</v>
      </c>
      <c r="AG13" s="2">
        <v>30025</v>
      </c>
      <c r="AH13" s="2">
        <v>0</v>
      </c>
      <c r="AI13" s="2">
        <v>0</v>
      </c>
      <c r="AJ13" s="2">
        <v>253606</v>
      </c>
      <c r="AK13" s="2">
        <v>1074633</v>
      </c>
      <c r="AL13" s="2">
        <v>10786465</v>
      </c>
      <c r="AM13" s="2">
        <f>+VLOOKUP(C13,'[1]02.2026'!$C$2:$AL$16,36,FALSE)</f>
        <v>10785330</v>
      </c>
      <c r="AN13" s="6">
        <f t="shared" si="0"/>
        <v>1135</v>
      </c>
      <c r="AO13" s="2">
        <v>33305</v>
      </c>
      <c r="AP13" s="2">
        <v>10884</v>
      </c>
      <c r="AQ13" s="2">
        <v>77974</v>
      </c>
      <c r="AR13" s="2">
        <v>72004</v>
      </c>
      <c r="AS13" s="2">
        <v>38987</v>
      </c>
      <c r="AT13" s="2">
        <v>36002</v>
      </c>
      <c r="AU13" s="2">
        <v>55150</v>
      </c>
      <c r="AV13" s="2">
        <v>18022</v>
      </c>
      <c r="AW13" s="2">
        <v>0</v>
      </c>
      <c r="AX13" s="2">
        <v>32230</v>
      </c>
      <c r="AY13" s="2">
        <v>0</v>
      </c>
      <c r="AZ13" s="2">
        <v>3581</v>
      </c>
      <c r="BA13" s="2">
        <v>13496769</v>
      </c>
    </row>
    <row r="14" spans="1:53" x14ac:dyDescent="0.3">
      <c r="A14" t="s">
        <v>51</v>
      </c>
      <c r="B14" t="s">
        <v>52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I14" t="s">
        <v>125</v>
      </c>
      <c r="J14" t="s">
        <v>59</v>
      </c>
      <c r="K14">
        <v>7.2</v>
      </c>
      <c r="L14">
        <v>5500000</v>
      </c>
      <c r="M14" t="s">
        <v>68</v>
      </c>
      <c r="N14">
        <v>30</v>
      </c>
      <c r="O14">
        <v>0</v>
      </c>
      <c r="P14">
        <v>0</v>
      </c>
      <c r="Q14" s="2">
        <v>5500000</v>
      </c>
      <c r="R14" s="2">
        <v>213354</v>
      </c>
      <c r="S14" s="2">
        <v>0</v>
      </c>
      <c r="T14" s="2">
        <v>150000</v>
      </c>
      <c r="U14" s="2">
        <v>0</v>
      </c>
      <c r="V14" s="2">
        <v>5863354</v>
      </c>
      <c r="W14" s="2">
        <v>7541411</v>
      </c>
      <c r="X14" s="2">
        <v>7541411</v>
      </c>
      <c r="Y14" s="2">
        <v>399657</v>
      </c>
      <c r="Z14" s="2">
        <v>0</v>
      </c>
      <c r="AA14" s="2">
        <v>32278</v>
      </c>
      <c r="AB14" s="2">
        <v>6274</v>
      </c>
      <c r="AC14" s="2">
        <v>0</v>
      </c>
      <c r="AD14" s="2">
        <v>0</v>
      </c>
      <c r="AE14" s="2">
        <v>250681</v>
      </c>
      <c r="AF14" s="2">
        <v>35652</v>
      </c>
      <c r="AG14" s="2">
        <v>0</v>
      </c>
      <c r="AH14" s="2">
        <v>0</v>
      </c>
      <c r="AI14" s="2">
        <v>0</v>
      </c>
      <c r="AJ14" s="2">
        <v>416103</v>
      </c>
      <c r="AK14" s="2">
        <v>1369942</v>
      </c>
      <c r="AL14" s="2">
        <v>10894178</v>
      </c>
      <c r="AM14" s="2">
        <f>+VLOOKUP(C14,'[1]02.2026'!$C$2:$AL$16,36,FALSE)</f>
        <v>10892108</v>
      </c>
      <c r="AN14" s="6">
        <f t="shared" si="0"/>
        <v>2070</v>
      </c>
      <c r="AO14" s="2">
        <v>33305</v>
      </c>
      <c r="AP14" s="2">
        <v>0</v>
      </c>
      <c r="AQ14" s="2">
        <v>86075</v>
      </c>
      <c r="AR14" s="2">
        <v>16727</v>
      </c>
      <c r="AS14" s="2">
        <v>43038</v>
      </c>
      <c r="AT14" s="2">
        <v>8364</v>
      </c>
      <c r="AU14" s="2">
        <v>55150</v>
      </c>
      <c r="AV14" s="2">
        <v>0</v>
      </c>
      <c r="AW14" s="2">
        <v>0</v>
      </c>
      <c r="AX14" s="2">
        <v>32230</v>
      </c>
      <c r="AY14" s="2">
        <v>0</v>
      </c>
      <c r="AZ14" s="2">
        <v>3581</v>
      </c>
      <c r="BA14" s="2">
        <v>13683235</v>
      </c>
    </row>
    <row r="15" spans="1:53" x14ac:dyDescent="0.3">
      <c r="A15" t="s">
        <v>51</v>
      </c>
      <c r="B15" t="s">
        <v>52</v>
      </c>
      <c r="C15" t="s">
        <v>137</v>
      </c>
      <c r="D15" t="s">
        <v>138</v>
      </c>
      <c r="E15" t="s">
        <v>139</v>
      </c>
      <c r="F15" t="s">
        <v>140</v>
      </c>
      <c r="G15" t="s">
        <v>130</v>
      </c>
      <c r="I15" t="s">
        <v>87</v>
      </c>
      <c r="J15" t="s">
        <v>141</v>
      </c>
      <c r="K15">
        <v>12</v>
      </c>
      <c r="L15">
        <v>10010847</v>
      </c>
      <c r="M15" t="s">
        <v>142</v>
      </c>
      <c r="N15">
        <v>30</v>
      </c>
      <c r="O15">
        <v>4</v>
      </c>
      <c r="P15">
        <v>0</v>
      </c>
      <c r="Q15" s="2">
        <v>10010847</v>
      </c>
      <c r="R15" s="2">
        <v>213354</v>
      </c>
      <c r="S15" s="2">
        <v>0</v>
      </c>
      <c r="T15" s="2">
        <v>150000</v>
      </c>
      <c r="U15" s="2">
        <v>0</v>
      </c>
      <c r="V15" s="2">
        <v>10374201</v>
      </c>
      <c r="W15" s="2">
        <v>31628122</v>
      </c>
      <c r="X15" s="2">
        <v>31628122</v>
      </c>
      <c r="Y15" s="2">
        <v>378886</v>
      </c>
      <c r="Z15" s="2">
        <v>0</v>
      </c>
      <c r="AA15" s="2">
        <v>32278</v>
      </c>
      <c r="AB15" s="2">
        <v>0</v>
      </c>
      <c r="AC15" s="2">
        <v>0</v>
      </c>
      <c r="AD15" s="2">
        <v>0</v>
      </c>
      <c r="AE15" s="2">
        <v>250681</v>
      </c>
      <c r="AF15" s="2">
        <v>226807</v>
      </c>
      <c r="AG15" s="2">
        <v>0</v>
      </c>
      <c r="AH15" s="2">
        <v>0</v>
      </c>
      <c r="AI15" s="2">
        <v>0</v>
      </c>
      <c r="AJ15" s="2">
        <v>1775996</v>
      </c>
      <c r="AK15" s="2">
        <v>11196450</v>
      </c>
      <c r="AL15" s="2">
        <v>28141225</v>
      </c>
      <c r="AM15" s="2">
        <f>+VLOOKUP(C15,'[1]02.2026'!$C$2:$AL$16,36,FALSE)</f>
        <v>28136051</v>
      </c>
      <c r="AN15" s="6">
        <f t="shared" si="0"/>
        <v>5174</v>
      </c>
      <c r="AO15" s="2">
        <v>33305</v>
      </c>
      <c r="AP15" s="2">
        <v>0</v>
      </c>
      <c r="AQ15" s="2">
        <v>86075</v>
      </c>
      <c r="AR15" s="2">
        <v>0</v>
      </c>
      <c r="AS15" s="2">
        <v>43038</v>
      </c>
      <c r="AT15" s="2">
        <v>0</v>
      </c>
      <c r="AU15" s="2">
        <v>55150</v>
      </c>
      <c r="AV15" s="2">
        <v>0</v>
      </c>
      <c r="AW15" s="2">
        <v>0</v>
      </c>
      <c r="AX15" s="2">
        <v>32230</v>
      </c>
      <c r="AY15" s="2">
        <v>0</v>
      </c>
      <c r="AZ15" s="2">
        <v>3581</v>
      </c>
      <c r="BA15" s="2">
        <v>42255702</v>
      </c>
    </row>
    <row r="16" spans="1:53" x14ac:dyDescent="0.3">
      <c r="A16" t="s">
        <v>51</v>
      </c>
      <c r="B16" t="s">
        <v>52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I16" t="s">
        <v>111</v>
      </c>
      <c r="J16" t="s">
        <v>67</v>
      </c>
      <c r="K16">
        <v>6.43</v>
      </c>
      <c r="L16">
        <v>3075000</v>
      </c>
      <c r="M16" t="s">
        <v>68</v>
      </c>
      <c r="N16">
        <v>30</v>
      </c>
      <c r="O16">
        <v>0</v>
      </c>
      <c r="P16">
        <v>0</v>
      </c>
      <c r="Q16" s="2">
        <v>3075000</v>
      </c>
      <c r="R16" s="2">
        <v>213354</v>
      </c>
      <c r="S16" s="2">
        <v>0</v>
      </c>
      <c r="T16" s="2">
        <v>150000</v>
      </c>
      <c r="U16" s="2">
        <v>0</v>
      </c>
      <c r="V16" s="2">
        <v>3438354</v>
      </c>
      <c r="W16" s="2">
        <v>5621779</v>
      </c>
      <c r="X16" s="2">
        <v>5621779</v>
      </c>
      <c r="Y16" s="2">
        <v>359652</v>
      </c>
      <c r="Z16" s="2">
        <v>26916</v>
      </c>
      <c r="AA16" s="2">
        <v>20630</v>
      </c>
      <c r="AB16" s="2">
        <v>33643</v>
      </c>
      <c r="AC16" s="2">
        <v>0</v>
      </c>
      <c r="AD16" s="2">
        <v>0</v>
      </c>
      <c r="AE16" s="2">
        <v>240685</v>
      </c>
      <c r="AF16" s="2">
        <v>15010</v>
      </c>
      <c r="AG16" s="2">
        <v>1262</v>
      </c>
      <c r="AH16" s="2">
        <v>0</v>
      </c>
      <c r="AI16" s="2">
        <v>0</v>
      </c>
      <c r="AJ16" s="2">
        <v>103468</v>
      </c>
      <c r="AK16" s="2">
        <v>451338</v>
      </c>
      <c r="AL16" s="2">
        <v>7807529</v>
      </c>
      <c r="AM16" s="2">
        <f>+VLOOKUP(C16,'[1]02.2026'!$C$2:$AL$16,36,FALSE)</f>
        <v>7804866</v>
      </c>
      <c r="AN16" s="6">
        <f t="shared" si="0"/>
        <v>2663</v>
      </c>
      <c r="AO16" s="2">
        <v>31977</v>
      </c>
      <c r="AP16" s="2">
        <v>2394</v>
      </c>
      <c r="AQ16" s="2">
        <v>55014</v>
      </c>
      <c r="AR16" s="2">
        <v>89718</v>
      </c>
      <c r="AS16" s="2">
        <v>27507</v>
      </c>
      <c r="AT16" s="2">
        <v>44859</v>
      </c>
      <c r="AU16" s="2">
        <v>52951</v>
      </c>
      <c r="AV16" s="2">
        <v>3962</v>
      </c>
      <c r="AW16" s="2">
        <v>114</v>
      </c>
      <c r="AX16" s="2">
        <v>30945</v>
      </c>
      <c r="AY16" s="2">
        <v>1007</v>
      </c>
      <c r="AZ16" s="2">
        <v>3438</v>
      </c>
      <c r="BA16" s="2">
        <v>9404019</v>
      </c>
    </row>
    <row r="17" spans="1:53" x14ac:dyDescent="0.3"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6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x14ac:dyDescent="0.3">
      <c r="A18" t="s">
        <v>148</v>
      </c>
      <c r="B18" t="s">
        <v>148</v>
      </c>
      <c r="C18" t="s">
        <v>148</v>
      </c>
      <c r="D18" t="s">
        <v>148</v>
      </c>
      <c r="E18" t="s">
        <v>148</v>
      </c>
      <c r="F18" t="s">
        <v>148</v>
      </c>
      <c r="G18" t="s">
        <v>148</v>
      </c>
      <c r="H18" t="s">
        <v>148</v>
      </c>
      <c r="I18" t="s">
        <v>148</v>
      </c>
      <c r="J18" t="s">
        <v>148</v>
      </c>
      <c r="K18" t="s">
        <v>148</v>
      </c>
      <c r="L18" t="s">
        <v>148</v>
      </c>
      <c r="M18" t="s">
        <v>148</v>
      </c>
      <c r="N18" t="s">
        <v>148</v>
      </c>
      <c r="O18" t="s">
        <v>148</v>
      </c>
      <c r="P18" t="s">
        <v>148</v>
      </c>
      <c r="Q18" s="3">
        <f t="shared" ref="Q18:AZ18" si="1">SUM(Q2:Q17)</f>
        <v>75554632</v>
      </c>
      <c r="R18" s="3">
        <f t="shared" si="1"/>
        <v>2947065</v>
      </c>
      <c r="S18" s="3">
        <f t="shared" si="1"/>
        <v>0</v>
      </c>
      <c r="T18" s="3">
        <f t="shared" si="1"/>
        <v>2250000</v>
      </c>
      <c r="U18" s="3">
        <f t="shared" si="1"/>
        <v>550000</v>
      </c>
      <c r="V18" s="3">
        <f t="shared" si="1"/>
        <v>81301697</v>
      </c>
      <c r="W18" s="3">
        <f t="shared" si="1"/>
        <v>110913702</v>
      </c>
      <c r="X18" s="3">
        <f t="shared" si="1"/>
        <v>110913702</v>
      </c>
      <c r="Y18" s="3">
        <f t="shared" si="1"/>
        <v>5075221</v>
      </c>
      <c r="Z18" s="3">
        <f t="shared" si="1"/>
        <v>623046</v>
      </c>
      <c r="AA18" s="3">
        <f t="shared" si="1"/>
        <v>321674</v>
      </c>
      <c r="AB18" s="3">
        <f t="shared" si="1"/>
        <v>93482</v>
      </c>
      <c r="AC18" s="3">
        <f t="shared" si="1"/>
        <v>229647</v>
      </c>
      <c r="AD18" s="3">
        <f t="shared" si="1"/>
        <v>309899</v>
      </c>
      <c r="AE18" s="3">
        <f t="shared" si="1"/>
        <v>2998176</v>
      </c>
      <c r="AF18" s="3">
        <f t="shared" si="1"/>
        <v>978777</v>
      </c>
      <c r="AG18" s="3">
        <f t="shared" si="1"/>
        <v>31287</v>
      </c>
      <c r="AH18" s="3">
        <f t="shared" si="1"/>
        <v>159163</v>
      </c>
      <c r="AI18" s="3">
        <f t="shared" si="1"/>
        <v>50000</v>
      </c>
      <c r="AJ18" s="3">
        <f t="shared" si="1"/>
        <v>7545181</v>
      </c>
      <c r="AK18" s="3">
        <f t="shared" si="1"/>
        <v>29398241</v>
      </c>
      <c r="AL18" s="3">
        <f t="shared" si="1"/>
        <v>144401605</v>
      </c>
      <c r="AM18" s="3">
        <f t="shared" ref="AM18" si="2">SUM(AM2:AM17)</f>
        <v>144151168</v>
      </c>
      <c r="AN18" s="7">
        <f t="shared" ref="AN18" si="3">SUM(AN2:AN17)</f>
        <v>250437</v>
      </c>
      <c r="AO18" s="3">
        <f t="shared" si="1"/>
        <v>429413</v>
      </c>
      <c r="AP18" s="3">
        <f t="shared" si="1"/>
        <v>54451</v>
      </c>
      <c r="AQ18" s="3">
        <f t="shared" si="1"/>
        <v>1217997</v>
      </c>
      <c r="AR18" s="3">
        <f t="shared" si="1"/>
        <v>249284</v>
      </c>
      <c r="AS18" s="3">
        <f t="shared" si="1"/>
        <v>467682</v>
      </c>
      <c r="AT18" s="3">
        <f t="shared" si="1"/>
        <v>124643</v>
      </c>
      <c r="AU18" s="3">
        <f t="shared" si="1"/>
        <v>739430</v>
      </c>
      <c r="AV18" s="3">
        <f t="shared" si="1"/>
        <v>90163</v>
      </c>
      <c r="AW18" s="3">
        <f t="shared" si="1"/>
        <v>2304</v>
      </c>
      <c r="AX18" s="3">
        <f t="shared" si="1"/>
        <v>432128</v>
      </c>
      <c r="AY18" s="3">
        <f t="shared" si="1"/>
        <v>20717</v>
      </c>
      <c r="AZ18" s="3">
        <f t="shared" si="1"/>
        <v>46109</v>
      </c>
      <c r="BA18" s="3">
        <f>SUM(BA2:BA17)</f>
        <v>196089720</v>
      </c>
    </row>
    <row r="19" spans="1:53" x14ac:dyDescent="0.3">
      <c r="A19" t="s">
        <v>148</v>
      </c>
      <c r="B19" t="s">
        <v>148</v>
      </c>
      <c r="C19" t="s">
        <v>148</v>
      </c>
      <c r="D19" t="s">
        <v>148</v>
      </c>
      <c r="E19" t="s">
        <v>148</v>
      </c>
      <c r="F19" t="s">
        <v>148</v>
      </c>
      <c r="G19" t="s">
        <v>148</v>
      </c>
      <c r="H19" t="s">
        <v>148</v>
      </c>
      <c r="I19" t="s">
        <v>148</v>
      </c>
      <c r="J19" t="s">
        <v>148</v>
      </c>
      <c r="K19" t="s">
        <v>148</v>
      </c>
      <c r="L19" t="s">
        <v>148</v>
      </c>
      <c r="M19" t="s">
        <v>148</v>
      </c>
      <c r="N19" t="s">
        <v>148</v>
      </c>
      <c r="O19" t="s">
        <v>148</v>
      </c>
      <c r="P19" t="s">
        <v>148</v>
      </c>
      <c r="Q19" t="s">
        <v>148</v>
      </c>
      <c r="R19" t="s">
        <v>148</v>
      </c>
      <c r="S19" t="s">
        <v>148</v>
      </c>
      <c r="T19" t="s">
        <v>148</v>
      </c>
      <c r="U19" t="s">
        <v>148</v>
      </c>
      <c r="V19" t="s">
        <v>148</v>
      </c>
      <c r="W19" t="s">
        <v>148</v>
      </c>
      <c r="X19" t="s">
        <v>148</v>
      </c>
      <c r="Y19" t="s">
        <v>148</v>
      </c>
      <c r="Z19" t="s">
        <v>148</v>
      </c>
      <c r="AA19" t="s">
        <v>148</v>
      </c>
      <c r="AB19" t="s">
        <v>148</v>
      </c>
      <c r="AC19" t="s">
        <v>148</v>
      </c>
      <c r="AD19" t="s">
        <v>148</v>
      </c>
      <c r="AE19" t="s">
        <v>148</v>
      </c>
      <c r="AF19" t="s">
        <v>148</v>
      </c>
      <c r="AG19" t="s">
        <v>148</v>
      </c>
      <c r="AH19" t="s">
        <v>148</v>
      </c>
      <c r="AI19" t="s">
        <v>148</v>
      </c>
      <c r="AJ19" t="s">
        <v>148</v>
      </c>
      <c r="AK19" t="s">
        <v>148</v>
      </c>
      <c r="AL19" t="s">
        <v>148</v>
      </c>
      <c r="AO19" t="s">
        <v>148</v>
      </c>
      <c r="AP19" t="s">
        <v>148</v>
      </c>
      <c r="AQ19" t="s">
        <v>148</v>
      </c>
      <c r="AR19" t="s">
        <v>148</v>
      </c>
      <c r="AS19" t="s">
        <v>148</v>
      </c>
      <c r="AT19" t="s">
        <v>148</v>
      </c>
      <c r="AU19" t="s">
        <v>148</v>
      </c>
      <c r="AV19" t="s">
        <v>148</v>
      </c>
      <c r="AW19" t="s">
        <v>148</v>
      </c>
      <c r="AX19" t="s">
        <v>148</v>
      </c>
      <c r="AY19" t="s">
        <v>148</v>
      </c>
      <c r="AZ19" t="s">
        <v>148</v>
      </c>
      <c r="BA19" t="s">
        <v>148</v>
      </c>
    </row>
    <row r="24" spans="1:53" x14ac:dyDescent="0.3">
      <c r="AI24" t="s">
        <v>151</v>
      </c>
      <c r="AJ24" s="9">
        <f>+Y18+AA18+AC18+AE18+AF18+AH18+AI18+AO18+AQ18+AS18+AU18+AX18+AZ18</f>
        <v>13145417</v>
      </c>
      <c r="AK24" s="9">
        <v>13145417</v>
      </c>
      <c r="AL24" s="9">
        <f>AK24-AJ24</f>
        <v>0</v>
      </c>
    </row>
    <row r="25" spans="1:53" x14ac:dyDescent="0.3">
      <c r="AI25" t="s">
        <v>152</v>
      </c>
      <c r="AJ25" s="9">
        <f>+AY18+AW18+AV18+AT18+AR18+AP18+AG18+AD18+AB18+Z18</f>
        <v>1599276</v>
      </c>
      <c r="AK25" s="9">
        <v>142423</v>
      </c>
    </row>
    <row r="26" spans="1:53" x14ac:dyDescent="0.3">
      <c r="AK26" s="9">
        <v>794680</v>
      </c>
    </row>
    <row r="27" spans="1:53" x14ac:dyDescent="0.3">
      <c r="AJ27" s="9">
        <f>SUM(AJ24:AJ26)</f>
        <v>14744693</v>
      </c>
      <c r="AK27" s="9">
        <v>397998</v>
      </c>
    </row>
    <row r="28" spans="1:53" x14ac:dyDescent="0.3">
      <c r="AK28" s="9">
        <v>264175</v>
      </c>
    </row>
    <row r="29" spans="1:53" x14ac:dyDescent="0.3">
      <c r="AK29" s="9">
        <f>+SUM(AK25:AK28)</f>
        <v>1599276</v>
      </c>
      <c r="AL29" s="9">
        <f>AK29-AJ25</f>
        <v>0</v>
      </c>
    </row>
    <row r="30" spans="1:53" x14ac:dyDescent="0.3">
      <c r="AK30" s="10">
        <f>+AK24+AK29</f>
        <v>14744693</v>
      </c>
    </row>
    <row r="31" spans="1:53" x14ac:dyDescent="0.3">
      <c r="AK31" s="9"/>
    </row>
    <row r="32" spans="1:53" x14ac:dyDescent="0.3">
      <c r="AK32" s="9">
        <f>AJ27-AK30</f>
        <v>0</v>
      </c>
    </row>
  </sheetData>
  <pageMargins left="0.75" right="0.75" top="1" bottom="1" header="0.5" footer="0.5"/>
  <headerFooter>
    <oddFooter>&amp;C_x000D_&amp;1#&amp;"Aptos"&amp;9&amp;K000000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04D217-DEB5-4583-8AD8-FEF429A7167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6492885B-735E-4AF0-A560-9F6CD22AD9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E9BD6D-523D-4E40-B45D-D206400520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Larenas</cp:lastModifiedBy>
  <dcterms:created xsi:type="dcterms:W3CDTF">2026-02-25T19:13:33Z</dcterms:created>
  <dcterms:modified xsi:type="dcterms:W3CDTF">2026-02-26T21:14:30Z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