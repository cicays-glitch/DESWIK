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16" documentId="8_{C34AFA7A-75C9-46BE-8854-F87FDE695493}" xr6:coauthVersionLast="47" xr6:coauthVersionMax="47" xr10:uidLastSave="{F3752EE4-1135-4076-A742-21A050D4FD22}"/>
  <bookViews>
    <workbookView xWindow="-107" yWindow="-107" windowWidth="20847" windowHeight="11111" tabRatio="808" activeTab="14" xr2:uid="{DD659A2F-2550-431F-8D3B-0E99B7FFFED5}"/>
  </bookViews>
  <sheets>
    <sheet name="Centros de costos" sheetId="8" r:id="rId1"/>
    <sheet name="01" sheetId="1" r:id="rId2"/>
    <sheet name="02" sheetId="2" r:id="rId3"/>
    <sheet name="03" sheetId="3" r:id="rId4"/>
    <sheet name="04" sheetId="4" r:id="rId5"/>
    <sheet name="05" sheetId="5" state="hidden" r:id="rId6"/>
    <sheet name="06" sheetId="6" state="hidden" r:id="rId7"/>
    <sheet name="07" sheetId="9" state="hidden" r:id="rId8"/>
    <sheet name="08" sheetId="10" state="hidden" r:id="rId9"/>
    <sheet name="09" sheetId="11" state="hidden" r:id="rId10"/>
    <sheet name="09 reliq" sheetId="12" state="hidden" r:id="rId11"/>
    <sheet name="10" sheetId="13" state="hidden" r:id="rId12"/>
    <sheet name="11" sheetId="14" state="hidden" r:id="rId13"/>
    <sheet name="12" sheetId="15" state="hidden" r:id="rId14"/>
    <sheet name="acum" sheetId="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7" l="1"/>
  <c r="F1" i="3" l="1"/>
  <c r="F1" i="2" l="1"/>
  <c r="E18" i="7"/>
  <c r="E14" i="7"/>
  <c r="F28" i="7"/>
  <c r="F27" i="7"/>
  <c r="F26" i="7"/>
  <c r="F25" i="7"/>
  <c r="F23" i="7"/>
  <c r="E20" i="7"/>
  <c r="E16" i="7"/>
  <c r="E8" i="7"/>
  <c r="E6" i="7"/>
  <c r="E4" i="7"/>
  <c r="E3" i="7"/>
  <c r="E2" i="7"/>
  <c r="F1" i="15" l="1"/>
  <c r="E1" i="15"/>
  <c r="F24" i="7" l="1"/>
  <c r="E5" i="7"/>
  <c r="E7" i="7"/>
  <c r="E10" i="7"/>
  <c r="E11" i="7"/>
  <c r="E12" i="7"/>
  <c r="E13" i="7"/>
  <c r="E15" i="7"/>
  <c r="E17" i="7"/>
  <c r="E19" i="7"/>
  <c r="E21" i="7"/>
  <c r="E22" i="7"/>
  <c r="F1" i="14" l="1"/>
  <c r="E1" i="14"/>
  <c r="F1" i="13"/>
  <c r="E1" i="13"/>
  <c r="F1" i="12" l="1"/>
  <c r="E1" i="12"/>
  <c r="F1" i="11"/>
  <c r="E1" i="11"/>
  <c r="F1" i="10" l="1"/>
  <c r="E1" i="10"/>
  <c r="F1" i="9"/>
  <c r="E1" i="9"/>
  <c r="X8" i="7" l="1"/>
  <c r="X6" i="7" l="1"/>
  <c r="X7" i="7"/>
  <c r="F1" i="7" l="1"/>
  <c r="E1" i="7"/>
  <c r="F1" i="1"/>
  <c r="E1" i="1"/>
  <c r="E1" i="2"/>
  <c r="E1" i="3"/>
  <c r="E1" i="4"/>
  <c r="F1" i="4"/>
  <c r="F1" i="5"/>
  <c r="E1" i="5"/>
  <c r="F1" i="6"/>
  <c r="E1" i="6"/>
  <c r="F30" i="7" l="1"/>
  <c r="F31" i="7" s="1"/>
  <c r="E30" i="7"/>
  <c r="E31" i="7" s="1"/>
</calcChain>
</file>

<file path=xl/sharedStrings.xml><?xml version="1.0" encoding="utf-8"?>
<sst xmlns="http://schemas.openxmlformats.org/spreadsheetml/2006/main" count="702" uniqueCount="70">
  <si>
    <t>cta Deswik</t>
  </si>
  <si>
    <t>Remuneraciones Deswik mayo 2025</t>
  </si>
  <si>
    <t>cta magnus</t>
  </si>
  <si>
    <t>Salario</t>
  </si>
  <si>
    <t>Consulting</t>
  </si>
  <si>
    <t>Bono</t>
  </si>
  <si>
    <t>AFP</t>
  </si>
  <si>
    <t>ISAPRE</t>
  </si>
  <si>
    <t>Admin</t>
  </si>
  <si>
    <t>Admin/Sales</t>
  </si>
  <si>
    <t>Mkt</t>
  </si>
  <si>
    <t>Support</t>
  </si>
  <si>
    <t>Previred por pagar</t>
  </si>
  <si>
    <t>Seguro complementario</t>
  </si>
  <si>
    <t>Remuneraciones por pagar</t>
  </si>
  <si>
    <t>Impuesto adicional prestamo</t>
  </si>
  <si>
    <t>Impuesto unico trabajador</t>
  </si>
  <si>
    <t>Anticipo de sueldos</t>
  </si>
  <si>
    <t>Remuneraciones Deswik abril 2025</t>
  </si>
  <si>
    <t>Bono LTI</t>
  </si>
  <si>
    <t>nombre</t>
  </si>
  <si>
    <t>apellido paterno</t>
  </si>
  <si>
    <t>apellido materno</t>
  </si>
  <si>
    <t>KATHERINNE SILVANA</t>
  </si>
  <si>
    <t>ALARCON</t>
  </si>
  <si>
    <t>ESCOBAR</t>
  </si>
  <si>
    <t>CRISTIAN</t>
  </si>
  <si>
    <t>ANABALON</t>
  </si>
  <si>
    <t>BARRÍA</t>
  </si>
  <si>
    <t>KATHERINE MARLENE</t>
  </si>
  <si>
    <t>BOLLMANN</t>
  </si>
  <si>
    <t>NILIAN</t>
  </si>
  <si>
    <t>Lucas Guilherme</t>
  </si>
  <si>
    <t>Cardoso</t>
  </si>
  <si>
    <t>Bittencourt</t>
  </si>
  <si>
    <t>JUAN SEBASTIAN</t>
  </si>
  <si>
    <t>CARVALLO</t>
  </si>
  <si>
    <t>JIMÉNEZ</t>
  </si>
  <si>
    <t>Denisse Massiel</t>
  </si>
  <si>
    <t>Castro</t>
  </si>
  <si>
    <t>Acuña</t>
  </si>
  <si>
    <t>CAROL TATIANA</t>
  </si>
  <si>
    <t>CONTRERAS</t>
  </si>
  <si>
    <t>MUÑOZ</t>
  </si>
  <si>
    <t>ANTONIETA</t>
  </si>
  <si>
    <t>GONZALEZ</t>
  </si>
  <si>
    <t>OLIVEROS</t>
  </si>
  <si>
    <t>CESAR FELIPE</t>
  </si>
  <si>
    <t>MACHADO</t>
  </si>
  <si>
    <t>RIBEIRO LOPES</t>
  </si>
  <si>
    <t>FRANCISCO</t>
  </si>
  <si>
    <t>MIRANDA</t>
  </si>
  <si>
    <t>RIADI</t>
  </si>
  <si>
    <t>JORGE</t>
  </si>
  <si>
    <t>MORIS</t>
  </si>
  <si>
    <t>JORDÁN</t>
  </si>
  <si>
    <t>MARCELO</t>
  </si>
  <si>
    <t>PENNA</t>
  </si>
  <si>
    <t>SANTOS</t>
  </si>
  <si>
    <t>CAITLIN JOY</t>
  </si>
  <si>
    <t>WHEAT</t>
  </si>
  <si>
    <t>.</t>
  </si>
  <si>
    <t>Caroline</t>
  </si>
  <si>
    <t>Zorzi</t>
  </si>
  <si>
    <t>centro costo nombre</t>
  </si>
  <si>
    <t>Administración y Gerencia</t>
  </si>
  <si>
    <t>Consultoria</t>
  </si>
  <si>
    <t>Ventas y marketing</t>
  </si>
  <si>
    <t>Soporte</t>
  </si>
  <si>
    <t>cto cto nombre 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</si>
</sst>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[$$-409]* #,##0_);_([$$-409]* \(#,##0\);_([$$-409]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Consolas"/>
      <family val="3"/>
    </font>
    <font>
      <sz val="11"/>
      <color rgb="FF000000"/>
      <name val="Calibri"/>
      <family val="2"/>
    </font>
    <font>
      <sz val="11"/>
      <name val="Consolas"/>
      <family val="3"/>
    </font>
    <font>
      <sz val="11"/>
      <name val="Aptos Narrow"/>
      <family val="2"/>
      <scheme val="minor"/>
    </font>
    <font>
      <sz val="11"/>
      <color rgb="FFFF0000"/>
      <name val="Consolas"/>
      <family val="3"/>
    </font>
    <font>
      <sz val="11"/>
      <color rgb="FF0070C0"/>
      <name val="Aptos Narrow"/>
      <family val="2"/>
      <scheme val="minor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41" fontId="5" fillId="2" borderId="0" xfId="1" applyFont="1" applyFill="1"/>
    <xf numFmtId="41" fontId="6" fillId="2" borderId="0" xfId="1" applyFont="1" applyFill="1"/>
    <xf numFmtId="41" fontId="0" fillId="2" borderId="0" xfId="1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3" fontId="4" fillId="2" borderId="0" xfId="0" applyNumberFormat="1" applyFont="1" applyFill="1"/>
    <xf numFmtId="0" fontId="0" fillId="2" borderId="0" xfId="0" applyFill="1"/>
    <xf numFmtId="0" fontId="5" fillId="2" borderId="0" xfId="0" applyFont="1" applyFill="1"/>
    <xf numFmtId="0" fontId="5" fillId="3" borderId="0" xfId="0" applyFont="1" applyFill="1"/>
    <xf numFmtId="0" fontId="2" fillId="2" borderId="0" xfId="0" applyFont="1" applyFill="1"/>
    <xf numFmtId="0" fontId="3" fillId="2" borderId="0" xfId="0" applyFont="1" applyFill="1"/>
    <xf numFmtId="0" fontId="7" fillId="2" borderId="0" xfId="0" applyFont="1" applyFill="1"/>
    <xf numFmtId="3" fontId="7" fillId="2" borderId="0" xfId="0" applyNumberFormat="1" applyFont="1" applyFill="1"/>
    <xf numFmtId="0" fontId="7" fillId="3" borderId="0" xfId="0" applyFont="1" applyFill="1"/>
    <xf numFmtId="3" fontId="0" fillId="2" borderId="0" xfId="0" applyNumberFormat="1" applyFill="1"/>
    <xf numFmtId="41" fontId="8" fillId="2" borderId="0" xfId="1" applyFont="1" applyFill="1"/>
    <xf numFmtId="41" fontId="9" fillId="2" borderId="0" xfId="1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41" fontId="0" fillId="2" borderId="0" xfId="0" applyNumberFormat="1" applyFill="1"/>
    <xf numFmtId="41" fontId="6" fillId="5" borderId="0" xfId="1" applyFont="1" applyFill="1"/>
    <xf numFmtId="41" fontId="5" fillId="5" borderId="0" xfId="1" applyFont="1" applyFill="1"/>
    <xf numFmtId="41" fontId="10" fillId="5" borderId="0" xfId="1" applyFont="1" applyFill="1"/>
    <xf numFmtId="0" fontId="11" fillId="2" borderId="0" xfId="0" applyFont="1" applyFill="1"/>
    <xf numFmtId="3" fontId="12" fillId="2" borderId="0" xfId="0" applyNumberFormat="1" applyFont="1" applyFill="1"/>
    <xf numFmtId="41" fontId="6" fillId="8" borderId="0" xfId="1" applyFont="1" applyFill="1"/>
    <xf numFmtId="41" fontId="6" fillId="9" borderId="0" xfId="1" applyFont="1" applyFill="1"/>
    <xf numFmtId="41" fontId="7" fillId="2" borderId="0" xfId="1" applyFont="1" applyFill="1"/>
    <xf numFmtId="41" fontId="0" fillId="6" borderId="0" xfId="1" applyFont="1" applyFill="1"/>
    <xf numFmtId="0" fontId="5" fillId="0" borderId="0" xfId="0" applyFont="1"/>
    <xf numFmtId="164" fontId="0" fillId="6" borderId="0" xfId="2" applyNumberFormat="1" applyFont="1" applyFill="1"/>
    <xf numFmtId="164" fontId="0" fillId="2" borderId="0" xfId="2" applyNumberFormat="1" applyFont="1" applyFill="1"/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29</xdr:col>
      <xdr:colOff>57690</xdr:colOff>
      <xdr:row>4</xdr:row>
      <xdr:rowOff>85817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F60FDE-4175-2EB5-3C72-2E769A61D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2583" y="190500"/>
          <a:ext cx="3867690" cy="657317"/>
        </a:xfrm>
        <a:prstGeom prst="rect">
          <a:avLst/>
        </a:prstGeom>
      </xdr:spPr>
    </xdr:pic>
    <xdr:clientData/>
  </xdr:twoCellAnchor>
  <xdr:twoCellAnchor editAs="oneCell">
    <xdr:from>
      <xdr:col>24</xdr:col>
      <xdr:colOff>10583</xdr:colOff>
      <xdr:row>7</xdr:row>
      <xdr:rowOff>21167</xdr:rowOff>
    </xdr:from>
    <xdr:to>
      <xdr:col>28</xdr:col>
      <xdr:colOff>592115</xdr:colOff>
      <xdr:row>9</xdr:row>
      <xdr:rowOff>11694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A2EC4B8-CD46-118D-321B-26F81304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7833" y="1354667"/>
          <a:ext cx="3629532" cy="371527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28</xdr:col>
      <xdr:colOff>619637</xdr:colOff>
      <xdr:row>7</xdr:row>
      <xdr:rowOff>9580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8F15924-90EB-1F4A-7F66-1DA8B6376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52583" y="952500"/>
          <a:ext cx="3667637" cy="39058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27</xdr:col>
      <xdr:colOff>38424</xdr:colOff>
      <xdr:row>16</xdr:row>
      <xdr:rowOff>19132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0FEFDF0-07E7-8D87-92D4-9E50D1078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37250" y="2476500"/>
          <a:ext cx="2324424" cy="590632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657317</xdr:colOff>
      <xdr:row>16</xdr:row>
      <xdr:rowOff>47711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CA87B77-79E8-33A6-B9F8-0B3A7F406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23250" y="2476500"/>
          <a:ext cx="657317" cy="61921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28</xdr:col>
      <xdr:colOff>648216</xdr:colOff>
      <xdr:row>19</xdr:row>
      <xdr:rowOff>57211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B710B61-81A9-6A02-8805-1CD60252B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37250" y="3238500"/>
          <a:ext cx="3696216" cy="43821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667268</xdr:colOff>
      <xdr:row>21</xdr:row>
      <xdr:rowOff>47658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26FE6E1-8F16-A62B-E26A-10CBB1629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37250" y="3810000"/>
          <a:ext cx="3715268" cy="238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2E4D2-8B14-4790-9E31-D52236D9A636}">
  <dimension ref="A1:E15"/>
  <sheetViews>
    <sheetView zoomScale="90" zoomScaleNormal="90" workbookViewId="0">
      <selection activeCell="E15" sqref="E15"/>
    </sheetView>
  </sheetViews>
  <sheetFormatPr baseColWidth="10" defaultColWidth="11.3984375" defaultRowHeight="14" x14ac:dyDescent="0.3"/>
  <cols>
    <col min="1" max="1" width="20" style="7" bestFit="1" customWidth="1"/>
    <col min="2" max="2" width="15.69921875" style="7" bestFit="1" customWidth="1"/>
    <col min="3" max="3" width="16.3984375" style="7" hidden="1" customWidth="1"/>
    <col min="4" max="4" width="24.3984375" style="7" bestFit="1" customWidth="1"/>
    <col min="5" max="5" width="20.59765625" style="7" bestFit="1" customWidth="1"/>
    <col min="6" max="16384" width="11.3984375" style="7"/>
  </cols>
  <sheetData>
    <row r="1" spans="1:5" s="11" customFormat="1" x14ac:dyDescent="0.3">
      <c r="A1" s="11" t="s">
        <v>20</v>
      </c>
      <c r="B1" s="11" t="s">
        <v>21</v>
      </c>
      <c r="C1" s="11" t="s">
        <v>22</v>
      </c>
      <c r="D1" s="11" t="s">
        <v>64</v>
      </c>
      <c r="E1" s="11" t="s">
        <v>69</v>
      </c>
    </row>
    <row r="2" spans="1:5" x14ac:dyDescent="0.3">
      <c r="A2" s="18" t="s">
        <v>23</v>
      </c>
      <c r="B2" s="18" t="s">
        <v>24</v>
      </c>
      <c r="C2" s="18" t="s">
        <v>25</v>
      </c>
      <c r="D2" s="18" t="s">
        <v>65</v>
      </c>
      <c r="E2" s="18" t="s">
        <v>8</v>
      </c>
    </row>
    <row r="3" spans="1:5" x14ac:dyDescent="0.3">
      <c r="A3" s="19" t="s">
        <v>26</v>
      </c>
      <c r="B3" s="19" t="s">
        <v>27</v>
      </c>
      <c r="C3" s="19" t="s">
        <v>28</v>
      </c>
      <c r="D3" s="19" t="s">
        <v>66</v>
      </c>
      <c r="E3" s="19" t="s">
        <v>4</v>
      </c>
    </row>
    <row r="4" spans="1:5" x14ac:dyDescent="0.3">
      <c r="A4" s="21" t="s">
        <v>29</v>
      </c>
      <c r="B4" s="21" t="s">
        <v>30</v>
      </c>
      <c r="C4" s="21" t="s">
        <v>31</v>
      </c>
      <c r="D4" s="21" t="s">
        <v>67</v>
      </c>
      <c r="E4" s="21" t="s">
        <v>10</v>
      </c>
    </row>
    <row r="5" spans="1:5" x14ac:dyDescent="0.3">
      <c r="A5" s="19" t="s">
        <v>32</v>
      </c>
      <c r="B5" s="19" t="s">
        <v>33</v>
      </c>
      <c r="C5" s="19" t="s">
        <v>34</v>
      </c>
      <c r="D5" s="19" t="s">
        <v>66</v>
      </c>
      <c r="E5" s="19" t="s">
        <v>4</v>
      </c>
    </row>
    <row r="6" spans="1:5" x14ac:dyDescent="0.3">
      <c r="A6" s="19" t="s">
        <v>35</v>
      </c>
      <c r="B6" s="19" t="s">
        <v>36</v>
      </c>
      <c r="C6" s="19" t="s">
        <v>37</v>
      </c>
      <c r="D6" s="19" t="s">
        <v>66</v>
      </c>
      <c r="E6" s="19" t="s">
        <v>4</v>
      </c>
    </row>
    <row r="7" spans="1:5" x14ac:dyDescent="0.3">
      <c r="A7" s="20" t="s">
        <v>38</v>
      </c>
      <c r="B7" s="20" t="s">
        <v>39</v>
      </c>
      <c r="C7" s="20" t="s">
        <v>40</v>
      </c>
      <c r="D7" s="20" t="s">
        <v>68</v>
      </c>
      <c r="E7" s="20" t="s">
        <v>11</v>
      </c>
    </row>
    <row r="8" spans="1:5" x14ac:dyDescent="0.3">
      <c r="A8" s="18" t="s">
        <v>41</v>
      </c>
      <c r="B8" s="18" t="s">
        <v>42</v>
      </c>
      <c r="C8" s="18" t="s">
        <v>43</v>
      </c>
      <c r="D8" s="18" t="s">
        <v>65</v>
      </c>
      <c r="E8" s="18" t="s">
        <v>8</v>
      </c>
    </row>
    <row r="9" spans="1:5" x14ac:dyDescent="0.3">
      <c r="A9" s="19" t="s">
        <v>44</v>
      </c>
      <c r="B9" s="19" t="s">
        <v>45</v>
      </c>
      <c r="C9" s="19" t="s">
        <v>46</v>
      </c>
      <c r="D9" s="19" t="s">
        <v>66</v>
      </c>
      <c r="E9" s="19" t="s">
        <v>4</v>
      </c>
    </row>
    <row r="10" spans="1:5" x14ac:dyDescent="0.3">
      <c r="A10" s="18" t="s">
        <v>47</v>
      </c>
      <c r="B10" s="18" t="s">
        <v>48</v>
      </c>
      <c r="C10" s="18" t="s">
        <v>49</v>
      </c>
      <c r="D10" s="18" t="s">
        <v>65</v>
      </c>
      <c r="E10" s="18" t="s">
        <v>8</v>
      </c>
    </row>
    <row r="11" spans="1:5" x14ac:dyDescent="0.3">
      <c r="A11" s="19" t="s">
        <v>50</v>
      </c>
      <c r="B11" s="19" t="s">
        <v>51</v>
      </c>
      <c r="C11" s="19" t="s">
        <v>52</v>
      </c>
      <c r="D11" s="19" t="s">
        <v>66</v>
      </c>
      <c r="E11" s="19" t="s">
        <v>4</v>
      </c>
    </row>
    <row r="12" spans="1:5" x14ac:dyDescent="0.3">
      <c r="A12" s="19" t="s">
        <v>53</v>
      </c>
      <c r="B12" s="19" t="s">
        <v>54</v>
      </c>
      <c r="C12" s="19" t="s">
        <v>55</v>
      </c>
      <c r="D12" s="19" t="s">
        <v>66</v>
      </c>
      <c r="E12" s="19" t="s">
        <v>4</v>
      </c>
    </row>
    <row r="13" spans="1:5" x14ac:dyDescent="0.3">
      <c r="A13" s="21" t="s">
        <v>56</v>
      </c>
      <c r="B13" s="21" t="s">
        <v>57</v>
      </c>
      <c r="C13" s="21" t="s">
        <v>58</v>
      </c>
      <c r="D13" s="21" t="s">
        <v>67</v>
      </c>
      <c r="E13" s="21" t="s">
        <v>10</v>
      </c>
    </row>
    <row r="14" spans="1:5" x14ac:dyDescent="0.3">
      <c r="A14" s="18" t="s">
        <v>59</v>
      </c>
      <c r="B14" s="18" t="s">
        <v>60</v>
      </c>
      <c r="C14" s="18" t="s">
        <v>61</v>
      </c>
      <c r="D14" s="18" t="s">
        <v>65</v>
      </c>
      <c r="E14" s="18" t="s">
        <v>8</v>
      </c>
    </row>
    <row r="15" spans="1:5" x14ac:dyDescent="0.3">
      <c r="A15" s="19" t="s">
        <v>62</v>
      </c>
      <c r="B15" s="19" t="s">
        <v>63</v>
      </c>
      <c r="C15" s="19" t="s">
        <v>61</v>
      </c>
      <c r="D15" s="19" t="s">
        <v>66</v>
      </c>
      <c r="E15" s="1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D4CA-B96D-4FC2-972D-EDD44E51259A}">
  <dimension ref="A1:F25"/>
  <sheetViews>
    <sheetView workbookViewId="0">
      <selection activeCell="G13" sqref="G13"/>
    </sheetView>
  </sheetViews>
  <sheetFormatPr baseColWidth="10" defaultColWidth="11.3984375" defaultRowHeight="14" x14ac:dyDescent="0.3"/>
  <cols>
    <col min="1" max="1" width="6.59765625" style="7" customWidth="1"/>
    <col min="2" max="4" width="11.3984375" style="7"/>
    <col min="5" max="5" width="14.09765625" style="7" bestFit="1" customWidth="1"/>
    <col min="6" max="16384" width="11.3984375" style="7"/>
  </cols>
  <sheetData>
    <row r="1" spans="1:6" x14ac:dyDescent="0.3">
      <c r="B1" s="12"/>
      <c r="C1" s="12"/>
      <c r="D1" s="12"/>
      <c r="E1" s="27">
        <f>SUM(E2:E25)</f>
        <v>100539524</v>
      </c>
      <c r="F1" s="27">
        <f>SUM(F2:F25)</f>
        <v>100539524</v>
      </c>
    </row>
    <row r="2" spans="1:6" x14ac:dyDescent="0.3">
      <c r="A2" s="7">
        <v>5011</v>
      </c>
      <c r="B2" s="12" t="s">
        <v>3</v>
      </c>
      <c r="C2" s="14" t="s">
        <v>4</v>
      </c>
      <c r="D2" s="12">
        <v>7020201</v>
      </c>
      <c r="E2" s="28">
        <v>49215265</v>
      </c>
      <c r="F2" s="12"/>
    </row>
    <row r="3" spans="1:6" x14ac:dyDescent="0.3">
      <c r="A3" s="7">
        <v>5012</v>
      </c>
      <c r="B3" s="12" t="s">
        <v>5</v>
      </c>
      <c r="C3" s="14" t="s">
        <v>4</v>
      </c>
      <c r="D3" s="12">
        <v>7020202</v>
      </c>
      <c r="E3" s="29">
        <v>0</v>
      </c>
      <c r="F3" s="12"/>
    </row>
    <row r="4" spans="1:6" x14ac:dyDescent="0.3">
      <c r="A4" s="7">
        <v>5013</v>
      </c>
      <c r="B4" s="12" t="s">
        <v>6</v>
      </c>
      <c r="C4" s="14" t="s">
        <v>4</v>
      </c>
      <c r="D4" s="12">
        <v>7020203</v>
      </c>
      <c r="E4" s="31">
        <v>2000739</v>
      </c>
      <c r="F4" s="12"/>
    </row>
    <row r="5" spans="1:6" x14ac:dyDescent="0.3">
      <c r="A5" s="7">
        <v>5015</v>
      </c>
      <c r="B5" s="12" t="s">
        <v>7</v>
      </c>
      <c r="C5" s="14" t="s">
        <v>4</v>
      </c>
      <c r="D5" s="12">
        <v>7020204</v>
      </c>
      <c r="E5" s="3"/>
      <c r="F5" s="12"/>
    </row>
    <row r="6" spans="1:6" x14ac:dyDescent="0.3">
      <c r="A6" s="7">
        <v>6306</v>
      </c>
      <c r="B6" s="12" t="s">
        <v>3</v>
      </c>
      <c r="C6" s="14" t="s">
        <v>8</v>
      </c>
      <c r="D6" s="12">
        <v>8050117</v>
      </c>
      <c r="E6" s="28">
        <v>34741290</v>
      </c>
      <c r="F6" s="12"/>
    </row>
    <row r="7" spans="1:6" x14ac:dyDescent="0.3">
      <c r="A7" s="7">
        <v>6307</v>
      </c>
      <c r="B7" s="12" t="s">
        <v>5</v>
      </c>
      <c r="C7" s="14" t="s">
        <v>8</v>
      </c>
      <c r="D7" s="12">
        <v>8050118</v>
      </c>
      <c r="E7" s="29">
        <v>0</v>
      </c>
      <c r="F7" s="12"/>
    </row>
    <row r="8" spans="1:6" x14ac:dyDescent="0.3">
      <c r="A8" s="7">
        <v>6308</v>
      </c>
      <c r="B8" s="12" t="s">
        <v>6</v>
      </c>
      <c r="C8" s="14" t="s">
        <v>8</v>
      </c>
      <c r="D8" s="12">
        <v>8050119</v>
      </c>
      <c r="E8" s="31">
        <v>1132313</v>
      </c>
      <c r="F8" s="12"/>
    </row>
    <row r="9" spans="1:6" x14ac:dyDescent="0.3">
      <c r="A9" s="7">
        <v>6326</v>
      </c>
      <c r="B9" s="12" t="s">
        <v>7</v>
      </c>
      <c r="C9" s="14" t="s">
        <v>8</v>
      </c>
      <c r="D9" s="12">
        <v>8050121</v>
      </c>
      <c r="E9" s="3"/>
      <c r="F9" s="12"/>
    </row>
    <row r="10" spans="1:6" x14ac:dyDescent="0.3">
      <c r="A10" s="7">
        <v>6306</v>
      </c>
      <c r="B10" s="12" t="s">
        <v>3</v>
      </c>
      <c r="C10" s="14" t="s">
        <v>9</v>
      </c>
      <c r="D10" s="12"/>
      <c r="E10" s="28">
        <v>0</v>
      </c>
      <c r="F10" s="12"/>
    </row>
    <row r="11" spans="1:6" x14ac:dyDescent="0.3">
      <c r="A11" s="7">
        <v>6307</v>
      </c>
      <c r="B11" s="12" t="s">
        <v>5</v>
      </c>
      <c r="C11" s="14" t="s">
        <v>9</v>
      </c>
      <c r="D11" s="12"/>
      <c r="E11" s="29">
        <v>0</v>
      </c>
      <c r="F11" s="12"/>
    </row>
    <row r="12" spans="1:6" x14ac:dyDescent="0.3">
      <c r="A12" s="7">
        <v>6308</v>
      </c>
      <c r="B12" s="12" t="s">
        <v>6</v>
      </c>
      <c r="C12" s="14" t="s">
        <v>9</v>
      </c>
      <c r="D12" s="12"/>
      <c r="E12" s="31">
        <v>0</v>
      </c>
      <c r="F12" s="12"/>
    </row>
    <row r="13" spans="1:6" x14ac:dyDescent="0.3">
      <c r="A13" s="7">
        <v>6326</v>
      </c>
      <c r="B13" s="12" t="s">
        <v>7</v>
      </c>
      <c r="C13" s="14" t="s">
        <v>9</v>
      </c>
      <c r="D13" s="12"/>
      <c r="E13" s="3"/>
      <c r="F13" s="12"/>
    </row>
    <row r="14" spans="1:6" x14ac:dyDescent="0.3">
      <c r="A14" s="7">
        <v>6301</v>
      </c>
      <c r="B14" s="12" t="s">
        <v>3</v>
      </c>
      <c r="C14" s="14" t="s">
        <v>10</v>
      </c>
      <c r="D14" s="12">
        <v>8050101</v>
      </c>
      <c r="E14" s="28">
        <v>10959902</v>
      </c>
      <c r="F14" s="12"/>
    </row>
    <row r="15" spans="1:6" x14ac:dyDescent="0.3">
      <c r="A15" s="7">
        <v>6302</v>
      </c>
      <c r="B15" s="12" t="s">
        <v>5</v>
      </c>
      <c r="C15" s="14" t="s">
        <v>10</v>
      </c>
      <c r="D15" s="12">
        <v>8050102</v>
      </c>
      <c r="E15" s="29">
        <v>0</v>
      </c>
      <c r="F15" s="12"/>
    </row>
    <row r="16" spans="1:6" x14ac:dyDescent="0.3">
      <c r="A16" s="7">
        <v>6303</v>
      </c>
      <c r="B16" s="12" t="s">
        <v>6</v>
      </c>
      <c r="C16" s="14" t="s">
        <v>10</v>
      </c>
      <c r="D16" s="12">
        <v>8050106</v>
      </c>
      <c r="E16" s="31">
        <v>252607</v>
      </c>
      <c r="F16" s="12"/>
    </row>
    <row r="17" spans="1:6" x14ac:dyDescent="0.3">
      <c r="A17" s="7">
        <v>6327</v>
      </c>
      <c r="B17" s="12" t="s">
        <v>7</v>
      </c>
      <c r="C17" s="14" t="s">
        <v>10</v>
      </c>
      <c r="D17" s="12">
        <v>8050120</v>
      </c>
      <c r="E17" s="3"/>
      <c r="F17" s="12"/>
    </row>
    <row r="18" spans="1:6" x14ac:dyDescent="0.3">
      <c r="A18" s="7">
        <v>5211</v>
      </c>
      <c r="B18" s="12" t="s">
        <v>3</v>
      </c>
      <c r="C18" s="14" t="s">
        <v>11</v>
      </c>
      <c r="D18" s="12">
        <v>7020205</v>
      </c>
      <c r="E18" s="28">
        <v>2113354</v>
      </c>
      <c r="F18" s="12"/>
    </row>
    <row r="19" spans="1:6" x14ac:dyDescent="0.3">
      <c r="A19" s="7">
        <v>5211</v>
      </c>
      <c r="B19" s="12" t="s">
        <v>5</v>
      </c>
      <c r="C19" s="14" t="s">
        <v>11</v>
      </c>
      <c r="D19" s="12">
        <v>7020206</v>
      </c>
      <c r="E19" s="29">
        <v>0</v>
      </c>
      <c r="F19" s="12"/>
    </row>
    <row r="20" spans="1:6" x14ac:dyDescent="0.3">
      <c r="A20" s="7">
        <v>5213</v>
      </c>
      <c r="B20" s="12" t="s">
        <v>6</v>
      </c>
      <c r="C20" s="14" t="s">
        <v>11</v>
      </c>
      <c r="D20" s="12">
        <v>7020207</v>
      </c>
      <c r="E20" s="31">
        <v>124054</v>
      </c>
      <c r="F20" s="12"/>
    </row>
    <row r="21" spans="1:6" x14ac:dyDescent="0.3">
      <c r="A21" s="7">
        <v>5215</v>
      </c>
      <c r="B21" s="12" t="s">
        <v>7</v>
      </c>
      <c r="C21" s="14" t="s">
        <v>11</v>
      </c>
      <c r="D21" s="12">
        <v>7020208</v>
      </c>
      <c r="E21" s="12"/>
      <c r="F21" s="12"/>
    </row>
    <row r="22" spans="1:6" x14ac:dyDescent="0.3">
      <c r="A22" s="7">
        <v>2414</v>
      </c>
      <c r="B22" s="12" t="s">
        <v>12</v>
      </c>
      <c r="C22" s="12"/>
      <c r="D22" s="12">
        <v>3031302</v>
      </c>
      <c r="E22" s="12"/>
      <c r="F22" s="13">
        <v>13644093</v>
      </c>
    </row>
    <row r="23" spans="1:6" x14ac:dyDescent="0.3">
      <c r="A23" s="7">
        <v>2411</v>
      </c>
      <c r="B23" s="12" t="s">
        <v>14</v>
      </c>
      <c r="C23" s="12"/>
      <c r="D23" s="12">
        <v>3031204</v>
      </c>
      <c r="E23" s="12"/>
      <c r="F23" s="13">
        <v>75249157</v>
      </c>
    </row>
    <row r="24" spans="1:6" x14ac:dyDescent="0.3">
      <c r="A24" s="7">
        <v>2554</v>
      </c>
      <c r="B24" s="12" t="s">
        <v>15</v>
      </c>
      <c r="C24" s="12"/>
      <c r="D24" s="12">
        <v>3031505</v>
      </c>
      <c r="E24" s="12"/>
      <c r="F24" s="13"/>
    </row>
    <row r="25" spans="1:6" x14ac:dyDescent="0.3">
      <c r="A25" s="7">
        <v>2554</v>
      </c>
      <c r="B25" s="12" t="s">
        <v>16</v>
      </c>
      <c r="C25" s="12"/>
      <c r="D25" s="12">
        <v>3031501</v>
      </c>
      <c r="E25" s="12"/>
      <c r="F25" s="13">
        <v>11646274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325E-780E-47E1-829A-29AADC0AC603}">
  <dimension ref="A1:H25"/>
  <sheetViews>
    <sheetView workbookViewId="0">
      <selection activeCell="F26" sqref="F26"/>
    </sheetView>
  </sheetViews>
  <sheetFormatPr baseColWidth="10" defaultColWidth="11.3984375" defaultRowHeight="14" x14ac:dyDescent="0.3"/>
  <cols>
    <col min="1" max="4" width="11.3984375" style="7"/>
    <col min="5" max="5" width="14.09765625" style="7" bestFit="1" customWidth="1"/>
    <col min="6" max="16384" width="11.3984375" style="7"/>
  </cols>
  <sheetData>
    <row r="1" spans="1:8" x14ac:dyDescent="0.3">
      <c r="B1" s="12"/>
      <c r="C1" s="12"/>
      <c r="D1" s="12"/>
      <c r="E1" s="27">
        <f>SUM(E2:E25)</f>
        <v>196089720</v>
      </c>
      <c r="F1" s="27">
        <f>SUM(F2:F25)</f>
        <v>196089720</v>
      </c>
    </row>
    <row r="2" spans="1:8" x14ac:dyDescent="0.3">
      <c r="A2" s="7">
        <v>5011</v>
      </c>
      <c r="B2" s="12" t="s">
        <v>3</v>
      </c>
      <c r="C2" s="14" t="s">
        <v>4</v>
      </c>
      <c r="D2" s="12">
        <v>7020201</v>
      </c>
      <c r="E2" s="28">
        <v>50315265</v>
      </c>
      <c r="F2" s="12"/>
      <c r="H2" s="26"/>
    </row>
    <row r="3" spans="1:8" x14ac:dyDescent="0.3">
      <c r="A3" s="7">
        <v>5012</v>
      </c>
      <c r="B3" s="12" t="s">
        <v>5</v>
      </c>
      <c r="C3" s="14" t="s">
        <v>4</v>
      </c>
      <c r="D3" s="12">
        <v>7020202</v>
      </c>
      <c r="E3" s="29">
        <v>55191458</v>
      </c>
      <c r="F3" s="12"/>
    </row>
    <row r="4" spans="1:8" x14ac:dyDescent="0.3">
      <c r="A4" s="7">
        <v>5013</v>
      </c>
      <c r="B4" s="12" t="s">
        <v>6</v>
      </c>
      <c r="C4" s="14" t="s">
        <v>4</v>
      </c>
      <c r="D4" s="12">
        <v>7020203</v>
      </c>
      <c r="E4" s="31">
        <v>2174907</v>
      </c>
      <c r="F4" s="12"/>
    </row>
    <row r="5" spans="1:8" x14ac:dyDescent="0.3">
      <c r="A5" s="7">
        <v>5015</v>
      </c>
      <c r="B5" s="12" t="s">
        <v>7</v>
      </c>
      <c r="C5" s="14" t="s">
        <v>4</v>
      </c>
      <c r="D5" s="12">
        <v>7020204</v>
      </c>
      <c r="E5" s="3"/>
      <c r="F5" s="12"/>
    </row>
    <row r="6" spans="1:8" x14ac:dyDescent="0.3">
      <c r="A6" s="7">
        <v>6306</v>
      </c>
      <c r="B6" s="12" t="s">
        <v>3</v>
      </c>
      <c r="C6" s="14" t="s">
        <v>8</v>
      </c>
      <c r="D6" s="12">
        <v>8050117</v>
      </c>
      <c r="E6" s="28">
        <v>17481562</v>
      </c>
      <c r="F6" s="12"/>
    </row>
    <row r="7" spans="1:8" x14ac:dyDescent="0.3">
      <c r="A7" s="7">
        <v>6307</v>
      </c>
      <c r="B7" s="12" t="s">
        <v>5</v>
      </c>
      <c r="C7" s="14" t="s">
        <v>8</v>
      </c>
      <c r="D7" s="12">
        <v>8050118</v>
      </c>
      <c r="E7" s="29">
        <v>21694582</v>
      </c>
      <c r="F7" s="12"/>
    </row>
    <row r="8" spans="1:8" x14ac:dyDescent="0.3">
      <c r="A8" s="7">
        <v>6308</v>
      </c>
      <c r="B8" s="12" t="s">
        <v>6</v>
      </c>
      <c r="C8" s="14" t="s">
        <v>8</v>
      </c>
      <c r="D8" s="12">
        <v>8050119</v>
      </c>
      <c r="E8" s="31">
        <v>1126679</v>
      </c>
      <c r="F8" s="12"/>
    </row>
    <row r="9" spans="1:8" x14ac:dyDescent="0.3">
      <c r="A9" s="7">
        <v>6326</v>
      </c>
      <c r="B9" s="12" t="s">
        <v>7</v>
      </c>
      <c r="C9" s="14" t="s">
        <v>8</v>
      </c>
      <c r="D9" s="12">
        <v>8050121</v>
      </c>
      <c r="E9" s="3"/>
      <c r="F9" s="12"/>
    </row>
    <row r="10" spans="1:8" x14ac:dyDescent="0.3">
      <c r="A10" s="7">
        <v>6306</v>
      </c>
      <c r="B10" s="12"/>
      <c r="C10" s="14" t="s">
        <v>9</v>
      </c>
      <c r="D10" s="12"/>
      <c r="E10" s="28">
        <v>0</v>
      </c>
      <c r="F10" s="12"/>
    </row>
    <row r="11" spans="1:8" x14ac:dyDescent="0.3">
      <c r="A11" s="7">
        <v>6307</v>
      </c>
      <c r="B11" s="12"/>
      <c r="C11" s="14" t="s">
        <v>9</v>
      </c>
      <c r="D11" s="12"/>
      <c r="E11" s="29">
        <v>0</v>
      </c>
      <c r="F11" s="12"/>
    </row>
    <row r="12" spans="1:8" x14ac:dyDescent="0.3">
      <c r="A12" s="7">
        <v>6308</v>
      </c>
      <c r="B12" s="12"/>
      <c r="C12" s="14" t="s">
        <v>9</v>
      </c>
      <c r="D12" s="12"/>
      <c r="E12" s="31">
        <v>0</v>
      </c>
      <c r="F12" s="12"/>
    </row>
    <row r="13" spans="1:8" x14ac:dyDescent="0.3">
      <c r="A13" s="7">
        <v>6326</v>
      </c>
      <c r="B13" s="12"/>
      <c r="C13" s="14" t="s">
        <v>9</v>
      </c>
      <c r="D13" s="12"/>
      <c r="E13" s="3"/>
      <c r="F13" s="12"/>
    </row>
    <row r="14" spans="1:8" x14ac:dyDescent="0.3">
      <c r="A14" s="7">
        <v>6301</v>
      </c>
      <c r="B14" s="12" t="s">
        <v>3</v>
      </c>
      <c r="C14" s="14" t="s">
        <v>10</v>
      </c>
      <c r="D14" s="12">
        <v>8050101</v>
      </c>
      <c r="E14" s="28">
        <v>11391516</v>
      </c>
      <c r="F14" s="12"/>
    </row>
    <row r="15" spans="1:8" x14ac:dyDescent="0.3">
      <c r="A15" s="7">
        <v>6302</v>
      </c>
      <c r="B15" s="12" t="s">
        <v>5</v>
      </c>
      <c r="C15" s="14" t="s">
        <v>10</v>
      </c>
      <c r="D15" s="12">
        <v>8050102</v>
      </c>
      <c r="E15" s="29">
        <v>31628122</v>
      </c>
      <c r="F15" s="12"/>
    </row>
    <row r="16" spans="1:8" x14ac:dyDescent="0.3">
      <c r="A16" s="7">
        <v>6303</v>
      </c>
      <c r="B16" s="12" t="s">
        <v>6</v>
      </c>
      <c r="C16" s="14" t="s">
        <v>10</v>
      </c>
      <c r="D16" s="12">
        <v>8050106</v>
      </c>
      <c r="E16" s="31">
        <v>319200</v>
      </c>
      <c r="F16" s="12"/>
    </row>
    <row r="17" spans="1:6" x14ac:dyDescent="0.3">
      <c r="A17" s="7">
        <v>6327</v>
      </c>
      <c r="B17" s="12" t="s">
        <v>7</v>
      </c>
      <c r="C17" s="14" t="s">
        <v>10</v>
      </c>
      <c r="D17" s="12">
        <v>8050120</v>
      </c>
      <c r="E17" s="3"/>
      <c r="F17" s="12"/>
    </row>
    <row r="18" spans="1:6" x14ac:dyDescent="0.3">
      <c r="A18" s="7">
        <v>5211</v>
      </c>
      <c r="B18" s="12" t="s">
        <v>3</v>
      </c>
      <c r="C18" s="14" t="s">
        <v>11</v>
      </c>
      <c r="D18" s="12">
        <v>7020205</v>
      </c>
      <c r="E18" s="28">
        <v>2113354</v>
      </c>
      <c r="F18" s="12"/>
    </row>
    <row r="19" spans="1:6" x14ac:dyDescent="0.3">
      <c r="A19" s="7">
        <v>5211</v>
      </c>
      <c r="B19" s="12" t="s">
        <v>5</v>
      </c>
      <c r="C19" s="14" t="s">
        <v>11</v>
      </c>
      <c r="D19" s="12">
        <v>7020206</v>
      </c>
      <c r="E19" s="29">
        <v>2399540</v>
      </c>
      <c r="F19" s="12"/>
    </row>
    <row r="20" spans="1:6" x14ac:dyDescent="0.3">
      <c r="A20" s="7">
        <v>5213</v>
      </c>
      <c r="B20" s="12" t="s">
        <v>6</v>
      </c>
      <c r="C20" s="14" t="s">
        <v>11</v>
      </c>
      <c r="D20" s="12">
        <v>7020207</v>
      </c>
      <c r="E20" s="31">
        <v>253535</v>
      </c>
      <c r="F20" s="12"/>
    </row>
    <row r="21" spans="1:6" x14ac:dyDescent="0.3">
      <c r="A21" s="7">
        <v>5215</v>
      </c>
      <c r="B21" s="12" t="s">
        <v>7</v>
      </c>
      <c r="C21" s="14" t="s">
        <v>11</v>
      </c>
      <c r="D21" s="12">
        <v>7020208</v>
      </c>
      <c r="E21" s="12"/>
      <c r="F21" s="12"/>
    </row>
    <row r="22" spans="1:6" x14ac:dyDescent="0.3">
      <c r="A22" s="7">
        <v>2414</v>
      </c>
      <c r="B22" s="12" t="s">
        <v>12</v>
      </c>
      <c r="C22" s="12"/>
      <c r="D22" s="12">
        <v>3031302</v>
      </c>
      <c r="E22" s="12"/>
      <c r="F22" s="13">
        <v>14744693</v>
      </c>
    </row>
    <row r="23" spans="1:6" x14ac:dyDescent="0.3">
      <c r="A23" s="7">
        <v>2411</v>
      </c>
      <c r="B23" s="12" t="s">
        <v>14</v>
      </c>
      <c r="C23" s="12"/>
      <c r="D23" s="12">
        <v>3031204</v>
      </c>
      <c r="E23" s="12"/>
      <c r="F23" s="13">
        <v>144401605</v>
      </c>
    </row>
    <row r="24" spans="1:6" x14ac:dyDescent="0.3">
      <c r="A24" s="7">
        <v>2554</v>
      </c>
      <c r="B24" s="12" t="s">
        <v>15</v>
      </c>
      <c r="C24" s="12"/>
      <c r="D24" s="12">
        <v>3031505</v>
      </c>
      <c r="E24" s="12"/>
      <c r="F24" s="13"/>
    </row>
    <row r="25" spans="1:6" x14ac:dyDescent="0.3">
      <c r="A25" s="7">
        <v>2554</v>
      </c>
      <c r="B25" s="12" t="s">
        <v>16</v>
      </c>
      <c r="C25" s="12"/>
      <c r="D25" s="12">
        <v>3031501</v>
      </c>
      <c r="E25" s="12"/>
      <c r="F25" s="7">
        <v>36943422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C2B7-7F97-4C32-A0BB-3004DAE1D1EC}">
  <dimension ref="A1:F26"/>
  <sheetViews>
    <sheetView workbookViewId="0">
      <selection activeCell="F25" sqref="F25"/>
    </sheetView>
  </sheetViews>
  <sheetFormatPr baseColWidth="10" defaultColWidth="11.3984375" defaultRowHeight="14" x14ac:dyDescent="0.3"/>
  <cols>
    <col min="1" max="4" width="11.3984375" style="7"/>
    <col min="5" max="5" width="14.09765625" style="7" bestFit="1" customWidth="1"/>
    <col min="6" max="16384" width="11.3984375" style="7"/>
  </cols>
  <sheetData>
    <row r="1" spans="1:6" x14ac:dyDescent="0.3">
      <c r="B1" s="12"/>
      <c r="C1" s="12"/>
      <c r="D1" s="12"/>
      <c r="E1" s="27">
        <f>SUM(E2:E25)</f>
        <v>88032281</v>
      </c>
      <c r="F1" s="27">
        <f>SUM(F2:F26)</f>
        <v>88032281</v>
      </c>
    </row>
    <row r="2" spans="1:6" x14ac:dyDescent="0.3">
      <c r="A2" s="7">
        <v>5011</v>
      </c>
      <c r="B2" s="12" t="s">
        <v>3</v>
      </c>
      <c r="C2" s="14" t="s">
        <v>4</v>
      </c>
      <c r="D2" s="12">
        <v>7020201</v>
      </c>
      <c r="E2" s="28">
        <v>49765265</v>
      </c>
      <c r="F2" s="30"/>
    </row>
    <row r="3" spans="1:6" x14ac:dyDescent="0.3">
      <c r="A3" s="7">
        <v>5012</v>
      </c>
      <c r="B3" s="12" t="s">
        <v>5</v>
      </c>
      <c r="C3" s="14" t="s">
        <v>4</v>
      </c>
      <c r="D3" s="12">
        <v>7020202</v>
      </c>
      <c r="E3" s="29">
        <v>800000</v>
      </c>
      <c r="F3" s="30"/>
    </row>
    <row r="4" spans="1:6" x14ac:dyDescent="0.3">
      <c r="A4" s="7">
        <v>5013</v>
      </c>
      <c r="B4" s="12" t="s">
        <v>6</v>
      </c>
      <c r="C4" s="14" t="s">
        <v>4</v>
      </c>
      <c r="D4" s="12">
        <v>7020203</v>
      </c>
      <c r="E4" s="31">
        <v>2010093</v>
      </c>
      <c r="F4" s="30"/>
    </row>
    <row r="5" spans="1:6" x14ac:dyDescent="0.3">
      <c r="A5" s="7">
        <v>5015</v>
      </c>
      <c r="B5" s="12" t="s">
        <v>7</v>
      </c>
      <c r="C5" s="14" t="s">
        <v>4</v>
      </c>
      <c r="D5" s="12">
        <v>7020204</v>
      </c>
      <c r="E5" s="3">
        <v>0</v>
      </c>
      <c r="F5" s="30"/>
    </row>
    <row r="6" spans="1:6" x14ac:dyDescent="0.3">
      <c r="A6" s="7">
        <v>6306</v>
      </c>
      <c r="B6" s="12" t="s">
        <v>3</v>
      </c>
      <c r="C6" s="14" t="s">
        <v>8</v>
      </c>
      <c r="D6" s="12">
        <v>8050117</v>
      </c>
      <c r="E6" s="28">
        <v>18845134</v>
      </c>
      <c r="F6" s="30"/>
    </row>
    <row r="7" spans="1:6" x14ac:dyDescent="0.3">
      <c r="A7" s="7">
        <v>6307</v>
      </c>
      <c r="B7" s="12" t="s">
        <v>5</v>
      </c>
      <c r="C7" s="14" t="s">
        <v>8</v>
      </c>
      <c r="D7" s="12">
        <v>8050118</v>
      </c>
      <c r="E7" s="29">
        <v>0</v>
      </c>
      <c r="F7" s="30"/>
    </row>
    <row r="8" spans="1:6" x14ac:dyDescent="0.3">
      <c r="A8" s="7">
        <v>6308</v>
      </c>
      <c r="B8" s="12" t="s">
        <v>6</v>
      </c>
      <c r="C8" s="14" t="s">
        <v>8</v>
      </c>
      <c r="D8" s="12">
        <v>8050119</v>
      </c>
      <c r="E8" s="31">
        <v>891590</v>
      </c>
      <c r="F8" s="30"/>
    </row>
    <row r="9" spans="1:6" x14ac:dyDescent="0.3">
      <c r="A9" s="7">
        <v>6326</v>
      </c>
      <c r="B9" s="12" t="s">
        <v>7</v>
      </c>
      <c r="C9" s="14" t="s">
        <v>8</v>
      </c>
      <c r="D9" s="12">
        <v>8050121</v>
      </c>
      <c r="E9" s="3">
        <v>0</v>
      </c>
      <c r="F9" s="30"/>
    </row>
    <row r="10" spans="1:6" x14ac:dyDescent="0.3">
      <c r="A10" s="7">
        <v>6306</v>
      </c>
      <c r="B10" s="12"/>
      <c r="C10" s="14" t="s">
        <v>9</v>
      </c>
      <c r="D10" s="12"/>
      <c r="E10" s="28">
        <v>0</v>
      </c>
      <c r="F10" s="30"/>
    </row>
    <row r="11" spans="1:6" x14ac:dyDescent="0.3">
      <c r="A11" s="7">
        <v>6307</v>
      </c>
      <c r="B11" s="12"/>
      <c r="C11" s="14" t="s">
        <v>9</v>
      </c>
      <c r="D11" s="12"/>
      <c r="E11" s="29">
        <v>0</v>
      </c>
      <c r="F11" s="30"/>
    </row>
    <row r="12" spans="1:6" x14ac:dyDescent="0.3">
      <c r="A12" s="7">
        <v>6308</v>
      </c>
      <c r="B12" s="12"/>
      <c r="C12" s="14" t="s">
        <v>9</v>
      </c>
      <c r="D12" s="12"/>
      <c r="E12" s="31">
        <v>0</v>
      </c>
      <c r="F12" s="30"/>
    </row>
    <row r="13" spans="1:6" x14ac:dyDescent="0.3">
      <c r="A13" s="7">
        <v>6326</v>
      </c>
      <c r="B13" s="12"/>
      <c r="C13" s="14" t="s">
        <v>9</v>
      </c>
      <c r="D13" s="12"/>
      <c r="E13" s="3">
        <v>0</v>
      </c>
      <c r="F13" s="30"/>
    </row>
    <row r="14" spans="1:6" x14ac:dyDescent="0.3">
      <c r="A14" s="7">
        <v>6301</v>
      </c>
      <c r="B14" s="12" t="s">
        <v>3</v>
      </c>
      <c r="C14" s="14" t="s">
        <v>10</v>
      </c>
      <c r="D14" s="12">
        <v>8050101</v>
      </c>
      <c r="E14" s="28">
        <v>13093345</v>
      </c>
      <c r="F14" s="30"/>
    </row>
    <row r="15" spans="1:6" x14ac:dyDescent="0.3">
      <c r="A15" s="7">
        <v>6302</v>
      </c>
      <c r="B15" s="12" t="s">
        <v>5</v>
      </c>
      <c r="C15" s="14" t="s">
        <v>10</v>
      </c>
      <c r="D15" s="12">
        <v>8050102</v>
      </c>
      <c r="E15" s="29">
        <v>0</v>
      </c>
      <c r="F15" s="30"/>
    </row>
    <row r="16" spans="1:6" x14ac:dyDescent="0.3">
      <c r="A16" s="7">
        <v>6303</v>
      </c>
      <c r="B16" s="12" t="s">
        <v>6</v>
      </c>
      <c r="C16" s="14" t="s">
        <v>10</v>
      </c>
      <c r="D16" s="12">
        <v>8050106</v>
      </c>
      <c r="E16" s="31">
        <v>389446</v>
      </c>
      <c r="F16" s="30"/>
    </row>
    <row r="17" spans="1:6" x14ac:dyDescent="0.3">
      <c r="A17" s="7">
        <v>6327</v>
      </c>
      <c r="B17" s="12" t="s">
        <v>7</v>
      </c>
      <c r="C17" s="14" t="s">
        <v>10</v>
      </c>
      <c r="D17" s="12">
        <v>8050120</v>
      </c>
      <c r="E17" s="3"/>
      <c r="F17" s="30"/>
    </row>
    <row r="18" spans="1:6" x14ac:dyDescent="0.3">
      <c r="A18" s="7">
        <v>5211</v>
      </c>
      <c r="B18" s="12" t="s">
        <v>3</v>
      </c>
      <c r="C18" s="14" t="s">
        <v>11</v>
      </c>
      <c r="D18" s="12">
        <v>7020205</v>
      </c>
      <c r="E18" s="28">
        <v>2113354</v>
      </c>
      <c r="F18" s="30"/>
    </row>
    <row r="19" spans="1:6" x14ac:dyDescent="0.3">
      <c r="A19" s="7">
        <v>5211</v>
      </c>
      <c r="B19" s="12" t="s">
        <v>5</v>
      </c>
      <c r="C19" s="14" t="s">
        <v>11</v>
      </c>
      <c r="D19" s="12">
        <v>7020206</v>
      </c>
      <c r="E19" s="29">
        <v>0</v>
      </c>
      <c r="F19" s="30"/>
    </row>
    <row r="20" spans="1:6" x14ac:dyDescent="0.3">
      <c r="A20" s="7">
        <v>5213</v>
      </c>
      <c r="B20" s="12" t="s">
        <v>6</v>
      </c>
      <c r="C20" s="14" t="s">
        <v>11</v>
      </c>
      <c r="D20" s="12">
        <v>7020207</v>
      </c>
      <c r="E20" s="31">
        <v>124054</v>
      </c>
      <c r="F20" s="30"/>
    </row>
    <row r="21" spans="1:6" x14ac:dyDescent="0.3">
      <c r="A21" s="7">
        <v>5215</v>
      </c>
      <c r="B21" s="12" t="s">
        <v>7</v>
      </c>
      <c r="C21" s="14" t="s">
        <v>11</v>
      </c>
      <c r="D21" s="12">
        <v>7020208</v>
      </c>
      <c r="E21" s="30"/>
      <c r="F21" s="30"/>
    </row>
    <row r="22" spans="1:6" x14ac:dyDescent="0.3">
      <c r="A22" s="7">
        <v>2414</v>
      </c>
      <c r="B22" s="12" t="s">
        <v>12</v>
      </c>
      <c r="C22" s="12"/>
      <c r="D22" s="12">
        <v>3031302</v>
      </c>
      <c r="E22" s="30"/>
      <c r="F22" s="30">
        <v>13690227</v>
      </c>
    </row>
    <row r="23" spans="1:6" x14ac:dyDescent="0.3">
      <c r="A23" s="7">
        <v>2411</v>
      </c>
      <c r="B23" s="12" t="s">
        <v>14</v>
      </c>
      <c r="C23" s="12"/>
      <c r="D23" s="12">
        <v>3031204</v>
      </c>
      <c r="E23" s="30"/>
      <c r="F23" s="30">
        <v>58789176</v>
      </c>
    </row>
    <row r="24" spans="1:6" x14ac:dyDescent="0.3">
      <c r="A24" s="7">
        <v>2554</v>
      </c>
      <c r="B24" s="12" t="s">
        <v>15</v>
      </c>
      <c r="C24" s="12"/>
      <c r="D24" s="12">
        <v>3031505</v>
      </c>
      <c r="E24" s="30"/>
      <c r="F24" s="30"/>
    </row>
    <row r="25" spans="1:6" x14ac:dyDescent="0.3">
      <c r="A25" s="7">
        <v>2554</v>
      </c>
      <c r="B25" s="12" t="s">
        <v>16</v>
      </c>
      <c r="C25" s="12"/>
      <c r="D25" s="12">
        <v>3031501</v>
      </c>
      <c r="E25" s="30"/>
      <c r="F25" s="30">
        <v>7837686</v>
      </c>
    </row>
    <row r="26" spans="1:6" x14ac:dyDescent="0.3">
      <c r="A26">
        <v>2411</v>
      </c>
      <c r="B26" s="32" t="s">
        <v>17</v>
      </c>
      <c r="C26"/>
      <c r="D26" s="32">
        <v>3031204</v>
      </c>
      <c r="E26" s="3"/>
      <c r="F26" s="3">
        <v>7715192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1B7B-6908-495C-A5D7-D9584DC35C5D}">
  <sheetPr>
    <tabColor rgb="FFFFC000"/>
  </sheetPr>
  <dimension ref="A1:F28"/>
  <sheetViews>
    <sheetView zoomScaleNormal="100" workbookViewId="0">
      <selection activeCell="G16" sqref="G16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11" t="s">
        <v>18</v>
      </c>
      <c r="D1" s="11" t="s">
        <v>2</v>
      </c>
      <c r="E1" s="6">
        <f>SUM(E2:E27)</f>
        <v>90199043</v>
      </c>
      <c r="F1" s="6">
        <f>SUM(F2:F28)</f>
        <v>90199043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8">
        <v>51556832</v>
      </c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9">
        <v>100000</v>
      </c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33">
        <v>2062013</v>
      </c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34">
        <v>0</v>
      </c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8">
        <v>19578416</v>
      </c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9">
        <v>0</v>
      </c>
      <c r="F7" s="1"/>
    </row>
    <row r="8" spans="1:6" x14ac:dyDescent="0.3">
      <c r="A8" s="7">
        <v>8018</v>
      </c>
      <c r="B8" s="8" t="s">
        <v>19</v>
      </c>
      <c r="C8" s="9" t="s">
        <v>10</v>
      </c>
      <c r="D8" s="8">
        <v>8050122</v>
      </c>
      <c r="F8" s="1"/>
    </row>
    <row r="9" spans="1:6" x14ac:dyDescent="0.3">
      <c r="A9" s="7">
        <v>6308</v>
      </c>
      <c r="B9" s="8" t="s">
        <v>6</v>
      </c>
      <c r="C9" s="9" t="s">
        <v>8</v>
      </c>
      <c r="D9" s="8">
        <v>8050119</v>
      </c>
      <c r="E9" s="33">
        <v>913115</v>
      </c>
      <c r="F9" s="1"/>
    </row>
    <row r="10" spans="1:6" x14ac:dyDescent="0.3">
      <c r="A10" s="7">
        <v>6326</v>
      </c>
      <c r="B10" s="8" t="s">
        <v>7</v>
      </c>
      <c r="C10" s="9" t="s">
        <v>8</v>
      </c>
      <c r="D10" s="8">
        <v>8050121</v>
      </c>
      <c r="E10" s="2"/>
      <c r="F10" s="1"/>
    </row>
    <row r="11" spans="1:6" x14ac:dyDescent="0.3">
      <c r="B11" s="8"/>
      <c r="C11" s="9" t="s">
        <v>9</v>
      </c>
      <c r="D11" s="8"/>
      <c r="E11" s="28"/>
      <c r="F11" s="1"/>
    </row>
    <row r="12" spans="1:6" x14ac:dyDescent="0.3">
      <c r="B12" s="8"/>
      <c r="C12" s="9" t="s">
        <v>9</v>
      </c>
      <c r="D12" s="8"/>
      <c r="E12" s="29"/>
      <c r="F12" s="1"/>
    </row>
    <row r="13" spans="1:6" x14ac:dyDescent="0.3">
      <c r="B13" s="8"/>
      <c r="C13" s="9" t="s">
        <v>9</v>
      </c>
      <c r="D13" s="8"/>
      <c r="E13" s="33"/>
      <c r="F13" s="1"/>
    </row>
    <row r="14" spans="1:6" x14ac:dyDescent="0.3">
      <c r="B14" s="8"/>
      <c r="C14" s="9" t="s">
        <v>9</v>
      </c>
      <c r="D14" s="8"/>
      <c r="E14" s="2"/>
      <c r="F14" s="1"/>
    </row>
    <row r="15" spans="1:6" x14ac:dyDescent="0.3">
      <c r="A15" s="7">
        <v>6301</v>
      </c>
      <c r="B15" s="8" t="s">
        <v>3</v>
      </c>
      <c r="C15" s="9" t="s">
        <v>10</v>
      </c>
      <c r="D15" s="8">
        <v>8050101</v>
      </c>
      <c r="E15" s="28">
        <v>13088910</v>
      </c>
      <c r="F15" s="1"/>
    </row>
    <row r="16" spans="1:6" x14ac:dyDescent="0.3">
      <c r="A16" s="7">
        <v>6302</v>
      </c>
      <c r="B16" s="8" t="s">
        <v>5</v>
      </c>
      <c r="C16" s="9" t="s">
        <v>10</v>
      </c>
      <c r="D16" s="8">
        <v>8050102</v>
      </c>
      <c r="E16" s="29">
        <v>0</v>
      </c>
      <c r="F16" s="1"/>
    </row>
    <row r="17" spans="1:6" x14ac:dyDescent="0.3">
      <c r="A17" s="7">
        <v>6303</v>
      </c>
      <c r="B17" s="8" t="s">
        <v>6</v>
      </c>
      <c r="C17" s="9" t="s">
        <v>10</v>
      </c>
      <c r="D17" s="8">
        <v>8050106</v>
      </c>
      <c r="E17" s="33">
        <v>395784</v>
      </c>
      <c r="F17" s="1"/>
    </row>
    <row r="18" spans="1:6" x14ac:dyDescent="0.3">
      <c r="A18" s="7">
        <v>6327</v>
      </c>
      <c r="B18" s="8" t="s">
        <v>7</v>
      </c>
      <c r="C18" s="9" t="s">
        <v>10</v>
      </c>
      <c r="D18" s="8">
        <v>8050120</v>
      </c>
      <c r="E18" s="1"/>
      <c r="F18" s="1"/>
    </row>
    <row r="19" spans="1:6" x14ac:dyDescent="0.3">
      <c r="A19" s="7">
        <v>5211</v>
      </c>
      <c r="B19" s="8" t="s">
        <v>3</v>
      </c>
      <c r="C19" s="9" t="s">
        <v>11</v>
      </c>
      <c r="D19" s="8">
        <v>7020205</v>
      </c>
      <c r="E19" s="28">
        <v>2363354</v>
      </c>
      <c r="F19" s="1"/>
    </row>
    <row r="20" spans="1:6" x14ac:dyDescent="0.3">
      <c r="A20" s="7">
        <v>5211</v>
      </c>
      <c r="B20" s="8" t="s">
        <v>5</v>
      </c>
      <c r="C20" s="9" t="s">
        <v>11</v>
      </c>
      <c r="D20" s="8">
        <v>7020206</v>
      </c>
      <c r="E20" s="29">
        <v>0</v>
      </c>
      <c r="F20" s="1"/>
    </row>
    <row r="21" spans="1:6" x14ac:dyDescent="0.3">
      <c r="A21" s="7">
        <v>5213</v>
      </c>
      <c r="B21" s="8" t="s">
        <v>6</v>
      </c>
      <c r="C21" s="9" t="s">
        <v>11</v>
      </c>
      <c r="D21" s="8">
        <v>7020207</v>
      </c>
      <c r="E21" s="33">
        <v>140619</v>
      </c>
      <c r="F21" s="1"/>
    </row>
    <row r="22" spans="1:6" x14ac:dyDescent="0.3">
      <c r="A22" s="7">
        <v>5215</v>
      </c>
      <c r="B22" s="8" t="s">
        <v>7</v>
      </c>
      <c r="C22" s="9" t="s">
        <v>11</v>
      </c>
      <c r="D22" s="8">
        <v>7020208</v>
      </c>
      <c r="E22" s="1"/>
      <c r="F22" s="1"/>
    </row>
    <row r="23" spans="1:6" x14ac:dyDescent="0.3">
      <c r="A23" s="7">
        <v>2414</v>
      </c>
      <c r="B23" s="8" t="s">
        <v>12</v>
      </c>
      <c r="C23" s="8"/>
      <c r="D23" s="8">
        <v>3031302</v>
      </c>
      <c r="E23" s="1"/>
      <c r="F23" s="2">
        <v>13992865</v>
      </c>
    </row>
    <row r="24" spans="1:6" x14ac:dyDescent="0.3">
      <c r="A24" s="7">
        <v>2414</v>
      </c>
      <c r="B24" s="8" t="s">
        <v>13</v>
      </c>
      <c r="C24" s="8"/>
      <c r="D24" s="8">
        <v>8050305</v>
      </c>
      <c r="E24" s="1"/>
      <c r="F24" s="2"/>
    </row>
    <row r="25" spans="1:6" x14ac:dyDescent="0.3">
      <c r="A25" s="7">
        <v>2411</v>
      </c>
      <c r="B25" s="8" t="s">
        <v>14</v>
      </c>
      <c r="C25" s="8"/>
      <c r="D25" s="8">
        <v>3031204</v>
      </c>
      <c r="E25" s="1"/>
      <c r="F25" s="1">
        <v>68100432</v>
      </c>
    </row>
    <row r="26" spans="1:6" x14ac:dyDescent="0.3">
      <c r="A26" s="10">
        <v>2554</v>
      </c>
      <c r="B26" s="8" t="s">
        <v>15</v>
      </c>
      <c r="C26" s="8"/>
      <c r="D26" s="8">
        <v>3031505</v>
      </c>
      <c r="E26" s="1"/>
      <c r="F26" s="1"/>
    </row>
    <row r="27" spans="1:6" x14ac:dyDescent="0.3">
      <c r="A27" s="10">
        <v>2554</v>
      </c>
      <c r="B27" s="8" t="s">
        <v>16</v>
      </c>
      <c r="C27" s="8"/>
      <c r="D27" s="8">
        <v>3031501</v>
      </c>
      <c r="E27" s="1"/>
      <c r="F27" s="1">
        <v>8105746</v>
      </c>
    </row>
    <row r="28" spans="1:6" x14ac:dyDescent="0.3">
      <c r="A28" s="7">
        <v>2411</v>
      </c>
      <c r="B28" s="8" t="s">
        <v>17</v>
      </c>
      <c r="D28" s="8">
        <v>3031204</v>
      </c>
      <c r="E28" s="3"/>
      <c r="F28" s="3"/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1663-80B8-4F68-86CD-B9EFDEC93142}">
  <sheetPr>
    <tabColor rgb="FFFFC000"/>
  </sheetPr>
  <dimension ref="A1:G27"/>
  <sheetViews>
    <sheetView zoomScale="90" zoomScaleNormal="90" workbookViewId="0">
      <selection activeCell="E2" sqref="E2:G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7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7" x14ac:dyDescent="0.3">
      <c r="A2" s="7">
        <v>5011</v>
      </c>
      <c r="B2" s="8" t="s">
        <v>3</v>
      </c>
      <c r="C2" s="9" t="s">
        <v>4</v>
      </c>
      <c r="D2" s="8">
        <v>7020201</v>
      </c>
      <c r="E2" s="2"/>
      <c r="F2" s="1"/>
    </row>
    <row r="3" spans="1:7" x14ac:dyDescent="0.3">
      <c r="A3" s="7">
        <v>5012</v>
      </c>
      <c r="B3" s="8" t="s">
        <v>5</v>
      </c>
      <c r="C3" s="9" t="s">
        <v>4</v>
      </c>
      <c r="D3" s="8">
        <v>7020202</v>
      </c>
      <c r="E3" s="2"/>
      <c r="F3" s="1"/>
    </row>
    <row r="4" spans="1:7" x14ac:dyDescent="0.3">
      <c r="A4" s="7">
        <v>5013</v>
      </c>
      <c r="B4" s="8" t="s">
        <v>6</v>
      </c>
      <c r="C4" s="9" t="s">
        <v>4</v>
      </c>
      <c r="D4" s="8">
        <v>7020203</v>
      </c>
      <c r="E4" s="2"/>
      <c r="F4" s="1"/>
    </row>
    <row r="5" spans="1:7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7" x14ac:dyDescent="0.3">
      <c r="A6" s="7">
        <v>6306</v>
      </c>
      <c r="B6" s="8" t="s">
        <v>3</v>
      </c>
      <c r="C6" s="9" t="s">
        <v>8</v>
      </c>
      <c r="D6" s="8">
        <v>8050117</v>
      </c>
      <c r="E6" s="2"/>
      <c r="F6" s="1"/>
    </row>
    <row r="7" spans="1:7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7" x14ac:dyDescent="0.3">
      <c r="A8" s="7">
        <v>6308</v>
      </c>
      <c r="B8" s="8" t="s">
        <v>6</v>
      </c>
      <c r="C8" s="9" t="s">
        <v>8</v>
      </c>
      <c r="D8" s="8">
        <v>8050119</v>
      </c>
      <c r="E8" s="2"/>
      <c r="F8" s="1"/>
    </row>
    <row r="9" spans="1:7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7" x14ac:dyDescent="0.3">
      <c r="B10" s="8"/>
      <c r="C10" s="9" t="s">
        <v>9</v>
      </c>
      <c r="D10" s="8"/>
      <c r="E10" s="2"/>
      <c r="F10" s="1"/>
      <c r="G10" s="22"/>
    </row>
    <row r="11" spans="1:7" x14ac:dyDescent="0.3">
      <c r="B11" s="8"/>
      <c r="C11" s="9" t="s">
        <v>9</v>
      </c>
      <c r="D11" s="8"/>
      <c r="E11" s="2"/>
      <c r="F11" s="1"/>
    </row>
    <row r="12" spans="1:7" x14ac:dyDescent="0.3">
      <c r="B12" s="8"/>
      <c r="C12" s="9" t="s">
        <v>9</v>
      </c>
      <c r="D12" s="8"/>
      <c r="E12" s="2"/>
      <c r="F12" s="1"/>
      <c r="G12" s="22"/>
    </row>
    <row r="13" spans="1:7" x14ac:dyDescent="0.3">
      <c r="B13" s="8"/>
      <c r="C13" s="9" t="s">
        <v>9</v>
      </c>
      <c r="D13" s="8"/>
      <c r="E13" s="2"/>
      <c r="F13" s="1"/>
    </row>
    <row r="14" spans="1:7" x14ac:dyDescent="0.3">
      <c r="A14" s="7">
        <v>6301</v>
      </c>
      <c r="B14" s="8" t="s">
        <v>3</v>
      </c>
      <c r="C14" s="9" t="s">
        <v>10</v>
      </c>
      <c r="D14" s="8">
        <v>8050101</v>
      </c>
      <c r="E14" s="2"/>
      <c r="F14" s="1"/>
    </row>
    <row r="15" spans="1:7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7" x14ac:dyDescent="0.3">
      <c r="A16" s="7">
        <v>6303</v>
      </c>
      <c r="B16" s="8" t="s">
        <v>6</v>
      </c>
      <c r="C16" s="9" t="s">
        <v>10</v>
      </c>
      <c r="D16" s="8">
        <v>8050106</v>
      </c>
      <c r="E16" s="2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2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1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1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1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/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5990-C73B-4A24-BE0F-18156CAF6B9A}">
  <sheetPr>
    <tabColor rgb="FFFFC000"/>
  </sheetPr>
  <dimension ref="A1:F27"/>
  <sheetViews>
    <sheetView zoomScale="90" zoomScaleNormal="90" workbookViewId="0">
      <selection activeCell="E2" sqref="E2:F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1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1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1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/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791C-0839-4733-AC07-D3FD9364429E}">
  <sheetPr>
    <tabColor rgb="FFCCCCFF"/>
  </sheetPr>
  <dimension ref="A1:F27"/>
  <sheetViews>
    <sheetView workbookViewId="0">
      <selection activeCell="E2" sqref="E2:F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3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3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57BD-180C-4BCC-B5D1-715E065BD281}">
  <sheetPr>
    <tabColor rgb="FFCCCCFF"/>
  </sheetPr>
  <dimension ref="A1:F27"/>
  <sheetViews>
    <sheetView workbookViewId="0">
      <selection activeCell="E2" sqref="E2:F28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3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3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7F45-79BC-4D48-8031-4E80EE2CC637}">
  <sheetPr>
    <tabColor rgb="FFCCCCFF"/>
  </sheetPr>
  <dimension ref="A1:G27"/>
  <sheetViews>
    <sheetView workbookViewId="0">
      <selection activeCell="E2" sqref="E2:G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7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7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7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7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7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7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7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7" x14ac:dyDescent="0.3">
      <c r="A8" s="7">
        <v>6308</v>
      </c>
      <c r="B8" s="8" t="s">
        <v>6</v>
      </c>
      <c r="C8" s="9" t="s">
        <v>8</v>
      </c>
      <c r="D8" s="8">
        <v>8050119</v>
      </c>
      <c r="E8" s="23"/>
      <c r="F8" s="1"/>
      <c r="G8" s="22"/>
    </row>
    <row r="9" spans="1:7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7" x14ac:dyDescent="0.3">
      <c r="B10" s="8"/>
      <c r="C10" s="9" t="s">
        <v>9</v>
      </c>
      <c r="D10" s="8"/>
      <c r="E10" s="2"/>
      <c r="F10" s="1"/>
    </row>
    <row r="11" spans="1:7" x14ac:dyDescent="0.3">
      <c r="B11" s="8"/>
      <c r="C11" s="9" t="s">
        <v>9</v>
      </c>
      <c r="D11" s="8"/>
      <c r="E11" s="2"/>
      <c r="F11" s="1"/>
    </row>
    <row r="12" spans="1:7" x14ac:dyDescent="0.3">
      <c r="B12" s="8"/>
      <c r="C12" s="9" t="s">
        <v>9</v>
      </c>
      <c r="D12" s="8"/>
      <c r="E12" s="2"/>
      <c r="F12" s="1"/>
    </row>
    <row r="13" spans="1:7" x14ac:dyDescent="0.3">
      <c r="B13" s="8"/>
      <c r="C13" s="9" t="s">
        <v>9</v>
      </c>
      <c r="D13" s="8"/>
      <c r="E13" s="2"/>
      <c r="F13" s="1"/>
    </row>
    <row r="14" spans="1:7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7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7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3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D439-8398-4AFF-8427-55F6A3319BA0}">
  <sheetPr>
    <tabColor rgb="FFCCCCFF"/>
  </sheetPr>
  <dimension ref="A1:F27"/>
  <sheetViews>
    <sheetView zoomScale="90" zoomScaleNormal="90" workbookViewId="0">
      <selection activeCell="E2" sqref="E2:G28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01CB-A25F-4D77-BEFD-F092143C5F94}">
  <sheetPr>
    <tabColor rgb="FFCCCCFF"/>
  </sheetPr>
  <dimension ref="A1:F27"/>
  <sheetViews>
    <sheetView zoomScale="90" zoomScaleNormal="90" workbookViewId="0">
      <selection activeCell="E2" sqref="E2:G28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C200-0897-4018-93A2-6408335CA79B}">
  <sheetPr>
    <tabColor rgb="FFCCCCFF"/>
  </sheetPr>
  <dimension ref="A1:F27"/>
  <sheetViews>
    <sheetView zoomScale="90" zoomScaleNormal="90" workbookViewId="0">
      <selection activeCell="E2" sqref="E2:F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5F77-6CFF-4107-902A-3786BAD64414}">
  <sheetPr>
    <tabColor rgb="FFCCCCFF"/>
  </sheetPr>
  <dimension ref="A1:F27"/>
  <sheetViews>
    <sheetView zoomScale="90" zoomScaleNormal="90" workbookViewId="0">
      <selection activeCell="E2" sqref="E2:F28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DA19-77FB-46E1-B3F7-C866F17F0D15}">
  <dimension ref="A1:X31"/>
  <sheetViews>
    <sheetView tabSelected="1" zoomScale="90" zoomScaleNormal="90" workbookViewId="0">
      <selection activeCell="E10" sqref="E10"/>
    </sheetView>
  </sheetViews>
  <sheetFormatPr baseColWidth="10" defaultColWidth="11.3984375" defaultRowHeight="14" x14ac:dyDescent="0.3"/>
  <cols>
    <col min="1" max="4" width="11.3984375" style="7"/>
    <col min="5" max="6" width="15.8984375" style="7" bestFit="1" customWidth="1"/>
    <col min="7" max="23" width="14.69921875" style="7" customWidth="1"/>
    <col min="24" max="24" width="12.69921875" style="7" bestFit="1" customWidth="1"/>
    <col min="25" max="16384" width="11.3984375" style="7"/>
  </cols>
  <sheetData>
    <row r="1" spans="1:24" x14ac:dyDescent="0.3">
      <c r="A1" s="4" t="s">
        <v>0</v>
      </c>
      <c r="B1" s="5" t="s">
        <v>1</v>
      </c>
      <c r="C1" s="5"/>
      <c r="D1" s="5" t="s">
        <v>2</v>
      </c>
      <c r="E1" s="6">
        <f>SUM(E2:E28)</f>
        <v>474860568</v>
      </c>
      <c r="F1" s="6">
        <f>SUM(F2:F28)</f>
        <v>474860568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4" x14ac:dyDescent="0.3">
      <c r="A2" s="7">
        <v>5011</v>
      </c>
      <c r="B2" s="8" t="s">
        <v>3</v>
      </c>
      <c r="C2" s="9" t="s">
        <v>4</v>
      </c>
      <c r="D2" s="8">
        <v>7020201</v>
      </c>
      <c r="E2" s="16">
        <f>+'01'!E2+'02'!E2+'03'!E2+'04'!E2+'05'!E2+'06'!E2+'07'!E2+'08'!E2+'09'!E2+'10'!E2+'11'!E2+'12'!E2</f>
        <v>200852627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4" x14ac:dyDescent="0.3">
      <c r="A3" s="7">
        <v>5012</v>
      </c>
      <c r="B3" s="8" t="s">
        <v>5</v>
      </c>
      <c r="C3" s="9" t="s">
        <v>4</v>
      </c>
      <c r="D3" s="8">
        <v>7020202</v>
      </c>
      <c r="E3" s="16">
        <f>+'01'!E3+'02'!E3+'03'!E3+'04'!E3+'05'!E3+'06'!E3+'07'!E3+'08'!E3+'09'!E3+'10'!E3+'11'!E3+'12'!E3</f>
        <v>56091458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4" x14ac:dyDescent="0.3">
      <c r="A4" s="7">
        <v>5013</v>
      </c>
      <c r="B4" s="8" t="s">
        <v>6</v>
      </c>
      <c r="C4" s="9" t="s">
        <v>4</v>
      </c>
      <c r="D4" s="8">
        <v>7020203</v>
      </c>
      <c r="E4" s="16">
        <f>+'01'!E4+'02'!E4+'03'!E4+'04'!E4+'05'!E4+'06'!E4+'07'!E4+'08'!E4+'09'!E4+'10'!E4+'11'!E4+'12'!E4</f>
        <v>8247752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4" x14ac:dyDescent="0.3">
      <c r="A5" s="7">
        <v>5015</v>
      </c>
      <c r="B5" s="8" t="s">
        <v>7</v>
      </c>
      <c r="C5" s="9" t="s">
        <v>4</v>
      </c>
      <c r="D5" s="8">
        <v>7020204</v>
      </c>
      <c r="E5" s="16">
        <f>+'01'!E5+'02'!E5+'03'!E5+'04'!E5+'05'!E5+'06'!E5+'07'!E5+'08'!E5+'09'!E5+'10'!E5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4" x14ac:dyDescent="0.3">
      <c r="A6" s="7">
        <v>6306</v>
      </c>
      <c r="B6" s="8" t="s">
        <v>3</v>
      </c>
      <c r="C6" s="9" t="s">
        <v>8</v>
      </c>
      <c r="D6" s="8">
        <v>8050117</v>
      </c>
      <c r="E6" s="16">
        <f>+'01'!E6+'02'!E6+'03'!E6+'04'!E6+'05'!E6+'06'!E6+'07'!E6+'08'!E6+'09'!E6+'10'!E6+'11'!E6+'12'!E6</f>
        <v>90646402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2">
        <f>+E6+E10</f>
        <v>90646402</v>
      </c>
    </row>
    <row r="7" spans="1:24" x14ac:dyDescent="0.3">
      <c r="A7" s="7">
        <v>6307</v>
      </c>
      <c r="B7" s="8" t="s">
        <v>5</v>
      </c>
      <c r="C7" s="9" t="s">
        <v>8</v>
      </c>
      <c r="D7" s="8">
        <v>8050118</v>
      </c>
      <c r="E7" s="16">
        <f>+'01'!E7+'02'!E7+'03'!E7+'04'!E7+'05'!E7+'06'!E7+'07'!E7+'08'!E7+'09'!E7+'10'!E7</f>
        <v>21694582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2">
        <f>+E7+E11</f>
        <v>21694582</v>
      </c>
    </row>
    <row r="8" spans="1:24" x14ac:dyDescent="0.3">
      <c r="A8" s="7">
        <v>6308</v>
      </c>
      <c r="B8" s="8" t="s">
        <v>6</v>
      </c>
      <c r="C8" s="9" t="s">
        <v>8</v>
      </c>
      <c r="D8" s="8">
        <v>8050119</v>
      </c>
      <c r="E8" s="16">
        <f>+'01'!E8+'02'!E8+'03'!E8+'04'!E9+'05'!E8+'06'!E8+'07'!E8+'08'!E8+'09 reliq'!E8+'10'!E8+'11'!E8+'12'!E8</f>
        <v>4063697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2">
        <f>+E8+E12</f>
        <v>4063697</v>
      </c>
    </row>
    <row r="9" spans="1:24" x14ac:dyDescent="0.3">
      <c r="A9" s="7">
        <v>6326</v>
      </c>
      <c r="B9" s="8" t="s">
        <v>7</v>
      </c>
      <c r="C9" s="9" t="s">
        <v>8</v>
      </c>
      <c r="D9" s="8">
        <v>8050121</v>
      </c>
      <c r="E9" s="16">
        <f>+'01'!E9+'02'!E9+'03'!E9+'05'!E9+'06'!E9+'07'!E9+'08'!E9+'09'!E9+'10'!E9</f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4" x14ac:dyDescent="0.3">
      <c r="A10" s="7">
        <v>6306</v>
      </c>
      <c r="B10" s="8" t="s">
        <v>3</v>
      </c>
      <c r="C10" s="9" t="s">
        <v>9</v>
      </c>
      <c r="D10" s="8"/>
      <c r="E10" s="16">
        <f>+'01'!E10+'02'!E10+'03'!E10+'04'!E10+'05'!E10+'06'!E10+'07'!E10+'08'!E10+'09'!E10+'10'!E10</f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4" x14ac:dyDescent="0.3">
      <c r="A11" s="7">
        <v>6307</v>
      </c>
      <c r="B11" s="8" t="s">
        <v>5</v>
      </c>
      <c r="C11" s="9" t="s">
        <v>9</v>
      </c>
      <c r="D11" s="8"/>
      <c r="E11" s="16">
        <f>+'01'!E11+'02'!E11+'03'!E11+'04'!E11+'05'!E11+'06'!E11+'07'!E11+'08'!E11+'09'!E11+'10'!E11</f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4" x14ac:dyDescent="0.3">
      <c r="A12" s="7">
        <v>6308</v>
      </c>
      <c r="B12" s="8" t="s">
        <v>6</v>
      </c>
      <c r="C12" s="9" t="s">
        <v>9</v>
      </c>
      <c r="D12" s="8"/>
      <c r="E12" s="16">
        <f>+'01'!E12+'02'!E12+'03'!E12+'04'!E12+'05'!E12+'06'!E12+'07'!E12+'08'!E12+'09'!E12+'10'!E12</f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4" x14ac:dyDescent="0.3">
      <c r="A13" s="7">
        <v>6326</v>
      </c>
      <c r="B13" s="8" t="s">
        <v>7</v>
      </c>
      <c r="C13" s="9" t="s">
        <v>9</v>
      </c>
      <c r="D13" s="8"/>
      <c r="E13" s="16">
        <f>+'01'!E13+'02'!E13+'03'!E13+'04'!E13+'05'!E13+'06'!E13+'07'!E13+'08'!E13+'09'!E13+'10'!E13</f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4" x14ac:dyDescent="0.3">
      <c r="A14" s="7">
        <v>6301</v>
      </c>
      <c r="B14" s="8" t="s">
        <v>3</v>
      </c>
      <c r="C14" s="9" t="s">
        <v>10</v>
      </c>
      <c r="D14" s="8">
        <v>8050101</v>
      </c>
      <c r="E14" s="16">
        <f>+'01'!E14+'02'!E14+'03'!E14+'04'!E14+'05'!E14+'06'!E14+'07'!E14+'08'!E14+'09'!E14+'10'!E14+'11'!E14+'12'!E14</f>
        <v>35444763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4" x14ac:dyDescent="0.3">
      <c r="A15" s="7">
        <v>6302</v>
      </c>
      <c r="B15" s="8" t="s">
        <v>5</v>
      </c>
      <c r="C15" s="9" t="s">
        <v>10</v>
      </c>
      <c r="D15" s="8">
        <v>8050102</v>
      </c>
      <c r="E15" s="16">
        <f>+'01'!E15+'02'!E15+'03'!E15+'04'!E15+'05'!E15+'06'!E15+'07'!E15+'08'!E15+'09'!E15+'10'!E15</f>
        <v>44717032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4" x14ac:dyDescent="0.3">
      <c r="A16" s="7">
        <v>6303</v>
      </c>
      <c r="B16" s="8" t="s">
        <v>6</v>
      </c>
      <c r="C16" s="9" t="s">
        <v>10</v>
      </c>
      <c r="D16" s="8">
        <v>8050106</v>
      </c>
      <c r="E16" s="16">
        <f>+'01'!E16+'02'!E16+'03'!E16+'04'!E16+'05'!E16+'06'!E16+'07'!E16+'08'!E16+'09'!E16+'10'!E16+'11'!E16+'12'!E16</f>
        <v>961253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7">
        <v>6327</v>
      </c>
      <c r="B17" s="8" t="s">
        <v>7</v>
      </c>
      <c r="C17" s="9" t="s">
        <v>10</v>
      </c>
      <c r="D17" s="8">
        <v>8050120</v>
      </c>
      <c r="E17" s="16">
        <f>+'01'!E17+'02'!E17+'03'!E17+'04'!E17+'05'!E17+'06'!E17+'07'!E17+'08'!E17+'09'!E17+'10'!E17</f>
        <v>395784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7">
        <v>5211</v>
      </c>
      <c r="B18" s="8" t="s">
        <v>3</v>
      </c>
      <c r="C18" s="9" t="s">
        <v>11</v>
      </c>
      <c r="D18" s="8">
        <v>7020205</v>
      </c>
      <c r="E18" s="16">
        <f>+'01'!E18+'02'!E18+'03'!E18+'04'!E18+'05'!E18+'06'!E18+'07'!E18+'08'!E18+'09'!E18+'10'!E18+'11'!E18+'12'!E18</f>
        <v>6340062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7">
        <v>5211</v>
      </c>
      <c r="B19" s="8" t="s">
        <v>5</v>
      </c>
      <c r="C19" s="9" t="s">
        <v>11</v>
      </c>
      <c r="D19" s="8">
        <v>7020206</v>
      </c>
      <c r="E19" s="16">
        <f>+'01'!E19+'02'!E19+'03'!E19+'04'!E19+'05'!E19+'06'!E19+'07'!E19+'08'!E19+'09'!E19+'10'!E19</f>
        <v>4762894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7">
        <v>5213</v>
      </c>
      <c r="B20" s="8" t="s">
        <v>6</v>
      </c>
      <c r="C20" s="9" t="s">
        <v>11</v>
      </c>
      <c r="D20" s="8">
        <v>7020207</v>
      </c>
      <c r="E20" s="16">
        <f>+'01'!E20+'02'!E20+'03'!E20+'04'!E20+'05'!E20+'06'!E20+'07'!E20+'08'!E20+'09'!E20+'10'!E20+'11'!E20+'12'!E20</f>
        <v>501643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7">
        <v>5215</v>
      </c>
      <c r="B21" s="8" t="s">
        <v>7</v>
      </c>
      <c r="C21" s="9" t="s">
        <v>11</v>
      </c>
      <c r="D21" s="8">
        <v>7020208</v>
      </c>
      <c r="E21" s="16">
        <f>+'01'!E21+'02'!E21+'03'!E21+'04'!E21+'05'!E21+'06'!E21+'07'!E21+'08'!E21+'09'!E21+'10'!E21</f>
        <v>140619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7">
        <v>8018</v>
      </c>
      <c r="B22" s="8" t="s">
        <v>19</v>
      </c>
      <c r="C22" s="9" t="s">
        <v>10</v>
      </c>
      <c r="D22" s="8">
        <v>8050122</v>
      </c>
      <c r="E22" s="16">
        <f>+'01'!E22+'02'!E22+'03'!E22+'04'!E22+'05'!E22+'06'!E22+'07'!E22+'08'!E22+'09'!E22+'10'!E22</f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7">
        <v>2414</v>
      </c>
      <c r="B23" s="8" t="s">
        <v>12</v>
      </c>
      <c r="C23" s="8"/>
      <c r="D23" s="8">
        <v>3031302</v>
      </c>
      <c r="E23" s="17"/>
      <c r="F23" s="2">
        <f>+'01'!F22+'02'!F22+'03'!F22+'04'!F23+'05'!F22+'06'!F22+'07'!F22+'08'!F22+'09 reliq'!F22+'10'!F22+'11'!F22+'12'!F22</f>
        <v>56071878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7">
        <v>2411</v>
      </c>
      <c r="B24" s="8" t="s">
        <v>14</v>
      </c>
      <c r="C24" s="8"/>
      <c r="D24" s="8">
        <v>3031204</v>
      </c>
      <c r="E24" s="1"/>
      <c r="F24" s="2">
        <f>+'01'!F23+'02'!F23+'03'!F23+'04'!F24+'05'!F23+'06'!F23+'07'!F23+'08'!F23+'09 reliq'!F23+'10'!F23+'11'!F23</f>
        <v>278439938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10">
        <v>2554</v>
      </c>
      <c r="B25" s="8" t="s">
        <v>15</v>
      </c>
      <c r="C25" s="8"/>
      <c r="D25" s="8">
        <v>3031505</v>
      </c>
      <c r="E25" s="1"/>
      <c r="F25" s="2">
        <f>+'01'!F24+'02'!F24+'03'!F24+'04'!F25+'05'!F24+'06'!F24+'07'!F24+'08'!F24+'09 reliq'!F24+'10'!F24+'11'!F24+'12'!F24</f>
        <v>68100432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0">
        <v>2554</v>
      </c>
      <c r="B26" s="8" t="s">
        <v>16</v>
      </c>
      <c r="C26" s="8"/>
      <c r="D26" s="8">
        <v>3031501</v>
      </c>
      <c r="E26" s="1"/>
      <c r="F26" s="2">
        <f>+'01'!F25+'02'!F25+'03'!F25+'04'!F26+'05'!F25+'06'!F25+'07'!F25+'08'!F25+'09 reliq'!F25+'10'!F25+'11'!F25+'12'!F25</f>
        <v>56427382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7">
        <v>2411</v>
      </c>
      <c r="B27" s="8" t="s">
        <v>17</v>
      </c>
      <c r="D27" s="8">
        <v>3031204</v>
      </c>
      <c r="E27" s="1"/>
      <c r="F27" s="2">
        <f>+'01'!F26+'02'!F26+'03'!F26+'04'!F27+'05'!F26+'06'!F26+'07'!F26+'08'!F26+'09 reliq'!F26+'10'!F26+'11'!F26+'12'!F26</f>
        <v>15820938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B28" s="8"/>
      <c r="D28" s="8"/>
      <c r="E28" s="3"/>
      <c r="F28" s="2">
        <f>+'01'!F27+'02'!F27+'03'!F27+'04'!F28+'05'!F27+'06'!F27+'07'!F27+'08'!F27+'09 reliq'!F27+'10'!F27+'12'!F27</f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30" spans="1:23" x14ac:dyDescent="0.3">
      <c r="E30" s="15">
        <f>+'01'!E1+'02'!E1+'03'!E1+'04'!E1+'05'!E1+'06'!E1+'07'!E1+'08'!E1+'09 reliq'!E1+'10'!E1+'11'!E1+'12'!E1</f>
        <v>474860568</v>
      </c>
      <c r="F30" s="15">
        <f>+'01'!F1+'02'!F1+'03'!F1+'04'!F1+'05'!F1+'06'!F1+'07'!F1+'08'!F1+'09 reliq'!F1+'10'!F1+'11'!F1+'12'!F1</f>
        <v>474860568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x14ac:dyDescent="0.3">
      <c r="E31" s="15">
        <f>E30-E1</f>
        <v>0</v>
      </c>
      <c r="F31" s="15">
        <f>F30-F1</f>
        <v>0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829CF8-CBAF-40EF-B40E-F46A107742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313BBE-A845-423E-9CA4-229CCE2B83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9B7F03-986E-4591-B26C-43C51786376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Centros de costos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09 reliq</vt:lpstr>
      <vt:lpstr>10</vt:lpstr>
      <vt:lpstr>11</vt:lpstr>
      <vt:lpstr>12</vt:lpstr>
      <vt:lpstr>acum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2025-06-24T20:41:20Z</dcterms:created>
  <dcterms:modified xsi:type="dcterms:W3CDTF">2026-04-29T21:45:03Z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