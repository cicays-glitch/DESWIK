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46" documentId="13_ncr:1_{2F4B375A-775F-459A-9062-E91BD53EC2B9}" xr6:coauthVersionLast="47" xr6:coauthVersionMax="47" xr10:uidLastSave="{E33C5D99-5BC0-4AF6-960F-84A606C502FF}"/>
  <bookViews>
    <workbookView xWindow="20525" yWindow="-107" windowWidth="20848" windowHeight="11111" xr2:uid="{00000000-000D-0000-FFFF-FFFF00000000}"/>
  </bookViews>
  <sheets>
    <sheet name="03.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41" i="1"/>
  <c r="H40" i="1"/>
  <c r="H39" i="1"/>
  <c r="H37" i="1"/>
  <c r="H36" i="1"/>
  <c r="H35" i="1"/>
  <c r="H33" i="1"/>
  <c r="H32" i="1"/>
  <c r="H31" i="1"/>
  <c r="H29" i="1"/>
  <c r="H28" i="1"/>
  <c r="H27" i="1"/>
  <c r="H25" i="1"/>
  <c r="I43" i="1"/>
  <c r="I47" i="1"/>
  <c r="I45" i="1"/>
  <c r="H24" i="1"/>
  <c r="I22" i="1"/>
  <c r="I21" i="1" s="1"/>
  <c r="H22" i="1" l="1"/>
  <c r="H21" i="1" s="1"/>
  <c r="AC22" i="1" l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Q18" i="1"/>
</calcChain>
</file>

<file path=xl/sharedStrings.xml><?xml version="1.0" encoding="utf-8"?>
<sst xmlns="http://schemas.openxmlformats.org/spreadsheetml/2006/main" count="304" uniqueCount="151">
  <si>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</si>
  <si>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</si>
  <si>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</si>
  <si>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</si>
  <si>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</si>
  <si>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</si>
  <si>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</si>
  <si>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</si>
  <si>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</si>
  <si>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</si>
  <si>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</si>
  <si>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</si>
  <si>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</si>
  <si>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</si>
  <si>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</si>
  <si>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</si>
  <si>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</si>
  <si>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</si>
  <si>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</si>
  <si>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</si>
  <si>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</si>
  <si>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AFP</t>
  </si>
  <si>
    <t>Seguro Cesantia Trabajador</t>
  </si>
  <si>
    <t>Salud 7% (Fonasa)</t>
  </si>
  <si>
    <t>Isapre</t>
  </si>
  <si>
    <t>Isapre sobre 7%</t>
  </si>
  <si>
    <t>APV (Régimen A)</t>
  </si>
  <si>
    <t>APV</t>
  </si>
  <si>
    <t>Impuestos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</si>
  <si>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</si>
  <si>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</si>
  <si>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</si>
  <si>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</si>
  <si>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</si>
  <si>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Expectativa de Vida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</si>
  <si>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</si>
  <si>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</si>
  <si>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</si>
  <si>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</si>
  <si>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</si>
  <si>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</si>
  <si>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</si>
  <si>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</si>
  <si>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</si>
  <si>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</si>
  <si>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</si>
  <si>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</si>
  <si>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</si>
  <si>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</si>
  <si>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</si>
  <si>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</si>
  <si>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</si>
  <si>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</si>
  <si>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</si>
  <si>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</si>
  <si>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</si>
  <si>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</si>
  <si>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</si>
  <si>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</si>
  <si>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</si>
  <si>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</si>
  <si>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</si>
  <si>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</si>
  <si>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</si>
  <si>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</si>
  <si>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</si>
  <si>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</si>
  <si>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</si>
  <si>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</si>
  <si>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</si>
  <si>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</si>
  <si>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</si>
  <si>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</si>
  <si>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</si>
  <si>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</si>
  <si>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</si>
  <si>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</si>
  <si>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</si>
  <si>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</si>
  <si>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</si>
  <si>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</si>
  <si>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</si>
  <si>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</si>
  <si>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</si>
  <si>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</si>
  <si>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</si>
  <si>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</si>
  <si>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</si>
  <si>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</si>
  <si>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</si>
  <si>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</si>
  <si>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</si>
  <si>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</si>
  <si>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</si>
  <si>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</si>
  <si>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</si>
  <si>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</si>
  <si>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</si>
  <si>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</si>
  <si>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20505480-4</t>
  </si>
  <si>
    <t>Renata Francisca</t>
  </si>
  <si>
    <t>Morales</t>
  </si>
  <si>
    <t>Melgarejo</t>
  </si>
  <si>
    <t>17/02/2026</t>
  </si>
  <si>
    <t>17/08/2026</t>
  </si>
  <si>
    <t>Consalud</t>
  </si>
  <si>
    <t>Mkt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</si>
  <si>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</si>
  <si>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</si>
  <si>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</si>
  <si>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</si>
  <si>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</si>
  <si>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</si>
  <si>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</si>
  <si>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</si>
  <si>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</si>
  <si>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</si>
  <si>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</si>
  <si>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</si>
  <si>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</si>
  <si>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</si>
  <si>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</si>
  <si>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</si>
  <si>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</si>
  <si>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</si>
  <si>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</si>
  <si>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</si>
  <si>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</si>
  <si>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</si>
  <si>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28794341-5</t>
  </si>
  <si>
    <t>Lucas Guilherme</t>
  </si>
  <si>
    <t>Cardoso</t>
  </si>
  <si>
    <t>Bittencourt</t>
  </si>
  <si>
    <t>01/11/2024</t>
  </si>
  <si>
    <t xml:space="preserve"> </t>
  </si>
  <si>
    <t>cta Deswik</t>
  </si>
  <si>
    <t>Remuneraciones Deswik mayo 2025</t>
  </si>
  <si>
    <t>cta magnus</t>
  </si>
  <si>
    <t>Salario</t>
  </si>
  <si>
    <t>Consulting</t>
  </si>
  <si>
    <t>Bono</t>
  </si>
  <si>
    <t>ISAPRE</t>
  </si>
  <si>
    <t>Admin</t>
  </si>
  <si>
    <t>Admin/Sales</t>
  </si>
  <si>
    <t>Support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</si>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</sst>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([$$-409]* #,##0_);_([$$-409]* \(#,##0\);_([$$-409]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545454"/>
      <name val="Trebuchet MS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b/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42" fontId="0" fillId="0" borderId="0" xfId="1" applyFont="1"/>
    <xf numFmtId="42" fontId="2" fillId="0" borderId="0" xfId="1" applyFont="1"/>
    <xf numFmtId="42" fontId="0" fillId="0" borderId="0" xfId="0" applyNumberFormat="1"/>
    <xf numFmtId="3" fontId="3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0" fontId="4" fillId="0" borderId="0" xfId="0" applyFont="1"/>
    <xf numFmtId="0" fontId="6" fillId="0" borderId="0" xfId="0" applyFont="1"/>
    <xf numFmtId="0" fontId="6" fillId="2" borderId="0" xfId="0" applyFont="1" applyFill="1"/>
    <xf numFmtId="41" fontId="7" fillId="3" borderId="0" xfId="2" applyFont="1" applyFill="1"/>
    <xf numFmtId="41" fontId="6" fillId="4" borderId="0" xfId="2" applyFont="1" applyFill="1"/>
    <xf numFmtId="41" fontId="7" fillId="5" borderId="0" xfId="2" applyFont="1" applyFill="1"/>
    <xf numFmtId="164" fontId="0" fillId="6" borderId="0" xfId="3" applyNumberFormat="1" applyFont="1" applyFill="1"/>
    <xf numFmtId="41" fontId="7" fillId="4" borderId="0" xfId="2" applyFont="1" applyFill="1"/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10" borderId="0" xfId="0" applyFont="1" applyFill="1"/>
    <xf numFmtId="41" fontId="0" fillId="4" borderId="0" xfId="2" applyFont="1" applyFill="1"/>
    <xf numFmtId="42" fontId="8" fillId="0" borderId="0" xfId="0" applyNumberFormat="1" applyFont="1"/>
    <xf numFmtId="164" fontId="0" fillId="4" borderId="0" xfId="3" applyNumberFormat="1" applyFont="1" applyFill="1"/>
  </cellXfs>
  <cellStyles count="4">
    <cellStyle name="Millares [0]" xfId="2" builtinId="6"/>
    <cellStyle name="Moneda [0]" xfId="1" builtinId="7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"/>
  <sheetViews>
    <sheetView showGridLines="0" tabSelected="1" topLeftCell="B22" workbookViewId="0">
      <selection activeCell="N30" sqref="N30"/>
    </sheetView>
  </sheetViews>
  <sheetFormatPr baseColWidth="10" defaultColWidth="8.8984375" defaultRowHeight="14" x14ac:dyDescent="0.3"/>
  <cols>
    <col min="8" max="8" width="14.69921875" customWidth="1"/>
    <col min="9" max="9" width="15.19921875" bestFit="1" customWidth="1"/>
    <col min="17" max="17" width="16.69921875" bestFit="1" customWidth="1"/>
    <col min="18" max="19" width="15.59765625" bestFit="1" customWidth="1"/>
    <col min="20" max="20" width="14" bestFit="1" customWidth="1"/>
    <col min="21" max="21" width="16.69921875" bestFit="1" customWidth="1"/>
    <col min="22" max="22" width="15.59765625" bestFit="1" customWidth="1"/>
    <col min="23" max="24" width="14" bestFit="1" customWidth="1"/>
    <col min="25" max="25" width="15.59765625" bestFit="1" customWidth="1"/>
    <col min="26" max="27" width="14" bestFit="1" customWidth="1"/>
    <col min="28" max="28" width="13" bestFit="1" customWidth="1"/>
    <col min="29" max="29" width="15.59765625" bestFit="1" customWidth="1"/>
    <col min="30" max="30" width="16.69921875" bestFit="1" customWidth="1"/>
    <col min="31" max="31" width="14" bestFit="1" customWidth="1"/>
    <col min="32" max="32" width="15.59765625" bestFit="1" customWidth="1"/>
    <col min="33" max="35" width="14" bestFit="1" customWidth="1"/>
    <col min="36" max="36" width="13" bestFit="1" customWidth="1"/>
    <col min="37" max="37" width="16.6992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I2" t="s">
        <v>44</v>
      </c>
      <c r="J2" t="s">
        <v>45</v>
      </c>
      <c r="K2">
        <v>6.93</v>
      </c>
      <c r="L2">
        <v>6231500</v>
      </c>
      <c r="M2" t="s">
        <v>46</v>
      </c>
      <c r="N2">
        <v>30</v>
      </c>
      <c r="O2">
        <v>0</v>
      </c>
      <c r="P2">
        <v>0</v>
      </c>
      <c r="Q2" s="1">
        <v>6231500</v>
      </c>
      <c r="R2" s="1">
        <v>213354</v>
      </c>
      <c r="S2" s="1">
        <v>150000</v>
      </c>
      <c r="T2" s="1">
        <v>0</v>
      </c>
      <c r="U2" s="1">
        <v>6594854</v>
      </c>
      <c r="V2" s="1">
        <v>410569</v>
      </c>
      <c r="W2" s="1">
        <v>32320</v>
      </c>
      <c r="X2" s="1">
        <v>0</v>
      </c>
      <c r="Y2" s="1">
        <v>251003</v>
      </c>
      <c r="Z2" s="1">
        <v>25259</v>
      </c>
      <c r="AA2" s="1">
        <v>0</v>
      </c>
      <c r="AB2" s="1">
        <v>0</v>
      </c>
      <c r="AC2" s="1">
        <v>578658</v>
      </c>
      <c r="AD2" s="1">
        <v>5297045</v>
      </c>
      <c r="AE2" s="1">
        <v>33348</v>
      </c>
      <c r="AF2" s="1">
        <v>86186</v>
      </c>
      <c r="AG2" s="1">
        <v>43093</v>
      </c>
      <c r="AH2" s="1">
        <v>55221</v>
      </c>
      <c r="AI2" s="1">
        <v>32272</v>
      </c>
      <c r="AJ2" s="1">
        <v>3586</v>
      </c>
      <c r="AK2" s="1">
        <v>6848560</v>
      </c>
    </row>
    <row r="3" spans="1:37" x14ac:dyDescent="0.3">
      <c r="A3" t="s">
        <v>37</v>
      </c>
      <c r="B3" t="s">
        <v>38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I3" t="s">
        <v>52</v>
      </c>
      <c r="J3" t="s">
        <v>53</v>
      </c>
      <c r="K3">
        <v>12.87</v>
      </c>
      <c r="L3">
        <v>6395833</v>
      </c>
      <c r="M3" t="s">
        <v>54</v>
      </c>
      <c r="N3">
        <v>30</v>
      </c>
      <c r="O3">
        <v>0</v>
      </c>
      <c r="P3">
        <v>0</v>
      </c>
      <c r="Q3" s="1">
        <v>6395833</v>
      </c>
      <c r="R3" s="1">
        <v>213354</v>
      </c>
      <c r="S3" s="1">
        <v>150000</v>
      </c>
      <c r="T3" s="1">
        <v>0</v>
      </c>
      <c r="U3" s="1">
        <v>6759187</v>
      </c>
      <c r="V3" s="1">
        <v>410210</v>
      </c>
      <c r="W3" s="1">
        <v>32320</v>
      </c>
      <c r="X3" s="1">
        <v>0</v>
      </c>
      <c r="Y3" s="1">
        <v>251003</v>
      </c>
      <c r="Z3" s="1">
        <v>261760</v>
      </c>
      <c r="AA3" s="1">
        <v>0</v>
      </c>
      <c r="AB3" s="1">
        <v>0</v>
      </c>
      <c r="AC3" s="1">
        <v>616537</v>
      </c>
      <c r="AD3" s="1">
        <v>5187357</v>
      </c>
      <c r="AE3" s="1">
        <v>33348</v>
      </c>
      <c r="AF3" s="1">
        <v>86186</v>
      </c>
      <c r="AG3" s="1">
        <v>43093</v>
      </c>
      <c r="AH3" s="1">
        <v>55221</v>
      </c>
      <c r="AI3" s="1">
        <v>32272</v>
      </c>
      <c r="AJ3" s="1">
        <v>3586</v>
      </c>
      <c r="AK3" s="1">
        <v>7012893</v>
      </c>
    </row>
    <row r="4" spans="1:37" x14ac:dyDescent="0.3">
      <c r="A4" t="s">
        <v>37</v>
      </c>
      <c r="B4" t="s">
        <v>38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53</v>
      </c>
      <c r="K4">
        <v>7.64</v>
      </c>
      <c r="L4">
        <v>5500000</v>
      </c>
      <c r="M4" t="s">
        <v>46</v>
      </c>
      <c r="N4">
        <v>30</v>
      </c>
      <c r="O4">
        <v>0</v>
      </c>
      <c r="P4">
        <v>0</v>
      </c>
      <c r="Q4" s="1">
        <v>5500000</v>
      </c>
      <c r="R4" s="1">
        <v>213354</v>
      </c>
      <c r="S4" s="1">
        <v>150000</v>
      </c>
      <c r="T4" s="1">
        <v>0</v>
      </c>
      <c r="U4" s="1">
        <v>5863354</v>
      </c>
      <c r="V4" s="1">
        <v>404115</v>
      </c>
      <c r="W4" s="1">
        <v>0</v>
      </c>
      <c r="X4" s="1">
        <v>0</v>
      </c>
      <c r="Y4" s="1">
        <v>251003</v>
      </c>
      <c r="Z4" s="1">
        <v>53388</v>
      </c>
      <c r="AA4" s="1">
        <v>0</v>
      </c>
      <c r="AB4" s="1">
        <v>0</v>
      </c>
      <c r="AC4" s="1">
        <v>419331</v>
      </c>
      <c r="AD4" s="1">
        <v>4735517</v>
      </c>
      <c r="AE4" s="1">
        <v>33348</v>
      </c>
      <c r="AF4" s="1">
        <v>150825</v>
      </c>
      <c r="AG4" s="1">
        <v>10773</v>
      </c>
      <c r="AH4" s="1">
        <v>55221</v>
      </c>
      <c r="AI4" s="1">
        <v>32272</v>
      </c>
      <c r="AJ4" s="1">
        <v>3586</v>
      </c>
      <c r="AK4" s="1">
        <v>6149379</v>
      </c>
    </row>
    <row r="5" spans="1:37" x14ac:dyDescent="0.3">
      <c r="A5" t="s">
        <v>37</v>
      </c>
      <c r="B5" t="s">
        <v>38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I5" t="s">
        <v>52</v>
      </c>
      <c r="J5" t="s">
        <v>67</v>
      </c>
      <c r="K5">
        <v>7.33</v>
      </c>
      <c r="L5">
        <v>7500000</v>
      </c>
      <c r="M5" t="s">
        <v>54</v>
      </c>
      <c r="N5">
        <v>30</v>
      </c>
      <c r="O5">
        <v>0</v>
      </c>
      <c r="P5">
        <v>0</v>
      </c>
      <c r="Q5" s="1">
        <v>7500000</v>
      </c>
      <c r="R5" s="1">
        <v>213354</v>
      </c>
      <c r="S5" s="1">
        <v>150000</v>
      </c>
      <c r="T5" s="1">
        <v>0</v>
      </c>
      <c r="U5" s="1">
        <v>7863354</v>
      </c>
      <c r="V5" s="1">
        <v>410210</v>
      </c>
      <c r="W5" s="1">
        <v>32320</v>
      </c>
      <c r="X5" s="1">
        <v>0</v>
      </c>
      <c r="Y5" s="1">
        <v>251003</v>
      </c>
      <c r="Z5" s="1">
        <v>41236</v>
      </c>
      <c r="AA5" s="1">
        <v>0</v>
      </c>
      <c r="AB5" s="1">
        <v>50000</v>
      </c>
      <c r="AC5" s="1">
        <v>920401</v>
      </c>
      <c r="AD5" s="1">
        <v>6158184</v>
      </c>
      <c r="AE5" s="1">
        <v>33348</v>
      </c>
      <c r="AF5" s="1">
        <v>86186</v>
      </c>
      <c r="AG5" s="1">
        <v>43093</v>
      </c>
      <c r="AH5" s="1">
        <v>55221</v>
      </c>
      <c r="AI5" s="1">
        <v>32272</v>
      </c>
      <c r="AJ5" s="1">
        <v>3586</v>
      </c>
      <c r="AK5" s="1">
        <v>8117060</v>
      </c>
    </row>
    <row r="6" spans="1:37" x14ac:dyDescent="0.3">
      <c r="A6" t="s">
        <v>37</v>
      </c>
      <c r="B6" t="s">
        <v>38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I6" t="s">
        <v>73</v>
      </c>
      <c r="J6" t="s">
        <v>74</v>
      </c>
      <c r="L6">
        <v>1500000</v>
      </c>
      <c r="M6" t="s">
        <v>46</v>
      </c>
      <c r="N6">
        <v>24</v>
      </c>
      <c r="O6">
        <v>17</v>
      </c>
      <c r="P6">
        <v>7</v>
      </c>
      <c r="Q6" s="1">
        <v>1200000</v>
      </c>
      <c r="R6" s="1">
        <v>163572</v>
      </c>
      <c r="S6" s="1">
        <v>150000</v>
      </c>
      <c r="T6" s="1">
        <v>0</v>
      </c>
      <c r="U6" s="1">
        <v>1513572</v>
      </c>
      <c r="V6" s="1">
        <v>160136</v>
      </c>
      <c r="W6" s="1">
        <v>9081</v>
      </c>
      <c r="X6" s="1">
        <v>105950</v>
      </c>
      <c r="Y6" s="1">
        <v>0</v>
      </c>
      <c r="Z6" s="1">
        <v>0</v>
      </c>
      <c r="AA6" s="1">
        <v>0</v>
      </c>
      <c r="AB6" s="1">
        <v>0</v>
      </c>
      <c r="AC6" s="1">
        <v>11796</v>
      </c>
      <c r="AD6" s="1">
        <v>1226609</v>
      </c>
      <c r="AE6" s="1">
        <v>14209</v>
      </c>
      <c r="AF6" s="1">
        <v>31322</v>
      </c>
      <c r="AG6" s="1">
        <v>15661</v>
      </c>
      <c r="AH6" s="1">
        <v>30147</v>
      </c>
      <c r="AI6" s="1">
        <v>17618</v>
      </c>
      <c r="AJ6" s="1">
        <v>1514</v>
      </c>
      <c r="AK6" s="1">
        <v>1624043</v>
      </c>
    </row>
    <row r="7" spans="1:37" ht="14.4" x14ac:dyDescent="0.3">
      <c r="A7" t="s">
        <v>37</v>
      </c>
      <c r="B7" t="s">
        <v>38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I7" t="s">
        <v>61</v>
      </c>
      <c r="J7" t="s">
        <v>67</v>
      </c>
      <c r="K7">
        <v>9.75</v>
      </c>
      <c r="L7">
        <v>6562600</v>
      </c>
      <c r="M7" t="s">
        <v>54</v>
      </c>
      <c r="N7">
        <v>30</v>
      </c>
      <c r="O7">
        <v>7</v>
      </c>
      <c r="P7">
        <v>0</v>
      </c>
      <c r="Q7" s="1">
        <v>6562600</v>
      </c>
      <c r="R7" s="1">
        <v>213354</v>
      </c>
      <c r="S7" s="1">
        <v>150000</v>
      </c>
      <c r="T7" s="1">
        <v>250000</v>
      </c>
      <c r="U7" s="1">
        <v>7175954</v>
      </c>
      <c r="V7" s="1">
        <v>404115</v>
      </c>
      <c r="W7" s="1">
        <v>32320</v>
      </c>
      <c r="X7" s="1">
        <v>0</v>
      </c>
      <c r="Y7" s="1">
        <v>251003</v>
      </c>
      <c r="Z7" s="1">
        <v>137294</v>
      </c>
      <c r="AA7" s="1">
        <v>159367</v>
      </c>
      <c r="AB7" s="1">
        <v>0</v>
      </c>
      <c r="AC7" s="1">
        <v>728485</v>
      </c>
      <c r="AD7" s="1">
        <v>5463370</v>
      </c>
      <c r="AE7" s="1">
        <v>33348</v>
      </c>
      <c r="AF7" s="1">
        <v>86186</v>
      </c>
      <c r="AG7" s="1">
        <v>43093</v>
      </c>
      <c r="AH7" s="1">
        <v>55221</v>
      </c>
      <c r="AI7" s="1">
        <v>32272</v>
      </c>
      <c r="AJ7" s="1">
        <v>3586</v>
      </c>
      <c r="AK7" s="1">
        <v>7429660</v>
      </c>
    </row>
    <row r="8" spans="1:37" x14ac:dyDescent="0.3">
      <c r="A8" t="s">
        <v>37</v>
      </c>
      <c r="B8" t="s">
        <v>38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I8" t="s">
        <v>73</v>
      </c>
      <c r="J8" t="s">
        <v>67</v>
      </c>
      <c r="K8">
        <v>6.89</v>
      </c>
      <c r="L8">
        <v>6825000</v>
      </c>
      <c r="M8" t="s">
        <v>54</v>
      </c>
      <c r="N8">
        <v>30</v>
      </c>
      <c r="O8">
        <v>0</v>
      </c>
      <c r="P8">
        <v>0</v>
      </c>
      <c r="Q8" s="1">
        <v>6825000</v>
      </c>
      <c r="R8" s="1">
        <v>213354</v>
      </c>
      <c r="S8" s="1">
        <v>150000</v>
      </c>
      <c r="T8" s="1">
        <v>550000</v>
      </c>
      <c r="U8" s="1">
        <v>7738354</v>
      </c>
      <c r="V8" s="1">
        <v>379373</v>
      </c>
      <c r="W8" s="1">
        <v>32320</v>
      </c>
      <c r="X8" s="1">
        <v>0</v>
      </c>
      <c r="Y8" s="1">
        <v>251003</v>
      </c>
      <c r="Z8" s="1">
        <v>23626</v>
      </c>
      <c r="AA8" s="1">
        <v>0</v>
      </c>
      <c r="AB8" s="1">
        <v>0</v>
      </c>
      <c r="AC8" s="1">
        <v>906976</v>
      </c>
      <c r="AD8" s="1">
        <v>6145056</v>
      </c>
      <c r="AE8" s="1">
        <v>33348</v>
      </c>
      <c r="AF8" s="1">
        <v>86186</v>
      </c>
      <c r="AG8" s="1">
        <v>43093</v>
      </c>
      <c r="AH8" s="1">
        <v>55221</v>
      </c>
      <c r="AI8" s="1">
        <v>32272</v>
      </c>
      <c r="AJ8" s="1">
        <v>3586</v>
      </c>
      <c r="AK8" s="1">
        <v>7992060</v>
      </c>
    </row>
    <row r="9" spans="1:37" ht="14.4" x14ac:dyDescent="0.3">
      <c r="A9" t="s">
        <v>37</v>
      </c>
      <c r="B9" t="s">
        <v>38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73</v>
      </c>
      <c r="J9" t="s">
        <v>91</v>
      </c>
      <c r="K9">
        <v>6.51</v>
      </c>
      <c r="L9">
        <v>5500000</v>
      </c>
      <c r="M9" t="s">
        <v>54</v>
      </c>
      <c r="N9">
        <v>30</v>
      </c>
      <c r="O9">
        <v>1</v>
      </c>
      <c r="P9">
        <v>0</v>
      </c>
      <c r="Q9" s="1">
        <v>5500000</v>
      </c>
      <c r="R9" s="1">
        <v>213354</v>
      </c>
      <c r="S9" s="1">
        <v>150000</v>
      </c>
      <c r="T9" s="1">
        <v>0</v>
      </c>
      <c r="U9" s="1">
        <v>5863354</v>
      </c>
      <c r="V9" s="1">
        <v>379373</v>
      </c>
      <c r="W9" s="1">
        <v>0</v>
      </c>
      <c r="X9" s="1">
        <v>0</v>
      </c>
      <c r="Y9" s="1">
        <v>251003</v>
      </c>
      <c r="Z9" s="1">
        <v>8526</v>
      </c>
      <c r="AA9" s="1">
        <v>0</v>
      </c>
      <c r="AB9" s="1">
        <v>0</v>
      </c>
      <c r="AC9" s="1">
        <v>425021</v>
      </c>
      <c r="AD9" s="1">
        <v>4799431</v>
      </c>
      <c r="AE9" s="1">
        <v>33348</v>
      </c>
      <c r="AF9" s="1">
        <v>150825</v>
      </c>
      <c r="AG9" s="1">
        <v>10773</v>
      </c>
      <c r="AH9" s="1">
        <v>55221</v>
      </c>
      <c r="AI9" s="1">
        <v>32272</v>
      </c>
      <c r="AJ9" s="1">
        <v>3586</v>
      </c>
      <c r="AK9" s="1">
        <v>6149379</v>
      </c>
    </row>
    <row r="10" spans="1:37" x14ac:dyDescent="0.3">
      <c r="A10" t="s">
        <v>37</v>
      </c>
      <c r="B10" t="s">
        <v>38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I10" t="s">
        <v>97</v>
      </c>
      <c r="J10" t="s">
        <v>74</v>
      </c>
      <c r="L10">
        <v>1750000</v>
      </c>
      <c r="M10" t="s">
        <v>98</v>
      </c>
      <c r="N10">
        <v>30</v>
      </c>
      <c r="O10">
        <v>0</v>
      </c>
      <c r="P10">
        <v>0</v>
      </c>
      <c r="Q10" s="1">
        <v>1750000</v>
      </c>
      <c r="R10" s="1">
        <v>213354</v>
      </c>
      <c r="S10" s="1">
        <v>150000</v>
      </c>
      <c r="T10" s="1">
        <v>0</v>
      </c>
      <c r="U10" s="1">
        <v>2113354</v>
      </c>
      <c r="V10" s="1">
        <v>221057</v>
      </c>
      <c r="W10" s="1">
        <v>12680</v>
      </c>
      <c r="X10" s="1">
        <v>147935</v>
      </c>
      <c r="Y10" s="1">
        <v>0</v>
      </c>
      <c r="Z10" s="1">
        <v>0</v>
      </c>
      <c r="AA10" s="1">
        <v>0</v>
      </c>
      <c r="AB10" s="1">
        <v>0</v>
      </c>
      <c r="AC10" s="1">
        <v>31527</v>
      </c>
      <c r="AD10" s="1">
        <v>1700155</v>
      </c>
      <c r="AE10" s="1">
        <v>19654</v>
      </c>
      <c r="AF10" s="1">
        <v>33814</v>
      </c>
      <c r="AG10" s="1">
        <v>16907</v>
      </c>
      <c r="AH10" s="1">
        <v>32546</v>
      </c>
      <c r="AI10" s="1">
        <v>19020</v>
      </c>
      <c r="AJ10" s="1">
        <v>2113</v>
      </c>
      <c r="AK10" s="1">
        <v>2237408</v>
      </c>
    </row>
    <row r="11" spans="1:37" ht="14.4" x14ac:dyDescent="0.3">
      <c r="A11" t="s">
        <v>37</v>
      </c>
      <c r="B11" t="s">
        <v>38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97</v>
      </c>
      <c r="J11" t="s">
        <v>105</v>
      </c>
      <c r="K11">
        <v>3.69</v>
      </c>
      <c r="L11">
        <v>1734631</v>
      </c>
      <c r="M11" t="s">
        <v>128</v>
      </c>
      <c r="N11">
        <v>30</v>
      </c>
      <c r="O11">
        <v>0</v>
      </c>
      <c r="P11">
        <v>0</v>
      </c>
      <c r="Q11" s="1">
        <v>1734631</v>
      </c>
      <c r="R11" s="1">
        <v>213354</v>
      </c>
      <c r="S11" s="1">
        <v>150000</v>
      </c>
      <c r="T11" s="1">
        <v>0</v>
      </c>
      <c r="U11" s="1">
        <v>2097985</v>
      </c>
      <c r="V11" s="1">
        <v>219449</v>
      </c>
      <c r="W11" s="1">
        <v>0</v>
      </c>
      <c r="X11" s="1">
        <v>0</v>
      </c>
      <c r="Y11" s="1">
        <v>146859</v>
      </c>
      <c r="Z11" s="1">
        <v>197</v>
      </c>
      <c r="AA11" s="1">
        <v>0</v>
      </c>
      <c r="AB11" s="1">
        <v>0</v>
      </c>
      <c r="AC11" s="1">
        <v>31519</v>
      </c>
      <c r="AD11" s="1">
        <v>1699961</v>
      </c>
      <c r="AE11" s="1">
        <v>19511</v>
      </c>
      <c r="AF11" s="1">
        <v>58744</v>
      </c>
      <c r="AG11" s="1">
        <v>4196</v>
      </c>
      <c r="AH11" s="1">
        <v>32309</v>
      </c>
      <c r="AI11" s="1">
        <v>18882</v>
      </c>
      <c r="AJ11" s="1">
        <v>2098</v>
      </c>
      <c r="AK11" s="1">
        <v>2233725</v>
      </c>
    </row>
    <row r="12" spans="1:37" ht="14.4" x14ac:dyDescent="0.3">
      <c r="A12" t="s">
        <v>37</v>
      </c>
      <c r="B12" t="s">
        <v>38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I12" t="s">
        <v>112</v>
      </c>
      <c r="J12" t="s">
        <v>113</v>
      </c>
      <c r="K12">
        <v>6.66</v>
      </c>
      <c r="L12">
        <v>5500000</v>
      </c>
      <c r="M12" t="s">
        <v>54</v>
      </c>
      <c r="N12">
        <v>30</v>
      </c>
      <c r="O12">
        <v>0</v>
      </c>
      <c r="P12">
        <v>0</v>
      </c>
      <c r="Q12" s="1">
        <v>5500000</v>
      </c>
      <c r="R12" s="1">
        <v>213354</v>
      </c>
      <c r="S12" s="1">
        <v>150000</v>
      </c>
      <c r="T12" s="1">
        <v>0</v>
      </c>
      <c r="U12" s="1">
        <v>5863354</v>
      </c>
      <c r="V12" s="1">
        <v>400170</v>
      </c>
      <c r="W12" s="1">
        <v>32320</v>
      </c>
      <c r="X12" s="1">
        <v>0</v>
      </c>
      <c r="Y12" s="1">
        <v>251003</v>
      </c>
      <c r="Z12" s="1">
        <v>14223</v>
      </c>
      <c r="AA12" s="1">
        <v>0</v>
      </c>
      <c r="AB12" s="1">
        <v>0</v>
      </c>
      <c r="AC12" s="1">
        <v>412805</v>
      </c>
      <c r="AD12" s="1">
        <v>4752833</v>
      </c>
      <c r="AE12" s="1">
        <v>33348</v>
      </c>
      <c r="AF12" s="1">
        <v>86186</v>
      </c>
      <c r="AG12" s="1">
        <v>43093</v>
      </c>
      <c r="AH12" s="1">
        <v>55221</v>
      </c>
      <c r="AI12" s="1">
        <v>32272</v>
      </c>
      <c r="AJ12" s="1">
        <v>3586</v>
      </c>
      <c r="AK12" s="1">
        <v>6117060</v>
      </c>
    </row>
    <row r="13" spans="1:37" x14ac:dyDescent="0.3">
      <c r="A13" t="s">
        <v>37</v>
      </c>
      <c r="B13" t="s">
        <v>38</v>
      </c>
      <c r="C13" t="s">
        <v>114</v>
      </c>
      <c r="D13" t="s">
        <v>115</v>
      </c>
      <c r="E13" t="s">
        <v>116</v>
      </c>
      <c r="F13" t="s">
        <v>110</v>
      </c>
      <c r="G13" t="s">
        <v>117</v>
      </c>
      <c r="I13" t="s">
        <v>112</v>
      </c>
      <c r="J13" t="s">
        <v>105</v>
      </c>
      <c r="K13">
        <v>9.74</v>
      </c>
      <c r="L13">
        <v>4510000</v>
      </c>
      <c r="M13" t="s">
        <v>46</v>
      </c>
      <c r="N13">
        <v>30</v>
      </c>
      <c r="O13">
        <v>5</v>
      </c>
      <c r="P13">
        <v>0</v>
      </c>
      <c r="Q13" s="1">
        <v>4510000</v>
      </c>
      <c r="R13" s="1">
        <v>213354</v>
      </c>
      <c r="S13" s="1">
        <v>150000</v>
      </c>
      <c r="T13" s="1">
        <v>0</v>
      </c>
      <c r="U13" s="1">
        <v>4873354</v>
      </c>
      <c r="V13" s="1">
        <v>400170</v>
      </c>
      <c r="W13" s="1">
        <v>29240</v>
      </c>
      <c r="X13" s="1">
        <v>0</v>
      </c>
      <c r="Y13" s="1">
        <v>251003</v>
      </c>
      <c r="Z13" s="1">
        <v>136896</v>
      </c>
      <c r="AA13" s="1">
        <v>0</v>
      </c>
      <c r="AB13" s="1">
        <v>0</v>
      </c>
      <c r="AC13" s="1">
        <v>252245</v>
      </c>
      <c r="AD13" s="1">
        <v>3803800</v>
      </c>
      <c r="AE13" s="1">
        <v>33348</v>
      </c>
      <c r="AF13" s="1">
        <v>77974</v>
      </c>
      <c r="AG13" s="1">
        <v>38987</v>
      </c>
      <c r="AH13" s="1">
        <v>55221</v>
      </c>
      <c r="AI13" s="1">
        <v>32272</v>
      </c>
      <c r="AJ13" s="1">
        <v>3586</v>
      </c>
      <c r="AK13" s="1">
        <v>5114742</v>
      </c>
    </row>
    <row r="14" spans="1:37" ht="14.4" x14ac:dyDescent="0.3">
      <c r="A14" t="s">
        <v>37</v>
      </c>
      <c r="B14" t="s">
        <v>38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I14" t="s">
        <v>112</v>
      </c>
      <c r="J14" t="s">
        <v>45</v>
      </c>
      <c r="K14">
        <v>7.2</v>
      </c>
      <c r="L14">
        <v>5500000</v>
      </c>
      <c r="M14" t="s">
        <v>54</v>
      </c>
      <c r="N14">
        <v>30</v>
      </c>
      <c r="O14">
        <v>0</v>
      </c>
      <c r="P14">
        <v>0</v>
      </c>
      <c r="Q14" s="1">
        <v>5500000</v>
      </c>
      <c r="R14" s="1">
        <v>213354</v>
      </c>
      <c r="S14" s="1">
        <v>150000</v>
      </c>
      <c r="T14" s="1">
        <v>0</v>
      </c>
      <c r="U14" s="1">
        <v>5863354</v>
      </c>
      <c r="V14" s="1">
        <v>400170</v>
      </c>
      <c r="W14" s="1">
        <v>32320</v>
      </c>
      <c r="X14" s="1">
        <v>0</v>
      </c>
      <c r="Y14" s="1">
        <v>251003</v>
      </c>
      <c r="Z14" s="1">
        <v>35698</v>
      </c>
      <c r="AA14" s="1">
        <v>0</v>
      </c>
      <c r="AB14" s="1">
        <v>0</v>
      </c>
      <c r="AC14" s="1">
        <v>412805</v>
      </c>
      <c r="AD14" s="1">
        <v>4731358</v>
      </c>
      <c r="AE14" s="1">
        <v>33348</v>
      </c>
      <c r="AF14" s="1">
        <v>86186</v>
      </c>
      <c r="AG14" s="1">
        <v>43093</v>
      </c>
      <c r="AH14" s="1">
        <v>55221</v>
      </c>
      <c r="AI14" s="1">
        <v>32272</v>
      </c>
      <c r="AJ14" s="1">
        <v>3586</v>
      </c>
      <c r="AK14" s="1">
        <v>6117060</v>
      </c>
    </row>
    <row r="15" spans="1:37" ht="14.4" x14ac:dyDescent="0.3">
      <c r="A15" t="s">
        <v>37</v>
      </c>
      <c r="B15" t="s">
        <v>38</v>
      </c>
      <c r="C15" t="s">
        <v>123</v>
      </c>
      <c r="D15" t="s">
        <v>124</v>
      </c>
      <c r="E15" t="s">
        <v>125</v>
      </c>
      <c r="F15" t="s">
        <v>126</v>
      </c>
      <c r="G15" t="s">
        <v>117</v>
      </c>
      <c r="I15" t="s">
        <v>73</v>
      </c>
      <c r="J15" t="s">
        <v>127</v>
      </c>
      <c r="K15">
        <v>12</v>
      </c>
      <c r="L15">
        <v>10010847</v>
      </c>
      <c r="M15" t="s">
        <v>128</v>
      </c>
      <c r="N15">
        <v>30</v>
      </c>
      <c r="O15">
        <v>0</v>
      </c>
      <c r="P15">
        <v>0</v>
      </c>
      <c r="Q15" s="1">
        <v>10010847</v>
      </c>
      <c r="R15" s="1">
        <v>213354</v>
      </c>
      <c r="S15" s="1">
        <v>150000</v>
      </c>
      <c r="T15" s="1">
        <v>0</v>
      </c>
      <c r="U15" s="1">
        <v>10374201</v>
      </c>
      <c r="V15" s="1">
        <v>379373</v>
      </c>
      <c r="W15" s="1">
        <v>32320</v>
      </c>
      <c r="X15" s="1">
        <v>0</v>
      </c>
      <c r="Y15" s="1">
        <v>251003</v>
      </c>
      <c r="Z15" s="1">
        <v>227098</v>
      </c>
      <c r="AA15" s="1">
        <v>0</v>
      </c>
      <c r="AB15" s="1">
        <v>0</v>
      </c>
      <c r="AC15" s="1">
        <v>1769215</v>
      </c>
      <c r="AD15" s="1">
        <v>7715192</v>
      </c>
      <c r="AE15" s="1">
        <v>33348</v>
      </c>
      <c r="AF15" s="1">
        <v>86186</v>
      </c>
      <c r="AG15" s="1">
        <v>43093</v>
      </c>
      <c r="AH15" s="1">
        <v>55221</v>
      </c>
      <c r="AI15" s="1">
        <v>32272</v>
      </c>
      <c r="AJ15" s="1">
        <v>3586</v>
      </c>
      <c r="AK15" s="1">
        <v>10627907</v>
      </c>
    </row>
    <row r="16" spans="1:37" ht="14.4" x14ac:dyDescent="0.3">
      <c r="A16" t="s">
        <v>37</v>
      </c>
      <c r="B16" t="s">
        <v>38</v>
      </c>
      <c r="C16" t="s">
        <v>129</v>
      </c>
      <c r="D16" t="s">
        <v>130</v>
      </c>
      <c r="E16" t="s">
        <v>131</v>
      </c>
      <c r="F16" t="s">
        <v>132</v>
      </c>
      <c r="G16" t="s">
        <v>133</v>
      </c>
      <c r="I16" t="s">
        <v>97</v>
      </c>
      <c r="J16" t="s">
        <v>53</v>
      </c>
      <c r="K16">
        <v>6.79</v>
      </c>
      <c r="L16">
        <v>3075000</v>
      </c>
      <c r="M16" t="s">
        <v>54</v>
      </c>
      <c r="N16">
        <v>30</v>
      </c>
      <c r="O16">
        <v>0</v>
      </c>
      <c r="P16">
        <v>0</v>
      </c>
      <c r="Q16" s="1">
        <v>3075000</v>
      </c>
      <c r="R16" s="1">
        <v>213354</v>
      </c>
      <c r="S16" s="1">
        <v>150000</v>
      </c>
      <c r="T16" s="1">
        <v>0</v>
      </c>
      <c r="U16" s="1">
        <v>3438354</v>
      </c>
      <c r="V16" s="1">
        <v>359652</v>
      </c>
      <c r="W16" s="1">
        <v>20630</v>
      </c>
      <c r="X16" s="1">
        <v>0</v>
      </c>
      <c r="Y16" s="1">
        <v>240685</v>
      </c>
      <c r="Z16" s="1">
        <v>29681</v>
      </c>
      <c r="AA16" s="1">
        <v>0</v>
      </c>
      <c r="AB16" s="1">
        <v>0</v>
      </c>
      <c r="AC16" s="1">
        <v>102959</v>
      </c>
      <c r="AD16" s="1">
        <v>2684747</v>
      </c>
      <c r="AE16" s="1">
        <v>31977</v>
      </c>
      <c r="AF16" s="1">
        <v>55014</v>
      </c>
      <c r="AG16" s="1">
        <v>27507</v>
      </c>
      <c r="AH16" s="1">
        <v>52951</v>
      </c>
      <c r="AI16" s="1">
        <v>30945</v>
      </c>
      <c r="AJ16" s="1">
        <v>3438</v>
      </c>
      <c r="AK16" s="1">
        <v>3640186</v>
      </c>
    </row>
    <row r="17" spans="1:37" ht="14.4" x14ac:dyDescent="0.3"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4.4" x14ac:dyDescent="0.3">
      <c r="A18" t="s">
        <v>134</v>
      </c>
      <c r="B18" t="s">
        <v>134</v>
      </c>
      <c r="C18" t="s">
        <v>134</v>
      </c>
      <c r="D18" t="s">
        <v>134</v>
      </c>
      <c r="E18" t="s">
        <v>134</v>
      </c>
      <c r="F18" t="s">
        <v>134</v>
      </c>
      <c r="G18" t="s">
        <v>134</v>
      </c>
      <c r="H18" t="s">
        <v>134</v>
      </c>
      <c r="I18" t="s">
        <v>134</v>
      </c>
      <c r="J18" t="s">
        <v>134</v>
      </c>
      <c r="K18" t="s">
        <v>134</v>
      </c>
      <c r="L18" t="s">
        <v>134</v>
      </c>
      <c r="M18" t="s">
        <v>134</v>
      </c>
      <c r="N18" t="s">
        <v>134</v>
      </c>
      <c r="O18" t="s">
        <v>134</v>
      </c>
      <c r="P18" t="s">
        <v>134</v>
      </c>
      <c r="Q18" s="2">
        <f>+SUM(Q2:Q16)</f>
        <v>77795411</v>
      </c>
      <c r="R18" s="2">
        <f t="shared" ref="R18:AK18" si="0">+SUM(R2:R16)</f>
        <v>3150528</v>
      </c>
      <c r="S18" s="2">
        <f t="shared" si="0"/>
        <v>2250000</v>
      </c>
      <c r="T18" s="2">
        <f t="shared" si="0"/>
        <v>800000</v>
      </c>
      <c r="U18" s="2">
        <f t="shared" si="0"/>
        <v>83995939</v>
      </c>
      <c r="V18" s="2">
        <f t="shared" si="0"/>
        <v>5338142</v>
      </c>
      <c r="W18" s="2">
        <f t="shared" si="0"/>
        <v>330191</v>
      </c>
      <c r="X18" s="2">
        <f t="shared" si="0"/>
        <v>253885</v>
      </c>
      <c r="Y18" s="2">
        <f t="shared" si="0"/>
        <v>3148577</v>
      </c>
      <c r="Z18" s="2">
        <f t="shared" si="0"/>
        <v>994882</v>
      </c>
      <c r="AA18" s="2">
        <f t="shared" si="0"/>
        <v>159367</v>
      </c>
      <c r="AB18" s="2">
        <f t="shared" si="0"/>
        <v>50000</v>
      </c>
      <c r="AC18" s="2">
        <f t="shared" si="0"/>
        <v>7620280</v>
      </c>
      <c r="AD18" s="2">
        <f t="shared" si="0"/>
        <v>66100615</v>
      </c>
      <c r="AE18" s="2">
        <f t="shared" si="0"/>
        <v>452179</v>
      </c>
      <c r="AF18" s="2">
        <f t="shared" si="0"/>
        <v>1248006</v>
      </c>
      <c r="AG18" s="2">
        <f t="shared" si="0"/>
        <v>469548</v>
      </c>
      <c r="AH18" s="2">
        <f t="shared" si="0"/>
        <v>755384</v>
      </c>
      <c r="AI18" s="2">
        <f t="shared" si="0"/>
        <v>441457</v>
      </c>
      <c r="AJ18" s="2">
        <f t="shared" si="0"/>
        <v>48609</v>
      </c>
      <c r="AK18" s="2">
        <f t="shared" si="0"/>
        <v>87411122</v>
      </c>
    </row>
    <row r="19" spans="1:37" ht="14.4" x14ac:dyDescent="0.3">
      <c r="A19" t="s">
        <v>134</v>
      </c>
      <c r="B19" t="s">
        <v>134</v>
      </c>
      <c r="C19" t="s">
        <v>134</v>
      </c>
      <c r="D19" t="s">
        <v>134</v>
      </c>
      <c r="E19" t="s">
        <v>134</v>
      </c>
      <c r="F19" t="s">
        <v>134</v>
      </c>
      <c r="G19" t="s">
        <v>134</v>
      </c>
      <c r="H19" t="s">
        <v>134</v>
      </c>
      <c r="I19" t="s">
        <v>134</v>
      </c>
      <c r="J19" t="s">
        <v>134</v>
      </c>
      <c r="K19" t="s">
        <v>134</v>
      </c>
      <c r="L19" t="s">
        <v>134</v>
      </c>
      <c r="M19" t="s">
        <v>134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134</v>
      </c>
      <c r="T19" t="s">
        <v>134</v>
      </c>
      <c r="U19" t="s">
        <v>134</v>
      </c>
      <c r="V19" t="s">
        <v>134</v>
      </c>
      <c r="W19" t="s">
        <v>134</v>
      </c>
      <c r="X19" t="s">
        <v>134</v>
      </c>
      <c r="Y19" t="s">
        <v>134</v>
      </c>
      <c r="Z19" t="s">
        <v>134</v>
      </c>
      <c r="AA19" t="s">
        <v>134</v>
      </c>
      <c r="AB19" t="s">
        <v>134</v>
      </c>
      <c r="AC19" t="s">
        <v>134</v>
      </c>
      <c r="AD19" t="s">
        <v>134</v>
      </c>
      <c r="AE19" t="s">
        <v>134</v>
      </c>
      <c r="AF19" t="s">
        <v>134</v>
      </c>
      <c r="AG19" t="s">
        <v>134</v>
      </c>
      <c r="AH19" t="s">
        <v>134</v>
      </c>
      <c r="AI19" t="s">
        <v>134</v>
      </c>
      <c r="AJ19" t="s">
        <v>134</v>
      </c>
      <c r="AK19" t="s">
        <v>134</v>
      </c>
    </row>
    <row r="21" spans="1:37" x14ac:dyDescent="0.3">
      <c r="H21" s="21">
        <f>H22-AK18</f>
        <v>0</v>
      </c>
      <c r="I21" s="21">
        <f>I22-AK18</f>
        <v>0</v>
      </c>
    </row>
    <row r="22" spans="1:37" x14ac:dyDescent="0.3">
      <c r="D22" s="5" t="s">
        <v>135</v>
      </c>
      <c r="E22" s="6" t="s">
        <v>136</v>
      </c>
      <c r="F22" s="6"/>
      <c r="G22" s="6" t="s">
        <v>137</v>
      </c>
      <c r="H22" s="7">
        <f>SUM(H23:H48)</f>
        <v>87411122</v>
      </c>
      <c r="I22" s="7">
        <f>SUM(I23:I48)</f>
        <v>87411122</v>
      </c>
      <c r="AC22" s="3">
        <f>+V18+W18+X18+Y18+Z18+AA18+AB18+AE18+AF18+AG18+AH18+AI18+AJ18</f>
        <v>13690227</v>
      </c>
    </row>
    <row r="23" spans="1:37" x14ac:dyDescent="0.3">
      <c r="C23" s="8" t="s">
        <v>54</v>
      </c>
      <c r="D23">
        <v>5011</v>
      </c>
      <c r="E23" s="9" t="s">
        <v>138</v>
      </c>
      <c r="F23" s="10" t="s">
        <v>139</v>
      </c>
      <c r="G23" s="9">
        <v>7020201</v>
      </c>
      <c r="H23" s="11">
        <f>SUMIF($M$2:$M$16,C23,$Q$2:$Q$16)+SUMIF($M$2:$M$16,C23,$S$2:$S$16)+SUMIF($M$2:$M$16,C23,$R$2:$R$16)</f>
        <v>49765265</v>
      </c>
      <c r="I23" s="12"/>
      <c r="AC23" s="4">
        <v>13690227</v>
      </c>
    </row>
    <row r="24" spans="1:37" x14ac:dyDescent="0.3">
      <c r="C24" s="8" t="s">
        <v>54</v>
      </c>
      <c r="D24">
        <v>5012</v>
      </c>
      <c r="E24" s="9" t="s">
        <v>140</v>
      </c>
      <c r="F24" s="10" t="s">
        <v>139</v>
      </c>
      <c r="G24" s="9">
        <v>7020202</v>
      </c>
      <c r="H24" s="13">
        <f>SUMIF($M$2:$M$16,C24,$T$2:$T$16)</f>
        <v>800000</v>
      </c>
      <c r="I24" s="12"/>
    </row>
    <row r="25" spans="1:37" x14ac:dyDescent="0.3">
      <c r="C25" s="8" t="s">
        <v>54</v>
      </c>
      <c r="D25">
        <v>5013</v>
      </c>
      <c r="E25" s="9" t="s">
        <v>21</v>
      </c>
      <c r="F25" s="10" t="s">
        <v>139</v>
      </c>
      <c r="G25" s="9">
        <v>7020203</v>
      </c>
      <c r="H25" s="14">
        <f>SUMIF($M$2:$M$16,C25,$AF$2:$AF$16)+SUMIF($M$2:$M$16,C25,$AI$2:$AI$16)+SUMIF($M$2:$M$16,C25,$AH$2:$AH$16)+SUMIF($M$2:$M$16,C25,$AG$2:$AG$16)+SUMIF($M$2:$M$16,C25,$AE$2:$AE$16)+SUMIF($M$2:$M$16,C25,$AJ$2:$AJ$16)</f>
        <v>2010093</v>
      </c>
      <c r="I25" s="12"/>
    </row>
    <row r="26" spans="1:37" x14ac:dyDescent="0.3">
      <c r="C26" s="8" t="s">
        <v>54</v>
      </c>
      <c r="D26">
        <v>5015</v>
      </c>
      <c r="E26" s="9" t="s">
        <v>141</v>
      </c>
      <c r="F26" s="10" t="s">
        <v>139</v>
      </c>
      <c r="G26" s="9">
        <v>7020204</v>
      </c>
      <c r="H26" s="22">
        <v>0</v>
      </c>
      <c r="I26" s="12"/>
    </row>
    <row r="27" spans="1:37" x14ac:dyDescent="0.3">
      <c r="C27" s="8" t="s">
        <v>46</v>
      </c>
      <c r="D27">
        <v>6306</v>
      </c>
      <c r="E27" s="9" t="s">
        <v>138</v>
      </c>
      <c r="F27" s="16" t="s">
        <v>142</v>
      </c>
      <c r="G27" s="9">
        <v>8050117</v>
      </c>
      <c r="H27" s="11">
        <f>SUMIF($M$2:$M$16,C27,$Q$2:$Q$16)+SUMIF($M$2:$M$16,C27,$S$2:$S$16)+SUMIF($M$2:$M$16,C27,$R$2:$R$16)</f>
        <v>18845134</v>
      </c>
      <c r="I27" s="12"/>
    </row>
    <row r="28" spans="1:37" x14ac:dyDescent="0.3">
      <c r="C28" s="8" t="s">
        <v>46</v>
      </c>
      <c r="D28">
        <v>6307</v>
      </c>
      <c r="E28" s="9" t="s">
        <v>140</v>
      </c>
      <c r="F28" s="16" t="s">
        <v>142</v>
      </c>
      <c r="G28" s="9">
        <v>8050118</v>
      </c>
      <c r="H28" s="13">
        <f>SUMIF($M$2:$M$16,C28,$T$2:$T$16)</f>
        <v>0</v>
      </c>
      <c r="I28" s="12"/>
    </row>
    <row r="29" spans="1:37" x14ac:dyDescent="0.3">
      <c r="C29" s="8" t="s">
        <v>46</v>
      </c>
      <c r="D29">
        <v>6308</v>
      </c>
      <c r="E29" s="9" t="s">
        <v>21</v>
      </c>
      <c r="F29" s="16" t="s">
        <v>142</v>
      </c>
      <c r="G29" s="9">
        <v>8050119</v>
      </c>
      <c r="H29" s="14">
        <f>SUMIF($M$2:$M$16,C29,$AF$2:$AF$16)+SUMIF($M$2:$M$16,C29,$AI$2:$AI$16)+SUMIF($M$2:$M$16,C29,$AH$2:$AH$16)+SUMIF($M$2:$M$16,C29,$AG$2:$AG$16)+SUMIF($M$2:$M$16,C29,$AE$2:$AE$16)+SUMIF($M$2:$M$16,C29,$AJ$2:$AJ$16)</f>
        <v>891590</v>
      </c>
      <c r="I29" s="12"/>
    </row>
    <row r="30" spans="1:37" x14ac:dyDescent="0.3">
      <c r="C30" s="8" t="s">
        <v>46</v>
      </c>
      <c r="D30">
        <v>6326</v>
      </c>
      <c r="E30" s="9" t="s">
        <v>141</v>
      </c>
      <c r="F30" s="16" t="s">
        <v>142</v>
      </c>
      <c r="G30" s="9">
        <v>8050121</v>
      </c>
      <c r="H30" s="15"/>
      <c r="I30" s="12"/>
    </row>
    <row r="31" spans="1:37" x14ac:dyDescent="0.3">
      <c r="C31" s="8"/>
      <c r="E31" s="9"/>
      <c r="F31" s="17" t="s">
        <v>143</v>
      </c>
      <c r="G31" s="9"/>
      <c r="H31" s="11">
        <f>SUMIF($M$2:$M$16,C31,$Q$2:$Q$16)+SUMIF($M$2:$M$16,C31,$S$2:$S$16)+SUMIF($M$2:$M$16,C31,$R$2:$R$16)</f>
        <v>0</v>
      </c>
      <c r="I31" s="12"/>
    </row>
    <row r="32" spans="1:37" x14ac:dyDescent="0.3">
      <c r="C32" s="8"/>
      <c r="E32" s="9"/>
      <c r="F32" s="17" t="s">
        <v>143</v>
      </c>
      <c r="G32" s="9"/>
      <c r="H32" s="13">
        <f>SUMIF($M$2:$M$16,C32,$T$2:$T$16)</f>
        <v>0</v>
      </c>
      <c r="I32" s="12"/>
    </row>
    <row r="33" spans="3:9" x14ac:dyDescent="0.3">
      <c r="C33" s="8"/>
      <c r="E33" s="9"/>
      <c r="F33" s="17" t="s">
        <v>143</v>
      </c>
      <c r="G33" s="9"/>
      <c r="H33" s="14">
        <f>SUMIF($M$2:$M$16,C33,$AF$2:$AF$16)+SUMIF($M$2:$M$16,C33,$AI$2:$AI$16)+SUMIF($M$2:$M$16,C33,$AH$2:$AH$16)+SUMIF($M$2:$M$16,C33,$AG$2:$AG$16)+SUMIF($M$2:$M$16,C33,$AE$2:$AE$16)+SUMIF($M$2:$M$16,C33,$AJ$2:$AJ$16)</f>
        <v>0</v>
      </c>
      <c r="I33" s="12"/>
    </row>
    <row r="34" spans="3:9" x14ac:dyDescent="0.3">
      <c r="C34" s="8"/>
      <c r="E34" s="9"/>
      <c r="F34" s="17" t="s">
        <v>143</v>
      </c>
      <c r="G34" s="9"/>
      <c r="H34" s="12"/>
      <c r="I34" s="12"/>
    </row>
    <row r="35" spans="3:9" x14ac:dyDescent="0.3">
      <c r="C35" s="8" t="s">
        <v>128</v>
      </c>
      <c r="D35">
        <v>6301</v>
      </c>
      <c r="E35" s="9" t="s">
        <v>138</v>
      </c>
      <c r="F35" s="18" t="s">
        <v>106</v>
      </c>
      <c r="G35" s="9">
        <v>8050101</v>
      </c>
      <c r="H35" s="11">
        <f>SUMIF($M$2:$M$16,C35,$Q$2:$Q$16)+SUMIF($M$2:$M$16,C35,$S$2:$S$16)+SUMIF($M$2:$M$16,C35,$R$2:$R$16)</f>
        <v>12472186</v>
      </c>
      <c r="I35" s="12"/>
    </row>
    <row r="36" spans="3:9" x14ac:dyDescent="0.3">
      <c r="C36" s="8" t="s">
        <v>128</v>
      </c>
      <c r="D36">
        <v>6302</v>
      </c>
      <c r="E36" s="9" t="s">
        <v>140</v>
      </c>
      <c r="F36" s="18" t="s">
        <v>106</v>
      </c>
      <c r="G36" s="9">
        <v>8050102</v>
      </c>
      <c r="H36" s="13">
        <f>SUMIF($M$2:$M$16,C36,$T$2:$T$16)</f>
        <v>0</v>
      </c>
      <c r="I36" s="12"/>
    </row>
    <row r="37" spans="3:9" x14ac:dyDescent="0.3">
      <c r="C37" s="8" t="s">
        <v>128</v>
      </c>
      <c r="D37">
        <v>6303</v>
      </c>
      <c r="E37" s="9" t="s">
        <v>21</v>
      </c>
      <c r="F37" s="18" t="s">
        <v>106</v>
      </c>
      <c r="G37" s="9">
        <v>8050106</v>
      </c>
      <c r="H37" s="14">
        <f>SUMIF($M$2:$M$16,C37,$AF$2:$AF$16)+SUMIF($M$2:$M$16,C37,$AI$2:$AI$16)+SUMIF($M$2:$M$16,C37,$AH$2:$AH$16)+SUMIF($M$2:$M$16,C37,$AG$2:$AG$16)+SUMIF($M$2:$M$16,C37,$AE$2:$AE$16)+SUMIF($M$2:$M$16,C37,$AJ$2:$AJ$16)</f>
        <v>389446</v>
      </c>
      <c r="I37" s="12"/>
    </row>
    <row r="38" spans="3:9" x14ac:dyDescent="0.3">
      <c r="C38" s="8" t="s">
        <v>128</v>
      </c>
      <c r="D38">
        <v>6327</v>
      </c>
      <c r="E38" s="9" t="s">
        <v>141</v>
      </c>
      <c r="F38" s="18" t="s">
        <v>106</v>
      </c>
      <c r="G38" s="9">
        <v>8050120</v>
      </c>
      <c r="H38" s="12"/>
      <c r="I38" s="12"/>
    </row>
    <row r="39" spans="3:9" x14ac:dyDescent="0.3">
      <c r="C39" s="8" t="s">
        <v>98</v>
      </c>
      <c r="D39">
        <v>5211</v>
      </c>
      <c r="E39" s="9" t="s">
        <v>138</v>
      </c>
      <c r="F39" s="19" t="s">
        <v>144</v>
      </c>
      <c r="G39" s="9">
        <v>7020205</v>
      </c>
      <c r="H39" s="11">
        <f>SUMIF($M$2:$M$16,C39,$Q$2:$Q$16)+SUMIF($M$2:$M$16,C39,$S$2:$S$16)+SUMIF($M$2:$M$16,C39,$R$2:$R$16)</f>
        <v>2113354</v>
      </c>
      <c r="I39" s="12"/>
    </row>
    <row r="40" spans="3:9" x14ac:dyDescent="0.3">
      <c r="C40" s="8" t="s">
        <v>98</v>
      </c>
      <c r="D40">
        <v>5211</v>
      </c>
      <c r="E40" s="9" t="s">
        <v>140</v>
      </c>
      <c r="F40" s="19" t="s">
        <v>144</v>
      </c>
      <c r="G40" s="9">
        <v>7020206</v>
      </c>
      <c r="H40" s="13">
        <f>SUMIF($M$2:$M$16,C40,$T$2:$T$16)</f>
        <v>0</v>
      </c>
      <c r="I40" s="12"/>
    </row>
    <row r="41" spans="3:9" x14ac:dyDescent="0.3">
      <c r="C41" s="8" t="s">
        <v>98</v>
      </c>
      <c r="D41">
        <v>5213</v>
      </c>
      <c r="E41" s="9" t="s">
        <v>21</v>
      </c>
      <c r="F41" s="19" t="s">
        <v>144</v>
      </c>
      <c r="G41" s="9">
        <v>7020207</v>
      </c>
      <c r="H41" s="14">
        <f>SUMIF($M$2:$M$16,C41,$AF$2:$AF$16)+SUMIF($M$2:$M$16,C41,$AI$2:$AI$16)+SUMIF($M$2:$M$16,C41,$AH$2:$AH$16)+SUMIF($M$2:$M$16,C41,$AG$2:$AG$16)+SUMIF($M$2:$M$16,C41,$AE$2:$AE$16)+SUMIF($M$2:$M$16,C41,$AJ$2:$AJ$16)</f>
        <v>124054</v>
      </c>
      <c r="I41" s="12"/>
    </row>
    <row r="42" spans="3:9" x14ac:dyDescent="0.3">
      <c r="C42" s="8" t="s">
        <v>98</v>
      </c>
      <c r="D42">
        <v>5215</v>
      </c>
      <c r="E42" s="9" t="s">
        <v>141</v>
      </c>
      <c r="F42" s="19" t="s">
        <v>144</v>
      </c>
      <c r="G42" s="9">
        <v>7020208</v>
      </c>
      <c r="H42" s="12"/>
      <c r="I42" s="12"/>
    </row>
    <row r="43" spans="3:9" x14ac:dyDescent="0.3">
      <c r="C43" s="8"/>
      <c r="D43">
        <v>2414</v>
      </c>
      <c r="E43" s="9" t="s">
        <v>145</v>
      </c>
      <c r="F43" s="9"/>
      <c r="G43" s="9">
        <v>3031302</v>
      </c>
      <c r="H43" s="12"/>
      <c r="I43" s="15">
        <f>SUM(V18:AB18,BB17:BI17)+SUM(AE18:AJ18)</f>
        <v>13690227</v>
      </c>
    </row>
    <row r="44" spans="3:9" x14ac:dyDescent="0.3">
      <c r="C44" s="8"/>
      <c r="D44">
        <v>2414</v>
      </c>
      <c r="E44" s="9" t="s">
        <v>146</v>
      </c>
      <c r="F44" s="9"/>
      <c r="G44" s="9">
        <v>8050305</v>
      </c>
      <c r="H44" s="12"/>
      <c r="I44" s="15"/>
    </row>
    <row r="45" spans="3:9" x14ac:dyDescent="0.3">
      <c r="C45" s="8"/>
      <c r="D45">
        <v>2411</v>
      </c>
      <c r="E45" s="9" t="s">
        <v>147</v>
      </c>
      <c r="F45" s="9"/>
      <c r="G45" s="9">
        <v>3031204</v>
      </c>
      <c r="H45" s="12"/>
      <c r="I45" s="12">
        <f>+AD18</f>
        <v>66100615</v>
      </c>
    </row>
    <row r="46" spans="3:9" x14ac:dyDescent="0.3">
      <c r="C46" s="8"/>
      <c r="D46" s="8">
        <v>2554</v>
      </c>
      <c r="E46" s="9" t="s">
        <v>148</v>
      </c>
      <c r="F46" s="9"/>
      <c r="G46" s="9">
        <v>3031505</v>
      </c>
      <c r="H46" s="12"/>
      <c r="I46" s="12"/>
    </row>
    <row r="47" spans="3:9" x14ac:dyDescent="0.3">
      <c r="C47" s="8"/>
      <c r="D47" s="8">
        <v>2554</v>
      </c>
      <c r="E47" s="9" t="s">
        <v>149</v>
      </c>
      <c r="F47" s="9"/>
      <c r="G47" s="9">
        <v>3031501</v>
      </c>
      <c r="H47" s="12"/>
      <c r="I47" s="12">
        <f>+AC18</f>
        <v>7620280</v>
      </c>
    </row>
    <row r="48" spans="3:9" x14ac:dyDescent="0.3">
      <c r="C48" s="8"/>
      <c r="D48">
        <v>2411</v>
      </c>
      <c r="E48" s="9" t="s">
        <v>150</v>
      </c>
      <c r="G48" s="9">
        <v>3031204</v>
      </c>
      <c r="H48" s="20"/>
      <c r="I48" s="20">
        <v>0</v>
      </c>
    </row>
  </sheetData>
  <pageMargins left="0.75" right="0.75" top="1" bottom="1" header="0.5" footer="0.5"/>
  <headerFooter>
    <oddFooter>&amp;C_x000D_&amp;1#&amp;"Aptos"&amp;9&amp;K000000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24BEA1-8E44-441E-A5AA-906396C139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BCA3E73B-F4D9-4118-8762-FA2B88DAA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3CB1D6-D24E-4612-9146-A4CB9895FE0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2026-03-23T07:03:14Z</dcterms:created>
  <dcterms:modified xsi:type="dcterms:W3CDTF">2026-03-26T20:03:50Z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