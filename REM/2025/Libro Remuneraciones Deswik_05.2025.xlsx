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12 DESWIK/REM/"/>
    </mc:Choice>
  </mc:AlternateContent>
  <xr:revisionPtr revIDLastSave="134" documentId="13_ncr:1_{1E6477B4-7910-4D5E-B193-5BF146D9EEEC}" xr6:coauthVersionLast="47" xr6:coauthVersionMax="47" xr10:uidLastSave="{B0066122-4426-4931-A8DA-CB0E07235C51}"/>
  <bookViews>
    <workbookView xWindow="-28920" yWindow="-1380" windowWidth="29040" windowHeight="15720" xr2:uid="{00000000-000D-0000-FFFF-FFFF00000000}"/>
  </bookViews>
  <sheets>
    <sheet name="05.2025" sheetId="1" r:id="rId1"/>
  </sheets>
  <definedNames>
    <definedName name="_xlnm.Print_Area" localSheetId="0">'05.2025'!$B$21:$G$46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8" i="1" l="1"/>
  <c r="F34" i="1"/>
  <c r="F30" i="1"/>
  <c r="F26" i="1"/>
  <c r="F22" i="1"/>
  <c r="F32" i="1" l="1"/>
  <c r="F31" i="1"/>
  <c r="F36" i="1"/>
  <c r="F28" i="1"/>
  <c r="F40" i="1"/>
  <c r="F39" i="1"/>
  <c r="F35" i="1"/>
  <c r="F27" i="1"/>
  <c r="F23" i="1"/>
  <c r="F24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21" i="1"/>
  <c r="R17" i="1"/>
  <c r="S17" i="1"/>
  <c r="T17" i="1"/>
  <c r="U17" i="1"/>
  <c r="U37" i="1" s="1"/>
  <c r="V17" i="1"/>
  <c r="W17" i="1"/>
  <c r="X17" i="1"/>
  <c r="Y17" i="1"/>
  <c r="Z17" i="1"/>
  <c r="AA17" i="1"/>
  <c r="AB17" i="1"/>
  <c r="AC17" i="1"/>
  <c r="AD17" i="1"/>
  <c r="AE17" i="1"/>
  <c r="G46" i="1" s="1"/>
  <c r="AF17" i="1"/>
  <c r="AG17" i="1"/>
  <c r="G43" i="1" s="1"/>
  <c r="AH17" i="1"/>
  <c r="G45" i="1" s="1"/>
  <c r="AI17" i="1"/>
  <c r="AJ17" i="1"/>
  <c r="AK17" i="1"/>
  <c r="G44" i="1" s="1"/>
  <c r="AL17" i="1"/>
  <c r="AM17" i="1"/>
  <c r="AN17" i="1"/>
  <c r="AO17" i="1"/>
  <c r="AP17" i="1"/>
  <c r="Q17" i="1"/>
  <c r="G42" i="1" l="1"/>
  <c r="G21" i="1" s="1"/>
  <c r="F21" i="1"/>
  <c r="F19" i="1" s="1"/>
  <c r="U35" i="1"/>
  <c r="H21" i="1" l="1"/>
</calcChain>
</file>

<file path=xl/sharedStrings.xml><?xml version="1.0" encoding="utf-8"?>
<sst xmlns="http://schemas.openxmlformats.org/spreadsheetml/2006/main" count="294" uniqueCount="153">
  <si>
    <t>razon social rut</t>
  </si>
  <si>
    <t>razon social nombre</t>
  </si>
  <si>
    <t>rut</t>
  </si>
  <si>
    <t>nombre</t>
  </si>
  <si>
    <t>apellido paterno</t>
  </si>
  <si>
    <t>apellido materno</t>
  </si>
  <si>
    <t>fecha contratacion</t>
  </si>
  <si>
    <t>contrato hasta</t>
  </si>
  <si>
    <t>afp nombre</t>
  </si>
  <si>
    <t>prevision nombre</t>
  </si>
  <si>
    <t>isapre monto pactado</t>
  </si>
  <si>
    <t>contrato sueldo base</t>
  </si>
  <si>
    <t>centro costo nombre</t>
  </si>
  <si>
    <t>Días Trabajados</t>
  </si>
  <si>
    <t>Dias Vacaciones Mes</t>
  </si>
  <si>
    <t>Días Licencia</t>
  </si>
  <si>
    <t>Sueldo Base</t>
  </si>
  <si>
    <t>Gratificación Mensual</t>
  </si>
  <si>
    <t>Bono de Salud</t>
  </si>
  <si>
    <t>Bono Sitio</t>
  </si>
  <si>
    <t>Suma de Haberes Afectos</t>
  </si>
  <si>
    <t>Asignacion teletrabajo</t>
  </si>
  <si>
    <t>Suma de Haberes Exentos</t>
  </si>
  <si>
    <t>AFP</t>
  </si>
  <si>
    <t>Seguro Cesantia Trabajador</t>
  </si>
  <si>
    <t>Seguro Cesantia Trabajador Reliquidado</t>
  </si>
  <si>
    <t>Salud 7% (Fonasa)</t>
  </si>
  <si>
    <t>Isapre</t>
  </si>
  <si>
    <t>Isapre sobre 7%</t>
  </si>
  <si>
    <t>APV (Régimen A)</t>
  </si>
  <si>
    <t>Impuestos</t>
  </si>
  <si>
    <t>Impuestos Reliquidado</t>
  </si>
  <si>
    <t>Seguro Complementario</t>
  </si>
  <si>
    <t>Retención Préstamo Solidario SII</t>
  </si>
  <si>
    <t>Remuneración Pagada</t>
  </si>
  <si>
    <t>Suma de Descuentos</t>
  </si>
  <si>
    <t>Liquido a Pago</t>
  </si>
  <si>
    <t>Seguro accidentes del Trabajo</t>
  </si>
  <si>
    <t>Seguro Cesantia Empleador</t>
  </si>
  <si>
    <t>Seguro Cesantia (Fondo Solidario)</t>
  </si>
  <si>
    <t>Seguro Invalidez y Supervivencia (SIS)</t>
  </si>
  <si>
    <t>Costo Empresa</t>
  </si>
  <si>
    <t>76388284-5</t>
  </si>
  <si>
    <t>DESWIK CHILE SPA</t>
  </si>
  <si>
    <t>12681353-8</t>
  </si>
  <si>
    <t>KATHERINNE SILVANA</t>
  </si>
  <si>
    <t>ALARCON</t>
  </si>
  <si>
    <t>ESCOBAR</t>
  </si>
  <si>
    <t>01/08/2023</t>
  </si>
  <si>
    <t>Provida</t>
  </si>
  <si>
    <t>Cruz Blanca</t>
  </si>
  <si>
    <t>13462322-5</t>
  </si>
  <si>
    <t>CRISTIAN</t>
  </si>
  <si>
    <t>ANABALON</t>
  </si>
  <si>
    <t>BARRÍA</t>
  </si>
  <si>
    <t>16/12/2016</t>
  </si>
  <si>
    <t>Cuprum</t>
  </si>
  <si>
    <t>Colmena</t>
  </si>
  <si>
    <t>15460999-7</t>
  </si>
  <si>
    <t>KATHERINE MARLENE</t>
  </si>
  <si>
    <t>BOLLMANN</t>
  </si>
  <si>
    <t>NILIAN</t>
  </si>
  <si>
    <t>01/04/2020</t>
  </si>
  <si>
    <t>15633296-8</t>
  </si>
  <si>
    <t>JORGE</t>
  </si>
  <si>
    <t>MORIS</t>
  </si>
  <si>
    <t>JORDÁN</t>
  </si>
  <si>
    <t>15/05/2017</t>
  </si>
  <si>
    <t>VidaTres</t>
  </si>
  <si>
    <t>16475670-K</t>
  </si>
  <si>
    <t>CAROL TATIANA</t>
  </si>
  <si>
    <t>CONTRERAS</t>
  </si>
  <si>
    <t>MUÑOZ</t>
  </si>
  <si>
    <t>01/12/2023</t>
  </si>
  <si>
    <t>Modelo</t>
  </si>
  <si>
    <t>Fonasa</t>
  </si>
  <si>
    <t>17308225-8</t>
  </si>
  <si>
    <t>FRANCISCO</t>
  </si>
  <si>
    <t>MIRANDA</t>
  </si>
  <si>
    <t>RIADI</t>
  </si>
  <si>
    <t>14/09/2017</t>
  </si>
  <si>
    <t>Habitat</t>
  </si>
  <si>
    <t>Banmedica</t>
  </si>
  <si>
    <t>17533327-4</t>
  </si>
  <si>
    <t>JUAN SEBASTIAN</t>
  </si>
  <si>
    <t>CARVALLO</t>
  </si>
  <si>
    <t>JIMÉNEZ</t>
  </si>
  <si>
    <t>01/06/2017</t>
  </si>
  <si>
    <t>20322470-2</t>
  </si>
  <si>
    <t>Denisse Massiel</t>
  </si>
  <si>
    <t>Castro</t>
  </si>
  <si>
    <t>Acuña</t>
  </si>
  <si>
    <t>01/04/2025</t>
  </si>
  <si>
    <t>Uno</t>
  </si>
  <si>
    <t>25111494-3</t>
  </si>
  <si>
    <t>Caroline</t>
  </si>
  <si>
    <t>Zorzi</t>
  </si>
  <si>
    <t>.</t>
  </si>
  <si>
    <t>04/11/2024</t>
  </si>
  <si>
    <t>Planvital</t>
  </si>
  <si>
    <t>25221995-1</t>
  </si>
  <si>
    <t>CAITLIN JOY</t>
  </si>
  <si>
    <t>WHEAT</t>
  </si>
  <si>
    <t>01/01/2023</t>
  </si>
  <si>
    <t>Consalud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</si>
  <si>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</si>
  <si>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</si>
  <si>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</si>
  <si>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</si>
  <si>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</si>
  <si>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</si>
  <si>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</si>
  <si>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</si>
  <si>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</si>
  <si>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Esencial</t>
  </si>
  <si>
    <t>33694292-6</t>
  </si>
  <si>
    <t>CESAR FELIPE</t>
  </si>
  <si>
    <t>MACHADO</t>
  </si>
  <si>
    <t>RIBEIRO LOPES</t>
  </si>
  <si>
    <t>14/07/2023</t>
  </si>
  <si>
    <t>44429617-8</t>
  </si>
  <si>
    <t>Lucas Guilherme</t>
  </si>
  <si>
    <t>Cardoso</t>
  </si>
  <si>
    <t>Bittencourt</t>
  </si>
  <si>
    <t>01/11/2024</t>
  </si>
  <si>
    <t xml:space="preserve"> </t>
  </si>
  <si>
    <t>Admin</t>
  </si>
  <si>
    <t>Admin/Sales</t>
  </si>
  <si>
    <t>Consulting</t>
  </si>
  <si>
    <t>Support</t>
  </si>
  <si>
    <t>Mkt</t>
  </si>
  <si>
    <t>Dias de vacaciones</t>
  </si>
  <si>
    <t>Salario</t>
  </si>
  <si>
    <t>Provisión Mensual</t>
  </si>
  <si>
    <t>Bono</t>
  </si>
  <si>
    <t>ISAPRE</t>
  </si>
  <si>
    <t>Total</t>
  </si>
  <si>
    <t>Previred por pagar</t>
  </si>
  <si>
    <t>Seguro complementario</t>
  </si>
  <si>
    <t>Remuneraciones por pagar</t>
  </si>
  <si>
    <t>Impuesto adicional prestamo</t>
  </si>
  <si>
    <t>Impuesto unico trabajador</t>
  </si>
  <si>
    <t>Anticipo de sueldos</t>
  </si>
  <si>
    <t>cta Deswik</t>
  </si>
  <si>
    <t>Remuneraciones Deswik mayo 2025</t>
  </si>
  <si>
    <t>cta magnus</t>
  </si>
  <si>
    <t>SALARIO</t>
  </si>
  <si>
    <t>BONO</t>
  </si>
  <si>
    <t>AGUINALDO=BONO</t>
  </si>
  <si>
    <t>ADM</t>
  </si>
  <si>
    <t>SUPOR</t>
  </si>
  <si>
    <t>CONSULT</t>
  </si>
  <si>
    <t>MKT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</si>
</sst>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([$$-409]* #,##0_);_([$$-409]* \(#,##0\);_([$$-409]* &quot;-&quot;??_);_(@_)"/>
    <numFmt numFmtId="165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Consolas"/>
      <family val="3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BF1DE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rgb="FFF2DCDB"/>
        <bgColor rgb="FF000000"/>
      </patternFill>
    </fill>
    <fill>
      <patternFill patternType="solid">
        <fgColor rgb="FFE4DFEC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">
    <xf numFmtId="0" fontId="0" fillId="0" borderId="0" xfId="0"/>
    <xf numFmtId="164" fontId="0" fillId="0" borderId="0" xfId="1" applyNumberFormat="1" applyFont="1"/>
    <xf numFmtId="164" fontId="2" fillId="0" borderId="0" xfId="1" applyNumberFormat="1" applyFont="1"/>
    <xf numFmtId="0" fontId="0" fillId="2" borderId="0" xfId="0" applyFill="1"/>
    <xf numFmtId="164" fontId="0" fillId="2" borderId="0" xfId="1" applyNumberFormat="1" applyFont="1" applyFill="1"/>
    <xf numFmtId="0" fontId="0" fillId="3" borderId="0" xfId="0" applyFill="1"/>
    <xf numFmtId="164" fontId="0" fillId="0" borderId="0" xfId="0" applyNumberFormat="1"/>
    <xf numFmtId="0" fontId="3" fillId="0" borderId="0" xfId="0" applyFont="1"/>
    <xf numFmtId="3" fontId="3" fillId="0" borderId="0" xfId="0" applyNumberFormat="1" applyFont="1"/>
    <xf numFmtId="0" fontId="3" fillId="4" borderId="0" xfId="0" applyFont="1" applyFill="1"/>
    <xf numFmtId="0" fontId="3" fillId="7" borderId="0" xfId="0" applyFont="1" applyFill="1"/>
    <xf numFmtId="0" fontId="3" fillId="8" borderId="0" xfId="0" applyFont="1" applyFill="1"/>
    <xf numFmtId="0" fontId="3" fillId="9" borderId="0" xfId="0" applyFont="1" applyFill="1"/>
    <xf numFmtId="0" fontId="5" fillId="0" borderId="0" xfId="0" applyFont="1"/>
    <xf numFmtId="3" fontId="5" fillId="0" borderId="0" xfId="0" applyNumberFormat="1" applyFont="1"/>
    <xf numFmtId="0" fontId="3" fillId="10" borderId="0" xfId="0" applyFont="1" applyFill="1"/>
    <xf numFmtId="164" fontId="0" fillId="5" borderId="0" xfId="1" applyNumberFormat="1" applyFont="1" applyFill="1"/>
    <xf numFmtId="164" fontId="0" fillId="6" borderId="0" xfId="1" applyNumberFormat="1" applyFont="1" applyFill="1"/>
    <xf numFmtId="164" fontId="2" fillId="12" borderId="0" xfId="1" applyNumberFormat="1" applyFont="1" applyFill="1"/>
    <xf numFmtId="164" fontId="2" fillId="13" borderId="0" xfId="1" applyNumberFormat="1" applyFont="1" applyFill="1"/>
    <xf numFmtId="164" fontId="2" fillId="11" borderId="0" xfId="1" applyNumberFormat="1" applyFont="1" applyFill="1"/>
    <xf numFmtId="164" fontId="2" fillId="14" borderId="0" xfId="1" applyNumberFormat="1" applyFont="1" applyFill="1"/>
    <xf numFmtId="165" fontId="3" fillId="0" borderId="0" xfId="0" applyNumberFormat="1" applyFont="1"/>
    <xf numFmtId="41" fontId="4" fillId="15" borderId="0" xfId="2" applyFont="1" applyFill="1"/>
    <xf numFmtId="41" fontId="3" fillId="15" borderId="0" xfId="2" applyFont="1" applyFill="1"/>
    <xf numFmtId="41" fontId="0" fillId="15" borderId="0" xfId="2" applyFont="1" applyFill="1"/>
    <xf numFmtId="0" fontId="2" fillId="0" borderId="0" xfId="0" applyFont="1" applyAlignment="1">
      <alignment horizontal="right"/>
    </xf>
    <xf numFmtId="0" fontId="6" fillId="0" borderId="0" xfId="0" applyFont="1"/>
    <xf numFmtId="41" fontId="4" fillId="2" borderId="0" xfId="2" applyFont="1" applyFill="1"/>
    <xf numFmtId="41" fontId="4" fillId="5" borderId="0" xfId="2" applyFont="1" applyFill="1"/>
    <xf numFmtId="0" fontId="3" fillId="0" borderId="0" xfId="0" applyFont="1" applyAlignment="1">
      <alignment horizontal="center"/>
    </xf>
    <xf numFmtId="0" fontId="0" fillId="5" borderId="0" xfId="0" applyFill="1"/>
    <xf numFmtId="0" fontId="0" fillId="16" borderId="0" xfId="0" applyFill="1"/>
    <xf numFmtId="0" fontId="0" fillId="6" borderId="0" xfId="0" applyFill="1"/>
  </cellXfs>
  <cellStyles count="3">
    <cellStyle name="Millares [0]" xfId="2" builtinId="6"/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7"/>
  <sheetViews>
    <sheetView showGridLines="0" tabSelected="1" zoomScale="90" zoomScaleNormal="90" workbookViewId="0">
      <pane xSplit="7" ySplit="21" topLeftCell="H22" activePane="bottomRight" state="frozen"/>
      <selection pane="topRight" activeCell="H1" sqref="H1"/>
      <selection pane="bottomLeft" activeCell="A22" sqref="A22"/>
      <selection pane="bottomRight" activeCell="M10" sqref="M10"/>
    </sheetView>
  </sheetViews>
  <sheetFormatPr baseColWidth="10" defaultColWidth="9.140625" defaultRowHeight="15" x14ac:dyDescent="0.25"/>
  <cols>
    <col min="1" max="1" width="14" bestFit="1" customWidth="1"/>
    <col min="2" max="2" width="18.42578125" bestFit="1" customWidth="1"/>
    <col min="3" max="3" width="10.7109375" bestFit="1" customWidth="1"/>
    <col min="4" max="6" width="19.140625" customWidth="1"/>
    <col min="7" max="7" width="17.5703125" bestFit="1" customWidth="1"/>
    <col min="8" max="8" width="14" bestFit="1" customWidth="1"/>
    <col min="12" max="12" width="10.42578125" customWidth="1"/>
    <col min="13" max="13" width="14.85546875" customWidth="1"/>
    <col min="17" max="17" width="15.140625" bestFit="1" customWidth="1"/>
    <col min="18" max="19" width="14.140625" bestFit="1" customWidth="1"/>
    <col min="20" max="20" width="12.42578125" bestFit="1" customWidth="1"/>
    <col min="21" max="21" width="15.140625" bestFit="1" customWidth="1"/>
    <col min="22" max="23" width="11.42578125" bestFit="1" customWidth="1"/>
    <col min="24" max="24" width="14.140625" bestFit="1" customWidth="1"/>
    <col min="25" max="25" width="12.42578125" bestFit="1" customWidth="1"/>
    <col min="26" max="26" width="9.140625" bestFit="1" customWidth="1"/>
    <col min="27" max="27" width="12.42578125" bestFit="1" customWidth="1"/>
    <col min="28" max="28" width="14.140625" bestFit="1" customWidth="1"/>
    <col min="29" max="30" width="12.42578125" bestFit="1" customWidth="1"/>
    <col min="31" max="31" width="15.140625" bestFit="1" customWidth="1"/>
    <col min="32" max="32" width="9.140625" bestFit="1" customWidth="1"/>
    <col min="33" max="34" width="12.42578125" bestFit="1" customWidth="1"/>
    <col min="35" max="35" width="9.140625" bestFit="1" customWidth="1"/>
    <col min="36" max="36" width="12.42578125" bestFit="1" customWidth="1"/>
    <col min="37" max="37" width="15.140625" bestFit="1" customWidth="1"/>
    <col min="38" max="41" width="12.42578125" bestFit="1" customWidth="1"/>
    <col min="42" max="42" width="15.140625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3" t="s">
        <v>16</v>
      </c>
      <c r="R1" s="3" t="s">
        <v>17</v>
      </c>
      <c r="S1" s="3" t="s">
        <v>18</v>
      </c>
      <c r="T1" t="s">
        <v>19</v>
      </c>
      <c r="U1" s="3" t="s">
        <v>20</v>
      </c>
      <c r="V1" s="3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I2" t="s">
        <v>49</v>
      </c>
      <c r="J2" t="s">
        <v>50</v>
      </c>
      <c r="K2">
        <v>6.33</v>
      </c>
      <c r="L2">
        <v>6231500</v>
      </c>
      <c r="M2" s="5" t="s">
        <v>126</v>
      </c>
      <c r="N2">
        <v>30</v>
      </c>
      <c r="O2">
        <v>0</v>
      </c>
      <c r="P2">
        <v>0</v>
      </c>
      <c r="Q2" s="4">
        <v>6231500</v>
      </c>
      <c r="R2" s="4">
        <v>202127</v>
      </c>
      <c r="S2" s="4">
        <v>150000</v>
      </c>
      <c r="T2" s="16">
        <v>0</v>
      </c>
      <c r="U2" s="4">
        <v>6583627</v>
      </c>
      <c r="V2" s="4">
        <v>0</v>
      </c>
      <c r="W2" s="1">
        <v>0</v>
      </c>
      <c r="X2" s="1">
        <v>393975</v>
      </c>
      <c r="Y2" s="1">
        <v>31015</v>
      </c>
      <c r="Z2" s="1">
        <v>0</v>
      </c>
      <c r="AA2" s="1">
        <v>0</v>
      </c>
      <c r="AB2" s="1">
        <v>240858</v>
      </c>
      <c r="AC2" s="1">
        <v>7290</v>
      </c>
      <c r="AD2" s="1">
        <v>0</v>
      </c>
      <c r="AE2" s="1">
        <v>596350</v>
      </c>
      <c r="AF2" s="1">
        <v>0</v>
      </c>
      <c r="AG2" s="1">
        <v>0</v>
      </c>
      <c r="AH2" s="1">
        <v>177533</v>
      </c>
      <c r="AI2" s="1">
        <v>0</v>
      </c>
      <c r="AJ2" s="1">
        <v>177533</v>
      </c>
      <c r="AK2" s="1">
        <v>5136606</v>
      </c>
      <c r="AL2" s="17">
        <v>32000</v>
      </c>
      <c r="AM2" s="17">
        <v>82705</v>
      </c>
      <c r="AN2" s="17">
        <v>41353</v>
      </c>
      <c r="AO2" s="17">
        <v>61247</v>
      </c>
      <c r="AP2" s="1">
        <v>6800932</v>
      </c>
    </row>
    <row r="3" spans="1:42" x14ac:dyDescent="0.25">
      <c r="A3" t="s">
        <v>42</v>
      </c>
      <c r="B3" t="s">
        <v>43</v>
      </c>
      <c r="C3" t="s">
        <v>51</v>
      </c>
      <c r="D3" t="s">
        <v>52</v>
      </c>
      <c r="E3" t="s">
        <v>53</v>
      </c>
      <c r="F3" t="s">
        <v>54</v>
      </c>
      <c r="G3" t="s">
        <v>55</v>
      </c>
      <c r="I3" t="s">
        <v>56</v>
      </c>
      <c r="J3" t="s">
        <v>57</v>
      </c>
      <c r="K3">
        <v>11.54</v>
      </c>
      <c r="L3">
        <v>6395833</v>
      </c>
      <c r="M3" s="32" t="s">
        <v>128</v>
      </c>
      <c r="N3">
        <v>30</v>
      </c>
      <c r="O3">
        <v>1</v>
      </c>
      <c r="P3">
        <v>0</v>
      </c>
      <c r="Q3" s="4">
        <v>6395833</v>
      </c>
      <c r="R3" s="4">
        <v>202127</v>
      </c>
      <c r="S3" s="4">
        <v>150000</v>
      </c>
      <c r="T3" s="16">
        <v>300000</v>
      </c>
      <c r="U3" s="4">
        <v>7047960</v>
      </c>
      <c r="V3" s="4">
        <v>0</v>
      </c>
      <c r="W3" s="1">
        <v>0</v>
      </c>
      <c r="X3" s="1">
        <v>393631</v>
      </c>
      <c r="Y3" s="1">
        <v>31015</v>
      </c>
      <c r="Z3" s="1">
        <v>0</v>
      </c>
      <c r="AA3" s="1">
        <v>0</v>
      </c>
      <c r="AB3" s="1">
        <v>240858</v>
      </c>
      <c r="AC3" s="1">
        <v>211231</v>
      </c>
      <c r="AD3" s="1">
        <v>0</v>
      </c>
      <c r="AE3" s="1">
        <v>718332</v>
      </c>
      <c r="AF3" s="1">
        <v>0</v>
      </c>
      <c r="AG3" s="1">
        <v>0</v>
      </c>
      <c r="AH3" s="1">
        <v>0</v>
      </c>
      <c r="AI3" s="1">
        <v>0</v>
      </c>
      <c r="AJ3" s="1">
        <v>0</v>
      </c>
      <c r="AK3" s="1">
        <v>5452893</v>
      </c>
      <c r="AL3" s="17">
        <v>32000</v>
      </c>
      <c r="AM3" s="17">
        <v>82705</v>
      </c>
      <c r="AN3" s="17">
        <v>41353</v>
      </c>
      <c r="AO3" s="17">
        <v>61247</v>
      </c>
      <c r="AP3" s="1">
        <v>7265265</v>
      </c>
    </row>
    <row r="4" spans="1:42" x14ac:dyDescent="0.25">
      <c r="A4" t="s">
        <v>42</v>
      </c>
      <c r="B4" t="s">
        <v>43</v>
      </c>
      <c r="C4" t="s">
        <v>58</v>
      </c>
      <c r="D4" t="s">
        <v>59</v>
      </c>
      <c r="E4" t="s">
        <v>60</v>
      </c>
      <c r="F4" t="s">
        <v>61</v>
      </c>
      <c r="G4" t="s">
        <v>62</v>
      </c>
      <c r="I4" t="s">
        <v>56</v>
      </c>
      <c r="J4" t="s">
        <v>57</v>
      </c>
      <c r="K4">
        <v>6.14</v>
      </c>
      <c r="L4">
        <v>4766250</v>
      </c>
      <c r="M4" s="5" t="s">
        <v>130</v>
      </c>
      <c r="N4">
        <v>30</v>
      </c>
      <c r="O4">
        <v>0</v>
      </c>
      <c r="P4">
        <v>0</v>
      </c>
      <c r="Q4" s="4">
        <v>4766250</v>
      </c>
      <c r="R4" s="4">
        <v>202127</v>
      </c>
      <c r="S4" s="4">
        <v>150000</v>
      </c>
      <c r="T4" s="16">
        <v>0</v>
      </c>
      <c r="U4" s="4">
        <v>5118377</v>
      </c>
      <c r="V4" s="4">
        <v>0</v>
      </c>
      <c r="W4" s="1">
        <v>0</v>
      </c>
      <c r="X4" s="1">
        <v>393631</v>
      </c>
      <c r="Y4" s="1">
        <v>30710</v>
      </c>
      <c r="Z4" s="1">
        <v>0</v>
      </c>
      <c r="AA4" s="1">
        <v>0</v>
      </c>
      <c r="AB4" s="1">
        <v>240858</v>
      </c>
      <c r="AC4" s="1">
        <v>0</v>
      </c>
      <c r="AD4" s="1">
        <v>0</v>
      </c>
      <c r="AE4" s="1">
        <v>292950</v>
      </c>
      <c r="AF4" s="1">
        <v>0</v>
      </c>
      <c r="AG4" s="1">
        <v>73999</v>
      </c>
      <c r="AH4" s="1">
        <v>0</v>
      </c>
      <c r="AI4" s="1">
        <v>0</v>
      </c>
      <c r="AJ4" s="1">
        <v>73999</v>
      </c>
      <c r="AK4" s="1">
        <v>4086229</v>
      </c>
      <c r="AL4" s="17">
        <v>32000</v>
      </c>
      <c r="AM4" s="17">
        <v>81894</v>
      </c>
      <c r="AN4" s="17">
        <v>40947</v>
      </c>
      <c r="AO4" s="17">
        <v>61247</v>
      </c>
      <c r="AP4" s="1">
        <v>5334465</v>
      </c>
    </row>
    <row r="5" spans="1:42" s="3" customFormat="1" x14ac:dyDescent="0.25">
      <c r="A5" s="3" t="s">
        <v>42</v>
      </c>
      <c r="B5" s="3" t="s">
        <v>43</v>
      </c>
      <c r="C5" s="3" t="s">
        <v>120</v>
      </c>
      <c r="D5" s="3" t="s">
        <v>121</v>
      </c>
      <c r="E5" s="3" t="s">
        <v>122</v>
      </c>
      <c r="F5" s="3" t="s">
        <v>123</v>
      </c>
      <c r="G5" s="3" t="s">
        <v>124</v>
      </c>
      <c r="I5" s="3" t="s">
        <v>93</v>
      </c>
      <c r="J5" s="3" t="s">
        <v>57</v>
      </c>
      <c r="K5" s="3">
        <v>6.16</v>
      </c>
      <c r="L5" s="3">
        <v>3075000</v>
      </c>
      <c r="M5" s="32" t="s">
        <v>128</v>
      </c>
      <c r="N5" s="3">
        <v>30</v>
      </c>
      <c r="O5" s="3">
        <v>0</v>
      </c>
      <c r="P5" s="3">
        <v>0</v>
      </c>
      <c r="Q5" s="4">
        <v>3075000</v>
      </c>
      <c r="R5" s="4">
        <v>202127</v>
      </c>
      <c r="S5" s="4">
        <v>150000</v>
      </c>
      <c r="T5" s="16">
        <v>0</v>
      </c>
      <c r="U5" s="4">
        <v>3427127</v>
      </c>
      <c r="V5" s="4">
        <v>0</v>
      </c>
      <c r="W5" s="4">
        <v>0</v>
      </c>
      <c r="X5" s="4">
        <v>359506</v>
      </c>
      <c r="Y5" s="4">
        <v>20563</v>
      </c>
      <c r="Z5" s="4">
        <v>0</v>
      </c>
      <c r="AA5" s="4">
        <v>0</v>
      </c>
      <c r="AB5" s="4">
        <v>239899</v>
      </c>
      <c r="AC5" s="4">
        <v>1508</v>
      </c>
      <c r="AD5" s="4">
        <v>0</v>
      </c>
      <c r="AE5" s="4">
        <v>105048</v>
      </c>
      <c r="AF5" s="4">
        <v>0</v>
      </c>
      <c r="AG5" s="4">
        <v>36155</v>
      </c>
      <c r="AH5" s="4">
        <v>0</v>
      </c>
      <c r="AI5" s="4">
        <v>0</v>
      </c>
      <c r="AJ5" s="4">
        <v>36155</v>
      </c>
      <c r="AK5" s="4">
        <v>2664448</v>
      </c>
      <c r="AL5" s="17">
        <v>31872</v>
      </c>
      <c r="AM5" s="17">
        <v>54834</v>
      </c>
      <c r="AN5" s="17">
        <v>27417</v>
      </c>
      <c r="AO5" s="17">
        <v>61003</v>
      </c>
      <c r="AP5" s="4">
        <v>3602253</v>
      </c>
    </row>
    <row r="6" spans="1:42" x14ac:dyDescent="0.25">
      <c r="A6" t="s">
        <v>42</v>
      </c>
      <c r="B6" t="s">
        <v>43</v>
      </c>
      <c r="C6" t="s">
        <v>83</v>
      </c>
      <c r="D6" t="s">
        <v>84</v>
      </c>
      <c r="E6" t="s">
        <v>85</v>
      </c>
      <c r="F6" t="s">
        <v>86</v>
      </c>
      <c r="G6" t="s">
        <v>87</v>
      </c>
      <c r="I6" t="s">
        <v>74</v>
      </c>
      <c r="J6" t="s">
        <v>68</v>
      </c>
      <c r="K6">
        <v>6.73</v>
      </c>
      <c r="L6">
        <v>6825000</v>
      </c>
      <c r="M6" s="32" t="s">
        <v>128</v>
      </c>
      <c r="N6">
        <v>30</v>
      </c>
      <c r="O6">
        <v>0</v>
      </c>
      <c r="P6">
        <v>0</v>
      </c>
      <c r="Q6" s="4">
        <v>6825000</v>
      </c>
      <c r="R6" s="4">
        <v>202127</v>
      </c>
      <c r="S6" s="4">
        <v>150000</v>
      </c>
      <c r="T6" s="16">
        <v>0</v>
      </c>
      <c r="U6" s="4">
        <v>7177127</v>
      </c>
      <c r="V6" s="4">
        <v>0</v>
      </c>
      <c r="W6" s="1">
        <v>0</v>
      </c>
      <c r="X6" s="1">
        <v>364040</v>
      </c>
      <c r="Y6" s="1">
        <v>31015</v>
      </c>
      <c r="Z6" s="1">
        <v>0</v>
      </c>
      <c r="AA6" s="1">
        <v>0</v>
      </c>
      <c r="AB6" s="1">
        <v>240858</v>
      </c>
      <c r="AC6" s="1">
        <v>22848</v>
      </c>
      <c r="AD6" s="1">
        <v>0</v>
      </c>
      <c r="AE6" s="1">
        <v>766595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5751771</v>
      </c>
      <c r="AL6" s="17">
        <v>32000</v>
      </c>
      <c r="AM6" s="17">
        <v>82705</v>
      </c>
      <c r="AN6" s="17">
        <v>41353</v>
      </c>
      <c r="AO6" s="17">
        <v>61247</v>
      </c>
      <c r="AP6" s="1">
        <v>7394432</v>
      </c>
    </row>
    <row r="7" spans="1:42" x14ac:dyDescent="0.25">
      <c r="A7" t="s">
        <v>42</v>
      </c>
      <c r="B7" t="s">
        <v>43</v>
      </c>
      <c r="C7" t="s">
        <v>88</v>
      </c>
      <c r="D7" t="s">
        <v>89</v>
      </c>
      <c r="E7" t="s">
        <v>90</v>
      </c>
      <c r="F7" t="s">
        <v>91</v>
      </c>
      <c r="G7" t="s">
        <v>92</v>
      </c>
      <c r="I7" t="s">
        <v>93</v>
      </c>
      <c r="J7" t="s">
        <v>75</v>
      </c>
      <c r="L7">
        <v>1750000</v>
      </c>
      <c r="M7" s="33" t="s">
        <v>129</v>
      </c>
      <c r="N7">
        <v>30</v>
      </c>
      <c r="O7">
        <v>0</v>
      </c>
      <c r="P7">
        <v>0</v>
      </c>
      <c r="Q7" s="4">
        <v>1750000</v>
      </c>
      <c r="R7" s="4">
        <v>202127</v>
      </c>
      <c r="S7" s="4">
        <v>150000</v>
      </c>
      <c r="T7" s="16">
        <v>0</v>
      </c>
      <c r="U7" s="4">
        <v>2102127</v>
      </c>
      <c r="V7" s="4">
        <v>0</v>
      </c>
      <c r="W7" s="1">
        <v>0</v>
      </c>
      <c r="X7" s="1">
        <v>220513</v>
      </c>
      <c r="Y7" s="1">
        <v>12613</v>
      </c>
      <c r="Z7" s="1">
        <v>0</v>
      </c>
      <c r="AA7" s="1">
        <v>147149</v>
      </c>
      <c r="AB7" s="1">
        <v>0</v>
      </c>
      <c r="AC7" s="1">
        <v>0</v>
      </c>
      <c r="AD7" s="1">
        <v>0</v>
      </c>
      <c r="AE7" s="1">
        <v>31804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1690048</v>
      </c>
      <c r="AL7" s="17">
        <v>19550</v>
      </c>
      <c r="AM7" s="17">
        <v>33634</v>
      </c>
      <c r="AN7" s="17">
        <v>16817</v>
      </c>
      <c r="AO7" s="17">
        <v>37418</v>
      </c>
      <c r="AP7" s="1">
        <v>2209546</v>
      </c>
    </row>
    <row r="8" spans="1:42" x14ac:dyDescent="0.25">
      <c r="A8" t="s">
        <v>42</v>
      </c>
      <c r="B8" t="s">
        <v>43</v>
      </c>
      <c r="C8" t="s">
        <v>69</v>
      </c>
      <c r="D8" t="s">
        <v>70</v>
      </c>
      <c r="E8" t="s">
        <v>71</v>
      </c>
      <c r="F8" t="s">
        <v>72</v>
      </c>
      <c r="G8" t="s">
        <v>73</v>
      </c>
      <c r="I8" t="s">
        <v>74</v>
      </c>
      <c r="J8" t="s">
        <v>75</v>
      </c>
      <c r="L8">
        <v>1500000</v>
      </c>
      <c r="M8" s="5" t="s">
        <v>126</v>
      </c>
      <c r="N8">
        <v>30</v>
      </c>
      <c r="O8">
        <v>0</v>
      </c>
      <c r="P8">
        <v>0</v>
      </c>
      <c r="Q8" s="4">
        <v>1500000</v>
      </c>
      <c r="R8" s="4">
        <v>202127</v>
      </c>
      <c r="S8" s="4">
        <v>150000</v>
      </c>
      <c r="T8" s="16">
        <v>0</v>
      </c>
      <c r="U8" s="4">
        <v>1852127</v>
      </c>
      <c r="V8" s="4">
        <v>0</v>
      </c>
      <c r="W8" s="1">
        <v>0</v>
      </c>
      <c r="X8" s="1">
        <v>195955</v>
      </c>
      <c r="Y8" s="1">
        <v>11113</v>
      </c>
      <c r="Z8" s="1">
        <v>0</v>
      </c>
      <c r="AA8" s="1">
        <v>129649</v>
      </c>
      <c r="AB8" s="1">
        <v>0</v>
      </c>
      <c r="AC8" s="1">
        <v>0</v>
      </c>
      <c r="AD8" s="1">
        <v>0</v>
      </c>
      <c r="AE8" s="1">
        <v>23546</v>
      </c>
      <c r="AF8" s="1">
        <v>0</v>
      </c>
      <c r="AG8" s="1">
        <v>73999</v>
      </c>
      <c r="AH8" s="1">
        <v>0</v>
      </c>
      <c r="AI8" s="1">
        <v>0</v>
      </c>
      <c r="AJ8" s="1">
        <v>73999</v>
      </c>
      <c r="AK8" s="1">
        <v>1417865</v>
      </c>
      <c r="AL8" s="17">
        <v>17225</v>
      </c>
      <c r="AM8" s="17">
        <v>29634</v>
      </c>
      <c r="AN8" s="17">
        <v>14817</v>
      </c>
      <c r="AO8" s="17">
        <v>32968</v>
      </c>
      <c r="AP8" s="1">
        <v>1946771</v>
      </c>
    </row>
    <row r="9" spans="1:42" x14ac:dyDescent="0.25">
      <c r="A9" t="s">
        <v>42</v>
      </c>
      <c r="B9" t="s">
        <v>43</v>
      </c>
      <c r="C9" t="s">
        <v>105</v>
      </c>
      <c r="D9" t="s">
        <v>106</v>
      </c>
      <c r="E9" t="s">
        <v>107</v>
      </c>
      <c r="F9" t="s">
        <v>108</v>
      </c>
      <c r="G9" t="s">
        <v>109</v>
      </c>
      <c r="I9" t="s">
        <v>99</v>
      </c>
      <c r="J9" t="s">
        <v>50</v>
      </c>
      <c r="K9">
        <v>6.86</v>
      </c>
      <c r="L9">
        <v>4715000</v>
      </c>
      <c r="M9" s="32" t="s">
        <v>128</v>
      </c>
      <c r="N9">
        <v>30</v>
      </c>
      <c r="O9">
        <v>0</v>
      </c>
      <c r="P9">
        <v>0</v>
      </c>
      <c r="Q9" s="4">
        <v>4715000</v>
      </c>
      <c r="R9" s="4">
        <v>202127</v>
      </c>
      <c r="S9" s="4">
        <v>150000</v>
      </c>
      <c r="T9" s="16">
        <v>0</v>
      </c>
      <c r="U9" s="4">
        <v>5067127</v>
      </c>
      <c r="V9" s="4">
        <v>0</v>
      </c>
      <c r="W9" s="1">
        <v>0</v>
      </c>
      <c r="X9" s="1">
        <v>383997</v>
      </c>
      <c r="Y9" s="1">
        <v>30403</v>
      </c>
      <c r="Z9" s="1">
        <v>0</v>
      </c>
      <c r="AA9" s="1">
        <v>0</v>
      </c>
      <c r="AB9" s="1">
        <v>240858</v>
      </c>
      <c r="AC9" s="1">
        <v>27786</v>
      </c>
      <c r="AD9" s="1">
        <v>0</v>
      </c>
      <c r="AE9" s="1">
        <v>287373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4096710</v>
      </c>
      <c r="AL9" s="17">
        <v>32000</v>
      </c>
      <c r="AM9" s="17">
        <v>81074</v>
      </c>
      <c r="AN9" s="17">
        <v>40537</v>
      </c>
      <c r="AO9" s="17">
        <v>61247</v>
      </c>
      <c r="AP9" s="1">
        <v>5281985</v>
      </c>
    </row>
    <row r="10" spans="1:42" s="3" customFormat="1" x14ac:dyDescent="0.25">
      <c r="A10" s="3" t="s">
        <v>42</v>
      </c>
      <c r="B10" s="3" t="s">
        <v>43</v>
      </c>
      <c r="C10" s="3" t="s">
        <v>115</v>
      </c>
      <c r="D10" s="3" t="s">
        <v>116</v>
      </c>
      <c r="E10" s="3" t="s">
        <v>117</v>
      </c>
      <c r="F10" s="3" t="s">
        <v>118</v>
      </c>
      <c r="G10" s="3" t="s">
        <v>119</v>
      </c>
      <c r="I10" s="3" t="s">
        <v>74</v>
      </c>
      <c r="J10" s="3" t="s">
        <v>75</v>
      </c>
      <c r="L10" s="3">
        <v>17352371</v>
      </c>
      <c r="M10" s="3" t="s">
        <v>127</v>
      </c>
      <c r="N10" s="3">
        <v>30</v>
      </c>
      <c r="O10" s="3">
        <v>0</v>
      </c>
      <c r="P10" s="3">
        <v>0</v>
      </c>
      <c r="Q10" s="4">
        <v>17352371</v>
      </c>
      <c r="R10" s="4">
        <v>202127</v>
      </c>
      <c r="S10" s="4">
        <v>150000</v>
      </c>
      <c r="T10" s="16">
        <v>0</v>
      </c>
      <c r="U10" s="4">
        <v>17704498</v>
      </c>
      <c r="V10" s="4">
        <v>0</v>
      </c>
      <c r="W10" s="4">
        <v>0</v>
      </c>
      <c r="X10" s="4">
        <v>364040</v>
      </c>
      <c r="Y10" s="4">
        <v>31015</v>
      </c>
      <c r="Z10" s="4">
        <v>0</v>
      </c>
      <c r="AA10" s="4">
        <v>240858</v>
      </c>
      <c r="AB10" s="4">
        <v>0</v>
      </c>
      <c r="AC10" s="4">
        <v>0</v>
      </c>
      <c r="AD10" s="4">
        <v>0</v>
      </c>
      <c r="AE10" s="4">
        <v>4373133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12695452</v>
      </c>
      <c r="AL10" s="17">
        <v>32000</v>
      </c>
      <c r="AM10" s="17">
        <v>82705</v>
      </c>
      <c r="AN10" s="17">
        <v>41353</v>
      </c>
      <c r="AO10" s="17">
        <v>61247</v>
      </c>
      <c r="AP10" s="4">
        <v>17921803</v>
      </c>
    </row>
    <row r="11" spans="1:42" x14ac:dyDescent="0.25">
      <c r="A11" t="s">
        <v>42</v>
      </c>
      <c r="B11" t="s">
        <v>43</v>
      </c>
      <c r="C11" t="s">
        <v>63</v>
      </c>
      <c r="D11" t="s">
        <v>64</v>
      </c>
      <c r="E11" t="s">
        <v>65</v>
      </c>
      <c r="F11" t="s">
        <v>66</v>
      </c>
      <c r="G11" t="s">
        <v>67</v>
      </c>
      <c r="I11" t="s">
        <v>56</v>
      </c>
      <c r="J11" t="s">
        <v>68</v>
      </c>
      <c r="K11">
        <v>7.17</v>
      </c>
      <c r="L11">
        <v>7500000</v>
      </c>
      <c r="M11" s="32" t="s">
        <v>128</v>
      </c>
      <c r="N11">
        <v>30</v>
      </c>
      <c r="O11">
        <v>1</v>
      </c>
      <c r="P11">
        <v>0</v>
      </c>
      <c r="Q11" s="4">
        <v>7500000</v>
      </c>
      <c r="R11" s="4">
        <v>202127</v>
      </c>
      <c r="S11" s="4">
        <v>150000</v>
      </c>
      <c r="T11" s="16">
        <v>0</v>
      </c>
      <c r="U11" s="4">
        <v>7852127</v>
      </c>
      <c r="V11" s="4">
        <v>0</v>
      </c>
      <c r="W11" s="1">
        <v>0</v>
      </c>
      <c r="X11" s="1">
        <v>393631</v>
      </c>
      <c r="Y11" s="1">
        <v>31015</v>
      </c>
      <c r="Z11" s="1">
        <v>0</v>
      </c>
      <c r="AA11" s="1">
        <v>0</v>
      </c>
      <c r="AB11" s="1">
        <v>240858</v>
      </c>
      <c r="AC11" s="1">
        <v>40170</v>
      </c>
      <c r="AD11" s="1">
        <v>0</v>
      </c>
      <c r="AE11" s="1">
        <v>962799</v>
      </c>
      <c r="AF11" s="1">
        <v>0</v>
      </c>
      <c r="AG11" s="1">
        <v>73999</v>
      </c>
      <c r="AH11" s="1">
        <v>0</v>
      </c>
      <c r="AI11" s="1">
        <v>0</v>
      </c>
      <c r="AJ11" s="1">
        <v>73999</v>
      </c>
      <c r="AK11" s="1">
        <v>6109655</v>
      </c>
      <c r="AL11" s="17">
        <v>32000</v>
      </c>
      <c r="AM11" s="17">
        <v>82705</v>
      </c>
      <c r="AN11" s="17">
        <v>41353</v>
      </c>
      <c r="AO11" s="17">
        <v>61247</v>
      </c>
      <c r="AP11" s="1">
        <v>8069432</v>
      </c>
    </row>
    <row r="12" spans="1:42" x14ac:dyDescent="0.25">
      <c r="A12" t="s">
        <v>42</v>
      </c>
      <c r="B12" t="s">
        <v>43</v>
      </c>
      <c r="C12" t="s">
        <v>76</v>
      </c>
      <c r="D12" t="s">
        <v>77</v>
      </c>
      <c r="E12" t="s">
        <v>78</v>
      </c>
      <c r="F12" t="s">
        <v>79</v>
      </c>
      <c r="G12" t="s">
        <v>80</v>
      </c>
      <c r="I12" t="s">
        <v>81</v>
      </c>
      <c r="J12" t="s">
        <v>82</v>
      </c>
      <c r="K12">
        <v>11.96</v>
      </c>
      <c r="L12">
        <v>6562600</v>
      </c>
      <c r="M12" s="32" t="s">
        <v>128</v>
      </c>
      <c r="N12">
        <v>30</v>
      </c>
      <c r="O12">
        <v>2</v>
      </c>
      <c r="P12">
        <v>0</v>
      </c>
      <c r="Q12" s="4">
        <v>6562600</v>
      </c>
      <c r="R12" s="4">
        <v>202127</v>
      </c>
      <c r="S12" s="4">
        <v>150000</v>
      </c>
      <c r="T12" s="16">
        <v>0</v>
      </c>
      <c r="U12" s="4">
        <v>6914727</v>
      </c>
      <c r="V12" s="4">
        <v>0</v>
      </c>
      <c r="W12" s="1">
        <v>0</v>
      </c>
      <c r="X12" s="1">
        <v>387782</v>
      </c>
      <c r="Y12" s="1">
        <v>31015</v>
      </c>
      <c r="Z12" s="1">
        <v>0</v>
      </c>
      <c r="AA12" s="1">
        <v>0</v>
      </c>
      <c r="AB12" s="1">
        <v>240858</v>
      </c>
      <c r="AC12" s="1">
        <v>228005</v>
      </c>
      <c r="AD12" s="1">
        <v>156758</v>
      </c>
      <c r="AE12" s="1">
        <v>679607</v>
      </c>
      <c r="AF12" s="1">
        <v>0</v>
      </c>
      <c r="AG12" s="1">
        <v>72795</v>
      </c>
      <c r="AH12" s="1">
        <v>0</v>
      </c>
      <c r="AI12" s="1">
        <v>0</v>
      </c>
      <c r="AJ12" s="1">
        <v>72795</v>
      </c>
      <c r="AK12" s="1">
        <v>5117907</v>
      </c>
      <c r="AL12" s="17">
        <v>32000</v>
      </c>
      <c r="AM12" s="17">
        <v>82705</v>
      </c>
      <c r="AN12" s="17">
        <v>41353</v>
      </c>
      <c r="AO12" s="17">
        <v>61247</v>
      </c>
      <c r="AP12" s="1">
        <v>7132032</v>
      </c>
    </row>
    <row r="13" spans="1:42" s="31" customFormat="1" x14ac:dyDescent="0.25">
      <c r="A13" s="31" t="s">
        <v>42</v>
      </c>
      <c r="B13" s="31" t="s">
        <v>43</v>
      </c>
      <c r="C13" s="31" t="s">
        <v>110</v>
      </c>
      <c r="D13" s="31" t="s">
        <v>111</v>
      </c>
      <c r="E13" s="31" t="s">
        <v>112</v>
      </c>
      <c r="F13" s="31" t="s">
        <v>113</v>
      </c>
      <c r="G13" s="31" t="s">
        <v>103</v>
      </c>
      <c r="I13" s="31" t="s">
        <v>74</v>
      </c>
      <c r="J13" s="31" t="s">
        <v>114</v>
      </c>
      <c r="K13" s="31">
        <v>11.67</v>
      </c>
      <c r="L13" s="31">
        <v>10882526</v>
      </c>
      <c r="M13" s="31" t="s">
        <v>130</v>
      </c>
      <c r="N13" s="31">
        <v>30</v>
      </c>
      <c r="O13" s="31">
        <v>1</v>
      </c>
      <c r="P13" s="31">
        <v>0</v>
      </c>
      <c r="Q13" s="16">
        <v>10882526</v>
      </c>
      <c r="R13" s="16">
        <v>202127</v>
      </c>
      <c r="S13" s="16">
        <v>150000</v>
      </c>
      <c r="T13" s="16">
        <v>0</v>
      </c>
      <c r="U13" s="16">
        <v>11234653</v>
      </c>
      <c r="V13" s="16">
        <v>0</v>
      </c>
      <c r="W13" s="16">
        <v>0</v>
      </c>
      <c r="X13" s="16">
        <v>364040</v>
      </c>
      <c r="Y13" s="16">
        <v>31015</v>
      </c>
      <c r="Z13" s="16">
        <v>0</v>
      </c>
      <c r="AA13" s="16">
        <v>0</v>
      </c>
      <c r="AB13" s="16">
        <v>240858</v>
      </c>
      <c r="AC13" s="16">
        <v>216483</v>
      </c>
      <c r="AD13" s="16">
        <v>0</v>
      </c>
      <c r="AE13" s="16">
        <v>2108688</v>
      </c>
      <c r="AF13" s="16">
        <v>0</v>
      </c>
      <c r="AG13" s="16">
        <v>56460</v>
      </c>
      <c r="AH13" s="16">
        <v>0</v>
      </c>
      <c r="AI13" s="16">
        <v>0</v>
      </c>
      <c r="AJ13" s="16">
        <v>56460</v>
      </c>
      <c r="AK13" s="16">
        <v>8217109</v>
      </c>
      <c r="AL13" s="16">
        <v>32000</v>
      </c>
      <c r="AM13" s="16">
        <v>82705</v>
      </c>
      <c r="AN13" s="16">
        <v>41353</v>
      </c>
      <c r="AO13" s="16">
        <v>61247</v>
      </c>
      <c r="AP13" s="16">
        <v>11451958</v>
      </c>
    </row>
    <row r="14" spans="1:42" x14ac:dyDescent="0.25">
      <c r="A14" t="s">
        <v>42</v>
      </c>
      <c r="B14" t="s">
        <v>43</v>
      </c>
      <c r="C14" t="s">
        <v>100</v>
      </c>
      <c r="D14" t="s">
        <v>101</v>
      </c>
      <c r="E14" t="s">
        <v>102</v>
      </c>
      <c r="F14" t="s">
        <v>97</v>
      </c>
      <c r="G14" t="s">
        <v>103</v>
      </c>
      <c r="I14" t="s">
        <v>99</v>
      </c>
      <c r="J14" t="s">
        <v>104</v>
      </c>
      <c r="K14">
        <v>5.89</v>
      </c>
      <c r="L14">
        <v>2706000</v>
      </c>
      <c r="M14" s="5" t="s">
        <v>126</v>
      </c>
      <c r="N14">
        <v>30</v>
      </c>
      <c r="O14">
        <v>0</v>
      </c>
      <c r="P14">
        <v>0</v>
      </c>
      <c r="Q14" s="4">
        <v>2706000</v>
      </c>
      <c r="R14" s="4">
        <v>202127</v>
      </c>
      <c r="S14" s="4">
        <v>150000</v>
      </c>
      <c r="T14" s="16">
        <v>0</v>
      </c>
      <c r="U14" s="4">
        <v>3058127</v>
      </c>
      <c r="V14" s="4">
        <v>50000</v>
      </c>
      <c r="W14" s="1">
        <v>50000</v>
      </c>
      <c r="X14" s="1">
        <v>341287</v>
      </c>
      <c r="Y14" s="1">
        <v>18349</v>
      </c>
      <c r="Z14" s="1">
        <v>0</v>
      </c>
      <c r="AA14" s="1">
        <v>0</v>
      </c>
      <c r="AB14" s="1">
        <v>214069</v>
      </c>
      <c r="AC14" s="1">
        <v>16639</v>
      </c>
      <c r="AD14" s="1">
        <v>0</v>
      </c>
      <c r="AE14" s="1">
        <v>77975</v>
      </c>
      <c r="AF14" s="1">
        <v>0</v>
      </c>
      <c r="AG14" s="1">
        <v>73999</v>
      </c>
      <c r="AH14" s="1">
        <v>0</v>
      </c>
      <c r="AI14" s="1">
        <v>0</v>
      </c>
      <c r="AJ14" s="1">
        <v>73999</v>
      </c>
      <c r="AK14" s="1">
        <v>2365809</v>
      </c>
      <c r="AL14" s="17">
        <v>28441</v>
      </c>
      <c r="AM14" s="17">
        <v>48930</v>
      </c>
      <c r="AN14" s="17">
        <v>24465</v>
      </c>
      <c r="AO14" s="17">
        <v>54435</v>
      </c>
      <c r="AP14" s="1">
        <v>3264398</v>
      </c>
    </row>
    <row r="15" spans="1:42" x14ac:dyDescent="0.25">
      <c r="A15" t="s">
        <v>42</v>
      </c>
      <c r="B15" t="s">
        <v>43</v>
      </c>
      <c r="C15" t="s">
        <v>94</v>
      </c>
      <c r="D15" t="s">
        <v>95</v>
      </c>
      <c r="E15" t="s">
        <v>96</v>
      </c>
      <c r="F15" t="s">
        <v>97</v>
      </c>
      <c r="G15" t="s">
        <v>98</v>
      </c>
      <c r="I15" t="s">
        <v>99</v>
      </c>
      <c r="J15" t="s">
        <v>82</v>
      </c>
      <c r="K15">
        <v>6.28</v>
      </c>
      <c r="L15">
        <v>5500000</v>
      </c>
      <c r="M15" s="32" t="s">
        <v>128</v>
      </c>
      <c r="N15">
        <v>30</v>
      </c>
      <c r="O15">
        <v>0</v>
      </c>
      <c r="P15">
        <v>0</v>
      </c>
      <c r="Q15" s="4">
        <v>5500000</v>
      </c>
      <c r="R15" s="4">
        <v>202127</v>
      </c>
      <c r="S15" s="4">
        <v>150000</v>
      </c>
      <c r="T15" s="16">
        <v>300000</v>
      </c>
      <c r="U15" s="4">
        <v>6152127</v>
      </c>
      <c r="V15" s="4">
        <v>0</v>
      </c>
      <c r="W15" s="1">
        <v>0</v>
      </c>
      <c r="X15" s="1">
        <v>383997</v>
      </c>
      <c r="Y15" s="1">
        <v>27913</v>
      </c>
      <c r="Z15" s="1">
        <v>0</v>
      </c>
      <c r="AA15" s="1">
        <v>0</v>
      </c>
      <c r="AB15" s="1">
        <v>240858</v>
      </c>
      <c r="AC15" s="1">
        <v>5369</v>
      </c>
      <c r="AD15" s="1">
        <v>0</v>
      </c>
      <c r="AE15" s="1">
        <v>500114</v>
      </c>
      <c r="AF15" s="1">
        <v>0</v>
      </c>
      <c r="AG15" s="1">
        <v>0</v>
      </c>
      <c r="AH15" s="1">
        <v>0</v>
      </c>
      <c r="AI15" s="1">
        <v>0</v>
      </c>
      <c r="AJ15" s="1">
        <v>0</v>
      </c>
      <c r="AK15" s="1">
        <v>4993876</v>
      </c>
      <c r="AL15" s="17">
        <v>32000</v>
      </c>
      <c r="AM15" s="17">
        <v>88908</v>
      </c>
      <c r="AN15" s="17">
        <v>38251</v>
      </c>
      <c r="AO15" s="17">
        <v>61247</v>
      </c>
      <c r="AP15" s="1">
        <v>6372533</v>
      </c>
    </row>
    <row r="16" spans="1:42" x14ac:dyDescent="0.25"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</row>
    <row r="17" spans="1:42" x14ac:dyDescent="0.25">
      <c r="A17" t="s">
        <v>125</v>
      </c>
      <c r="B17" t="s">
        <v>125</v>
      </c>
      <c r="C17" t="s">
        <v>125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 t="s">
        <v>125</v>
      </c>
      <c r="J17" t="s">
        <v>125</v>
      </c>
      <c r="K17" t="s">
        <v>125</v>
      </c>
      <c r="L17" t="s">
        <v>125</v>
      </c>
      <c r="M17" t="s">
        <v>125</v>
      </c>
      <c r="N17" t="s">
        <v>125</v>
      </c>
      <c r="O17" t="s">
        <v>125</v>
      </c>
      <c r="P17" t="s">
        <v>125</v>
      </c>
      <c r="Q17" s="2">
        <f>SUM(Q2:Q16)</f>
        <v>85762080</v>
      </c>
      <c r="R17" s="2">
        <f>SUM(R2:R16)</f>
        <v>2829778</v>
      </c>
      <c r="S17" s="2">
        <f>SUM(S2:S16)</f>
        <v>2100000</v>
      </c>
      <c r="T17" s="2">
        <f>SUM(T2:T16)</f>
        <v>600000</v>
      </c>
      <c r="U17" s="2">
        <f>SUM(U2:U16)</f>
        <v>91291858</v>
      </c>
      <c r="V17" s="2">
        <f>SUM(V2:V16)</f>
        <v>50000</v>
      </c>
      <c r="W17" s="2">
        <f>SUM(W2:W16)</f>
        <v>50000</v>
      </c>
      <c r="X17" s="2">
        <f>SUM(X2:X16)</f>
        <v>4940025</v>
      </c>
      <c r="Y17" s="2">
        <f>SUM(Y2:Y16)</f>
        <v>368769</v>
      </c>
      <c r="Z17" s="2">
        <f>SUM(Z2:Z16)</f>
        <v>0</v>
      </c>
      <c r="AA17" s="2">
        <f>SUM(AA2:AA16)</f>
        <v>517656</v>
      </c>
      <c r="AB17" s="2">
        <f>SUM(AB2:AB16)</f>
        <v>2621690</v>
      </c>
      <c r="AC17" s="2">
        <f>SUM(AC2:AC16)</f>
        <v>777329</v>
      </c>
      <c r="AD17" s="2">
        <f>SUM(AD2:AD16)</f>
        <v>156758</v>
      </c>
      <c r="AE17" s="21">
        <f>SUM(AE2:AE16)</f>
        <v>11524314</v>
      </c>
      <c r="AF17" s="2">
        <f>SUM(AF2:AF16)</f>
        <v>0</v>
      </c>
      <c r="AG17" s="20">
        <f>SUM(AG2:AG16)</f>
        <v>461406</v>
      </c>
      <c r="AH17" s="19">
        <f>SUM(AH2:AH16)</f>
        <v>177533</v>
      </c>
      <c r="AI17" s="2">
        <f>SUM(AI2:AI16)</f>
        <v>0</v>
      </c>
      <c r="AJ17" s="2">
        <f>SUM(AJ2:AJ16)</f>
        <v>638939</v>
      </c>
      <c r="AK17" s="18">
        <f>SUM(AK2:AK16)</f>
        <v>69796378</v>
      </c>
      <c r="AL17" s="2">
        <f>SUM(AL2:AL16)</f>
        <v>417088</v>
      </c>
      <c r="AM17" s="2">
        <f>SUM(AM2:AM16)</f>
        <v>997843</v>
      </c>
      <c r="AN17" s="2">
        <f>SUM(AN2:AN16)</f>
        <v>492722</v>
      </c>
      <c r="AO17" s="2">
        <f>SUM(AO2:AO16)</f>
        <v>798294</v>
      </c>
      <c r="AP17" s="2">
        <f>SUM(AP2:AP16)</f>
        <v>94047805</v>
      </c>
    </row>
    <row r="18" spans="1:42" x14ac:dyDescent="0.25">
      <c r="A18" t="s">
        <v>125</v>
      </c>
      <c r="B18" t="s">
        <v>125</v>
      </c>
      <c r="C18" t="s">
        <v>125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 t="s">
        <v>125</v>
      </c>
      <c r="J18" t="s">
        <v>125</v>
      </c>
      <c r="K18" t="s">
        <v>125</v>
      </c>
      <c r="L18" t="s">
        <v>125</v>
      </c>
      <c r="M18" t="s">
        <v>125</v>
      </c>
      <c r="N18" t="s">
        <v>125</v>
      </c>
      <c r="O18" t="s">
        <v>125</v>
      </c>
      <c r="P18" t="s">
        <v>125</v>
      </c>
      <c r="Q18" s="3" t="s">
        <v>146</v>
      </c>
      <c r="R18" s="3" t="s">
        <v>146</v>
      </c>
      <c r="S18" s="3" t="s">
        <v>146</v>
      </c>
      <c r="T18" t="s">
        <v>147</v>
      </c>
      <c r="U18" t="s">
        <v>125</v>
      </c>
      <c r="V18" t="s">
        <v>125</v>
      </c>
      <c r="W18" t="s">
        <v>125</v>
      </c>
      <c r="X18" t="s">
        <v>125</v>
      </c>
      <c r="Y18" t="s">
        <v>125</v>
      </c>
      <c r="Z18" t="s">
        <v>125</v>
      </c>
      <c r="AA18" t="s">
        <v>125</v>
      </c>
      <c r="AB18" t="s">
        <v>125</v>
      </c>
      <c r="AC18" t="s">
        <v>125</v>
      </c>
      <c r="AD18" t="s">
        <v>125</v>
      </c>
      <c r="AE18" t="s">
        <v>125</v>
      </c>
      <c r="AF18" t="s">
        <v>125</v>
      </c>
      <c r="AG18" t="s">
        <v>125</v>
      </c>
      <c r="AH18" t="s">
        <v>125</v>
      </c>
      <c r="AI18" t="s">
        <v>125</v>
      </c>
      <c r="AJ18" t="s">
        <v>125</v>
      </c>
      <c r="AK18" t="s">
        <v>125</v>
      </c>
      <c r="AL18" t="s">
        <v>125</v>
      </c>
      <c r="AM18" t="s">
        <v>125</v>
      </c>
      <c r="AN18" t="s">
        <v>125</v>
      </c>
      <c r="AO18" t="s">
        <v>125</v>
      </c>
      <c r="AP18" t="s">
        <v>125</v>
      </c>
    </row>
    <row r="19" spans="1:42" x14ac:dyDescent="0.25">
      <c r="F19" s="6">
        <f>F21-AP17</f>
        <v>0</v>
      </c>
      <c r="T19" t="s">
        <v>148</v>
      </c>
      <c r="V19" s="5" t="s">
        <v>146</v>
      </c>
      <c r="X19">
        <v>2414</v>
      </c>
      <c r="Y19">
        <v>2414</v>
      </c>
      <c r="AA19">
        <v>2414</v>
      </c>
      <c r="AB19">
        <v>2414</v>
      </c>
      <c r="AC19">
        <v>2414</v>
      </c>
      <c r="AD19">
        <v>2414</v>
      </c>
      <c r="AE19">
        <v>2554</v>
      </c>
      <c r="AG19">
        <v>2414</v>
      </c>
      <c r="AH19">
        <v>2554</v>
      </c>
      <c r="AK19">
        <v>2411</v>
      </c>
      <c r="AL19">
        <v>6308</v>
      </c>
      <c r="AM19" t="s">
        <v>149</v>
      </c>
    </row>
    <row r="20" spans="1:42" x14ac:dyDescent="0.25">
      <c r="AL20">
        <v>5213</v>
      </c>
      <c r="AM20" t="s">
        <v>150</v>
      </c>
    </row>
    <row r="21" spans="1:42" x14ac:dyDescent="0.25">
      <c r="B21" s="26" t="s">
        <v>143</v>
      </c>
      <c r="C21" s="13" t="s">
        <v>144</v>
      </c>
      <c r="D21" s="13"/>
      <c r="E21" s="13" t="s">
        <v>145</v>
      </c>
      <c r="F21" s="14">
        <f>SUM(F22:F47)</f>
        <v>94047805</v>
      </c>
      <c r="G21" s="14">
        <f>SUM(G22:G47)</f>
        <v>94047805</v>
      </c>
      <c r="H21" s="8">
        <f>F21-G21</f>
        <v>0</v>
      </c>
      <c r="I21" s="7"/>
      <c r="J21" s="7"/>
      <c r="K21" s="7"/>
      <c r="L21" s="7">
        <v>20</v>
      </c>
      <c r="M21" s="30" t="s">
        <v>131</v>
      </c>
      <c r="N21" s="30"/>
      <c r="O21" s="7"/>
      <c r="P21" s="7"/>
      <c r="Q21" s="7"/>
      <c r="R21" s="7"/>
      <c r="S21" s="7"/>
      <c r="T21" s="7"/>
      <c r="U21" s="8">
        <f>+U2/30*$L$22</f>
        <v>365757.05562870699</v>
      </c>
      <c r="AL21">
        <v>5013</v>
      </c>
      <c r="AM21" t="s">
        <v>151</v>
      </c>
    </row>
    <row r="22" spans="1:42" x14ac:dyDescent="0.25">
      <c r="B22">
        <v>5011</v>
      </c>
      <c r="C22" s="7" t="s">
        <v>132</v>
      </c>
      <c r="D22" s="9" t="s">
        <v>128</v>
      </c>
      <c r="E22" s="7">
        <v>7020201</v>
      </c>
      <c r="F22" s="28">
        <f>SUMIF($M$2:$M$15,D22,$Q$2:$Q$15)+SUMIF($M$2:$M$15,D22,$S$2:$S$15)+SUMIF($M$2:$M$15,D22,$V$2:$V$15)+SUMIF($M$2:$M$15,D22,$R$2:$R$15)</f>
        <v>43038322</v>
      </c>
      <c r="G22" s="24"/>
      <c r="H22" s="7"/>
      <c r="I22" s="7"/>
      <c r="J22" s="7"/>
      <c r="K22" s="7"/>
      <c r="L22" s="7">
        <v>1.6666666670000001</v>
      </c>
      <c r="M22" s="30" t="s">
        <v>133</v>
      </c>
      <c r="N22" s="30"/>
      <c r="O22" s="7"/>
      <c r="P22" s="7"/>
      <c r="Q22" s="7"/>
      <c r="R22" s="7"/>
      <c r="S22" s="7"/>
      <c r="T22" s="7"/>
      <c r="U22" s="8">
        <f>+U3/30*$L$22</f>
        <v>391553.33341164404</v>
      </c>
      <c r="AL22">
        <v>6303</v>
      </c>
      <c r="AM22" t="s">
        <v>152</v>
      </c>
    </row>
    <row r="23" spans="1:42" x14ac:dyDescent="0.25">
      <c r="B23">
        <v>5012</v>
      </c>
      <c r="C23" s="7" t="s">
        <v>134</v>
      </c>
      <c r="D23" s="9" t="s">
        <v>128</v>
      </c>
      <c r="E23" s="7">
        <v>7020202</v>
      </c>
      <c r="F23" s="29">
        <f>SUMIF($M$2:$M$15,D23,$T$2:$T$15)</f>
        <v>600000</v>
      </c>
      <c r="G23" s="24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8">
        <f>+U4/30*$L$22</f>
        <v>284354.27783464867</v>
      </c>
    </row>
    <row r="24" spans="1:42" x14ac:dyDescent="0.25">
      <c r="B24">
        <v>5013</v>
      </c>
      <c r="C24" s="7" t="s">
        <v>23</v>
      </c>
      <c r="D24" s="9" t="s">
        <v>128</v>
      </c>
      <c r="E24" s="7">
        <v>7020203</v>
      </c>
      <c r="F24" s="17">
        <f>SUMIF($M$2:$M$15,D24,$AM$2:$AM$15)+SUMIF($M$2:$M$15,D24,$AL$2:$AL$15)+SUMIF($M$2:$M$15,D24,$AO$2:$AO$15)+SUMIF($M$2:$M$15,D24,$AN$2:$AN$15)</f>
        <v>1479610</v>
      </c>
      <c r="G24" s="24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8">
        <f>+U11/30*$L$22</f>
        <v>436229.2778650237</v>
      </c>
    </row>
    <row r="25" spans="1:42" x14ac:dyDescent="0.25">
      <c r="B25">
        <v>5015</v>
      </c>
      <c r="C25" s="7" t="s">
        <v>135</v>
      </c>
      <c r="D25" s="9" t="s">
        <v>128</v>
      </c>
      <c r="E25" s="7">
        <v>7020204</v>
      </c>
      <c r="F25" s="23"/>
      <c r="G25" s="24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8">
        <f>+U8/30*$L$22</f>
        <v>102895.94446502364</v>
      </c>
    </row>
    <row r="26" spans="1:42" x14ac:dyDescent="0.25">
      <c r="B26">
        <v>6306</v>
      </c>
      <c r="C26" s="7" t="s">
        <v>132</v>
      </c>
      <c r="D26" s="10" t="s">
        <v>126</v>
      </c>
      <c r="E26" s="7">
        <v>8050117</v>
      </c>
      <c r="F26" s="28">
        <f>SUMIF($M$2:$M$15,D26,$Q$2:$Q$15)+SUMIF($M$2:$M$15,D26,$S$2:$S$15)+SUMIF($M$2:$M$15,D26,$V$2:$V$15)+SUMIF($M$2:$M$15,D26,$R$2:$R$15)</f>
        <v>11543881</v>
      </c>
      <c r="G26" s="24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8">
        <f>+U12/30*$L$22</f>
        <v>384151.50007683033</v>
      </c>
    </row>
    <row r="27" spans="1:42" x14ac:dyDescent="0.25">
      <c r="B27">
        <v>6307</v>
      </c>
      <c r="C27" s="7" t="s">
        <v>134</v>
      </c>
      <c r="D27" s="10" t="s">
        <v>126</v>
      </c>
      <c r="E27" s="7">
        <v>8050118</v>
      </c>
      <c r="F27" s="29">
        <f>SUMIF($M$2:$M$15,D27,$T$2:$T$15)</f>
        <v>0</v>
      </c>
      <c r="G27" s="24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8">
        <f>+U6/30*$L$22</f>
        <v>398729.2778575237</v>
      </c>
    </row>
    <row r="28" spans="1:42" x14ac:dyDescent="0.25">
      <c r="B28">
        <v>6308</v>
      </c>
      <c r="C28" s="7" t="s">
        <v>23</v>
      </c>
      <c r="D28" s="10" t="s">
        <v>126</v>
      </c>
      <c r="E28" s="7">
        <v>8050119</v>
      </c>
      <c r="F28" s="17">
        <f>SUMIF($M$2:$M$15,D28,$AM$2:$AM$15)+SUMIF($M$2:$M$15,D28,$AL$2:$AL$15)+SUMIF($M$2:$M$15,D28,$AO$2:$AO$15)+SUMIF($M$2:$M$15,D28,$AN$2:$AN$15)</f>
        <v>468220</v>
      </c>
      <c r="G28" s="24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8">
        <f>+U7/30*$L$22</f>
        <v>116784.8333566903</v>
      </c>
    </row>
    <row r="29" spans="1:42" x14ac:dyDescent="0.25">
      <c r="B29">
        <v>6326</v>
      </c>
      <c r="C29" s="7" t="s">
        <v>135</v>
      </c>
      <c r="D29" s="10" t="s">
        <v>126</v>
      </c>
      <c r="E29" s="7">
        <v>8050121</v>
      </c>
      <c r="F29" s="23"/>
      <c r="G29" s="24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8">
        <f>+U15/30*$L$22</f>
        <v>341784.8334016903</v>
      </c>
    </row>
    <row r="30" spans="1:42" x14ac:dyDescent="0.25">
      <c r="C30" s="7"/>
      <c r="D30" s="11" t="s">
        <v>127</v>
      </c>
      <c r="E30" s="7"/>
      <c r="F30" s="28">
        <f>SUMIF($M$2:$M$15,D30,$Q$2:$Q$15)+SUMIF($M$2:$M$15,D30,$S$2:$S$15)+SUMIF($M$2:$M$15,D30,$V$2:$V$15)+SUMIF($M$2:$M$15,D30,$R$2:$R$15)</f>
        <v>17704498</v>
      </c>
      <c r="G30" s="24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8">
        <f>+U14/30*$L$22</f>
        <v>169895.94447842365</v>
      </c>
    </row>
    <row r="31" spans="1:42" x14ac:dyDescent="0.25">
      <c r="C31" s="7"/>
      <c r="D31" s="11" t="s">
        <v>127</v>
      </c>
      <c r="E31" s="7"/>
      <c r="F31" s="29">
        <f>SUMIF($M$2:$M$15,D31,$T$2:$T$15)</f>
        <v>0</v>
      </c>
      <c r="G31" s="24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8">
        <f>+U9/30*$L$22</f>
        <v>281507.05561185698</v>
      </c>
    </row>
    <row r="32" spans="1:42" x14ac:dyDescent="0.25">
      <c r="C32" s="7"/>
      <c r="D32" s="11" t="s">
        <v>127</v>
      </c>
      <c r="E32" s="7"/>
      <c r="F32" s="17">
        <f>SUMIF($M$2:$M$15,D32,$AM$2:$AM$15)+SUMIF($M$2:$M$15,D32,$AL$2:$AL$15)+SUMIF($M$2:$M$15,D32,$AO$2:$AO$15)+SUMIF($M$2:$M$15,D32,$AN$2:$AN$15)</f>
        <v>217305</v>
      </c>
      <c r="G32" s="24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8">
        <f>+U13/30*$L$22</f>
        <v>624147.38901371846</v>
      </c>
    </row>
    <row r="33" spans="2:22" x14ac:dyDescent="0.25">
      <c r="C33" s="7"/>
      <c r="D33" s="11" t="s">
        <v>127</v>
      </c>
      <c r="E33" s="7"/>
      <c r="F33" s="24"/>
      <c r="G33" s="24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8">
        <f>+U10/30*$L$22</f>
        <v>983583.222418939</v>
      </c>
    </row>
    <row r="34" spans="2:22" x14ac:dyDescent="0.25">
      <c r="B34">
        <v>6301</v>
      </c>
      <c r="C34" s="7" t="s">
        <v>132</v>
      </c>
      <c r="D34" s="12" t="s">
        <v>130</v>
      </c>
      <c r="E34" s="7">
        <v>8050101</v>
      </c>
      <c r="F34" s="28">
        <f>SUMIF($M$2:$M$15,D34,$Q$2:$Q$15)+SUMIF($M$2:$M$15,D34,$S$2:$S$15)+SUMIF($M$2:$M$15,D34,$V$2:$V$15)+SUMIF($M$2:$M$15,D34,$R$2:$R$15)</f>
        <v>16353030</v>
      </c>
      <c r="G34" s="24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8">
        <f>+U5/30*$L$22</f>
        <v>190395.94448252366</v>
      </c>
    </row>
    <row r="35" spans="2:22" x14ac:dyDescent="0.25">
      <c r="B35">
        <v>6302</v>
      </c>
      <c r="C35" s="7" t="s">
        <v>134</v>
      </c>
      <c r="D35" s="12" t="s">
        <v>130</v>
      </c>
      <c r="E35" s="7">
        <v>8050102</v>
      </c>
      <c r="F35" s="29">
        <f>SUMIF($M$2:$M$15,D35,$T$2:$T$15)</f>
        <v>0</v>
      </c>
      <c r="G35" s="24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13" t="s">
        <v>136</v>
      </c>
      <c r="U35" s="14">
        <f>SUM(U21:U34)</f>
        <v>5071769.8899032436</v>
      </c>
    </row>
    <row r="36" spans="2:22" x14ac:dyDescent="0.25">
      <c r="B36">
        <v>6303</v>
      </c>
      <c r="C36" s="7" t="s">
        <v>23</v>
      </c>
      <c r="D36" s="12" t="s">
        <v>130</v>
      </c>
      <c r="E36" s="7">
        <v>8050106</v>
      </c>
      <c r="F36" s="17">
        <f>SUMIF($M$2:$M$15,D36,$AM$2:$AM$15)+SUMIF($M$2:$M$15,D36,$AL$2:$AL$15)+SUMIF($M$2:$M$15,D36,$AO$2:$AO$15)+SUMIF($M$2:$M$15,D36,$AN$2:$AN$15)</f>
        <v>433393</v>
      </c>
      <c r="G36" s="24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</row>
    <row r="37" spans="2:22" x14ac:dyDescent="0.25">
      <c r="B37">
        <v>6327</v>
      </c>
      <c r="C37" s="7" t="s">
        <v>135</v>
      </c>
      <c r="D37" s="12" t="s">
        <v>130</v>
      </c>
      <c r="E37" s="7">
        <v>8050120</v>
      </c>
      <c r="F37" s="24"/>
      <c r="G37" s="24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22">
        <f>(U17/30)*L22</f>
        <v>5071769.8899032427</v>
      </c>
      <c r="V37" s="7"/>
    </row>
    <row r="38" spans="2:22" x14ac:dyDescent="0.25">
      <c r="B38">
        <v>5211</v>
      </c>
      <c r="C38" s="7" t="s">
        <v>132</v>
      </c>
      <c r="D38" s="15" t="s">
        <v>129</v>
      </c>
      <c r="E38" s="7">
        <v>7020205</v>
      </c>
      <c r="F38" s="28">
        <f>SUMIF($M$2:$M$15,D38,$Q$2:$Q$15)+SUMIF($M$2:$M$15,D38,$S$2:$S$15)+SUMIF($M$2:$M$15,D38,$V$2:$V$15)+SUMIF($M$2:$M$15,D38,$R$2:$R$15)</f>
        <v>2102127</v>
      </c>
      <c r="G38" s="24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</row>
    <row r="39" spans="2:22" x14ac:dyDescent="0.25">
      <c r="B39">
        <v>5211</v>
      </c>
      <c r="C39" s="7" t="s">
        <v>134</v>
      </c>
      <c r="D39" s="15" t="s">
        <v>129</v>
      </c>
      <c r="E39" s="7">
        <v>7020206</v>
      </c>
      <c r="F39" s="29">
        <f>SUMIF($M$2:$M$15,D39,$T$2:$T$15)</f>
        <v>0</v>
      </c>
      <c r="G39" s="24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2:22" x14ac:dyDescent="0.25">
      <c r="B40">
        <v>5213</v>
      </c>
      <c r="C40" s="7" t="s">
        <v>23</v>
      </c>
      <c r="D40" s="15" t="s">
        <v>129</v>
      </c>
      <c r="E40" s="7">
        <v>7020207</v>
      </c>
      <c r="F40" s="17">
        <f>SUMIF($M$2:$M$15,D40,$AM$2:$AM$15)+SUMIF($M$2:$M$15,D40,$AL$2:$AL$15)+SUMIF($M$2:$M$15,D40,$AO$2:$AO$15)+SUMIF($M$2:$M$15,D40,$AN$2:$AN$15)</f>
        <v>107419</v>
      </c>
      <c r="G40" s="24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2:22" x14ac:dyDescent="0.25">
      <c r="B41">
        <v>5215</v>
      </c>
      <c r="C41" s="7" t="s">
        <v>135</v>
      </c>
      <c r="D41" s="15" t="s">
        <v>129</v>
      </c>
      <c r="E41" s="7">
        <v>7020208</v>
      </c>
      <c r="F41" s="24"/>
      <c r="G41" s="24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2:22" x14ac:dyDescent="0.25">
      <c r="B42">
        <v>2414</v>
      </c>
      <c r="C42" s="7" t="s">
        <v>137</v>
      </c>
      <c r="D42" s="7"/>
      <c r="E42" s="7">
        <v>3031302</v>
      </c>
      <c r="F42" s="24"/>
      <c r="G42" s="23">
        <f>SUM(X17:AD17,AZ16:BG16)+SUM(AL17:AO17)</f>
        <v>12088174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2:22" x14ac:dyDescent="0.25">
      <c r="B43">
        <v>2414</v>
      </c>
      <c r="C43" s="7" t="s">
        <v>138</v>
      </c>
      <c r="D43" s="7"/>
      <c r="E43" s="7">
        <v>8050305</v>
      </c>
      <c r="F43" s="24"/>
      <c r="G43" s="23">
        <f>+AG17</f>
        <v>461406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2:22" x14ac:dyDescent="0.25">
      <c r="B44">
        <v>2411</v>
      </c>
      <c r="C44" s="7" t="s">
        <v>139</v>
      </c>
      <c r="D44" s="7"/>
      <c r="E44" s="7">
        <v>3031204</v>
      </c>
      <c r="F44" s="24"/>
      <c r="G44" s="24">
        <f>+AK17</f>
        <v>69796378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2:22" x14ac:dyDescent="0.25">
      <c r="B45" s="27">
        <v>2554</v>
      </c>
      <c r="C45" s="7" t="s">
        <v>140</v>
      </c>
      <c r="D45" s="7"/>
      <c r="E45" s="7">
        <v>3031505</v>
      </c>
      <c r="F45" s="24"/>
      <c r="G45" s="24">
        <f>+AH17</f>
        <v>177533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2:22" x14ac:dyDescent="0.25">
      <c r="B46" s="27">
        <v>2554</v>
      </c>
      <c r="C46" s="7" t="s">
        <v>141</v>
      </c>
      <c r="D46" s="7"/>
      <c r="E46" s="7">
        <v>3031501</v>
      </c>
      <c r="F46" s="24"/>
      <c r="G46" s="24">
        <f>+AE17</f>
        <v>11524314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2:22" x14ac:dyDescent="0.25">
      <c r="B47">
        <v>2411</v>
      </c>
      <c r="C47" s="7" t="s">
        <v>142</v>
      </c>
      <c r="E47" s="7">
        <v>3031204</v>
      </c>
      <c r="F47" s="25"/>
      <c r="G47" s="25">
        <v>0</v>
      </c>
    </row>
  </sheetData>
  <mergeCells count="2">
    <mergeCell ref="M21:N21"/>
    <mergeCell ref="M22:N22"/>
  </mergeCells>
  <pageMargins left="0.75" right="0.75" top="1" bottom="1" header="0.5" footer="0.5"/>
  <pageSetup scale="85" orientation="portrait" r:id="rId1"/>
  <headerFooter>
    <oddFooter>&amp;C_x000D_&amp;1#&amp;"Calibri"&amp;10&amp;K000000 Clasificación: Confidencial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36DA6B3-AD93-481A-B04D-1449FBA1BC4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80C05B7-AB39-4773-82F9-4238880F6F7C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6a7ff2fa-cd4c-4111-a6ab-75351164d87f"/>
    <ds:schemaRef ds:uri="fa8ec313-c772-4af8-8363-8ff52de2e6b8"/>
  </ds:schemaRefs>
</ds:datastoreItem>
</file>

<file path=customXml/itemProps3.xml><?xml version="1.0" encoding="utf-8"?>
<ds:datastoreItem xmlns:ds="http://schemas.openxmlformats.org/officeDocument/2006/customXml" ds:itemID="{829BD3B9-8DAD-4301-B54F-AB5C4F86E9FB}"/>
</file>

<file path=docMetadata/LabelInfo.xml><?xml version="1.0" encoding="utf-8"?>
<clbl:labelList xmlns:clbl="http://schemas.microsoft.com/office/2020/mipLabelMetadata">
  <clbl:label id="{006f45df-088f-4365-900b-21d873817b2f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05.2025</vt:lpstr>
      <vt:lpstr>'05.2025'!Área_de_impresión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2025-05-23T13:10:31Z</dcterms:created>
  <dcterms:modified xsi:type="dcterms:W3CDTF">2025-07-01T22:42:42Z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MediaServiceImageTags">
    <vt:lpwstr/>
  </property>
</Properties>
</file>