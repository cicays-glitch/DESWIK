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REM/"/>
    </mc:Choice>
  </mc:AlternateContent>
  <xr:revisionPtr revIDLastSave="9" documentId="8_{8C4B3A99-916E-49A3-92C2-464C91298F87}" xr6:coauthVersionLast="47" xr6:coauthVersionMax="47" xr10:uidLastSave="{632308C8-6D94-4B98-9AE6-030ED8055C11}"/>
  <bookViews>
    <workbookView xWindow="-28485" yWindow="4365" windowWidth="25545" windowHeight="9990" xr2:uid="{00000000-000D-0000-FFFF-FFFF00000000}"/>
  </bookViews>
  <sheets>
    <sheet name="02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0" i="1"/>
  <c r="F26" i="1"/>
  <c r="F22" i="1"/>
  <c r="F21" i="1"/>
  <c r="F25" i="1"/>
  <c r="F29" i="1" l="1"/>
  <c r="AK20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L21" i="1"/>
  <c r="G44" i="1"/>
  <c r="G43" i="1"/>
  <c r="G42" i="1"/>
  <c r="G41" i="1"/>
  <c r="F39" i="1"/>
  <c r="F38" i="1"/>
  <c r="F37" i="1"/>
  <c r="F35" i="1"/>
  <c r="F31" i="1"/>
  <c r="F27" i="1"/>
  <c r="F23" i="1"/>
  <c r="V36" i="1" l="1"/>
  <c r="G20" i="1"/>
  <c r="F20" i="1"/>
  <c r="H20" i="1" l="1"/>
  <c r="AH22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N18" i="1"/>
  <c r="O18" i="1"/>
  <c r="P18" i="1"/>
</calcChain>
</file>

<file path=xl/sharedStrings.xml><?xml version="1.0" encoding="utf-8"?>
<sst xmlns="http://schemas.openxmlformats.org/spreadsheetml/2006/main" count="289" uniqueCount="148">
  <si>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</si>
  <si>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</si>
  <si>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</si>
  <si>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</si>
  <si>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</si>
  <si>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</si>
  <si>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</si>
  <si>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</si>
  <si>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</si>
  <si>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</si>
  <si>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</si>
  <si>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</si>
  <si>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</si>
  <si>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</si>
  <si>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</si>
  <si>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</si>
  <si>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</si>
  <si>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</si>
  <si>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Diferencia Gratificación</t>
  </si>
  <si>
    <t>Bono de Salud</t>
  </si>
  <si>
    <t>Bono Sitio</t>
  </si>
  <si>
    <t>Suma de Haberes Afectos</t>
  </si>
  <si>
    <t>Asignacion teletrabajo</t>
  </si>
  <si>
    <t>Asignación de Traslado</t>
  </si>
  <si>
    <t>Bono Reliquidado Actualizado</t>
  </si>
  <si>
    <t>Suma de Haberes Exentos</t>
  </si>
  <si>
    <t>AFP</t>
  </si>
  <si>
    <t>Seguro Cesantia Trabajador</t>
  </si>
  <si>
    <t>Salud 7% (Fonasa)</t>
  </si>
  <si>
    <t>Isapre</t>
  </si>
  <si>
    <t>Isapre sobre 7%</t>
  </si>
  <si>
    <t>APV (Régimen A)</t>
  </si>
  <si>
    <t>Impuestos</t>
  </si>
  <si>
    <t>Impuestos Reliquidado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</si>
  <si>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</si>
  <si>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</si>
  <si>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</si>
  <si>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</si>
  <si>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</si>
  <si>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</si>
  <si>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</si>
  <si>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</si>
  <si>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</si>
  <si>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</si>
  <si>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</si>
  <si>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</si>
  <si>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</si>
  <si>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</si>
  <si>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</si>
  <si>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</si>
  <si>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</si>
  <si>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</si>
  <si>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</si>
  <si>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</si>
  <si>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</si>
  <si>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</si>
  <si>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</si>
  <si>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</si>
  <si>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</si>
  <si>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Consulting</t>
  </si>
  <si>
    <t>15460999-7</t>
  </si>
  <si>
    <t>KATHERINE MARLENE</t>
  </si>
  <si>
    <t>BOLLMANN</t>
  </si>
  <si>
    <t>NILIAN</t>
  </si>
  <si>
    <t>01/04/2020</t>
  </si>
  <si>
    <t>Mkt</t>
  </si>
  <si>
    <t>44429617-8</t>
  </si>
  <si>
    <t>Lucas Guilherme</t>
  </si>
  <si>
    <t>Cardoso</t>
  </si>
  <si>
    <t>Bittencourt</t>
  </si>
  <si>
    <t>01/11/2024</t>
  </si>
  <si>
    <t>Uno</t>
  </si>
  <si>
    <t>17533327-4</t>
  </si>
  <si>
    <t>JUAN SEBASTIAN</t>
  </si>
  <si>
    <t>CARVALLO</t>
  </si>
  <si>
    <t>JIMÉNEZ</t>
  </si>
  <si>
    <t>01/06/2017</t>
  </si>
  <si>
    <t>Modelo</t>
  </si>
  <si>
    <t>VidaTres</t>
  </si>
  <si>
    <t>16475670-K</t>
  </si>
  <si>
    <t>CAROL TATIANA</t>
  </si>
  <si>
    <t>CONTRERAS</t>
  </si>
  <si>
    <t>MUÑOZ</t>
  </si>
  <si>
    <t>01/12/2023</t>
  </si>
  <si>
    <t>Fonasa</t>
  </si>
  <si>
    <t>26047681-5</t>
  </si>
  <si>
    <t>ANTONIETA</t>
  </si>
  <si>
    <t>GONZALEZ</t>
  </si>
  <si>
    <t>OLIVEROS</t>
  </si>
  <si>
    <t>31/07/2017</t>
  </si>
  <si>
    <t>Planvital</t>
  </si>
  <si>
    <t>33694292-6</t>
  </si>
  <si>
    <t>CESAR FELIPE</t>
  </si>
  <si>
    <t>MACHADO</t>
  </si>
  <si>
    <t>RIBEIRO LOPES</t>
  </si>
  <si>
    <t>14/07/2023</t>
  </si>
  <si>
    <t>Admin/Sales</t>
  </si>
  <si>
    <t>17308225-8</t>
  </si>
  <si>
    <t>FRANCISCO</t>
  </si>
  <si>
    <t>MIRANDA</t>
  </si>
  <si>
    <t>RIADI</t>
  </si>
  <si>
    <t>14/09/2017</t>
  </si>
  <si>
    <t>Habitat</t>
  </si>
  <si>
    <t>Banmedica</t>
  </si>
  <si>
    <t>15633296-8</t>
  </si>
  <si>
    <t>JORGE</t>
  </si>
  <si>
    <t>MORIS</t>
  </si>
  <si>
    <t>JORDÁN</t>
  </si>
  <si>
    <t>15/05/2017</t>
  </si>
  <si>
    <t>28095040-8</t>
  </si>
  <si>
    <t>MARCELO</t>
  </si>
  <si>
    <t>PENNA</t>
  </si>
  <si>
    <t>SANTOS</t>
  </si>
  <si>
    <t>01/01/2023</t>
  </si>
  <si>
    <t>Esencial</t>
  </si>
  <si>
    <t>17919634-4</t>
  </si>
  <si>
    <t>SIRONVALLE</t>
  </si>
  <si>
    <t>NAVARRETE</t>
  </si>
  <si>
    <t>02/12/2019</t>
  </si>
  <si>
    <t>14/02/2025</t>
  </si>
  <si>
    <t>25221995-1</t>
  </si>
  <si>
    <t>CAITLIN JOY</t>
  </si>
  <si>
    <t>WHEAT</t>
  </si>
  <si>
    <t>.</t>
  </si>
  <si>
    <t>Consalud</t>
  </si>
  <si>
    <t>25111494-3</t>
  </si>
  <si>
    <t>Caroline</t>
  </si>
  <si>
    <t>Zorzi</t>
  </si>
  <si>
    <t>04/11/2024</t>
  </si>
  <si>
    <t>04/05/2025</t>
  </si>
  <si>
    <t xml:space="preserve"> </t>
  </si>
  <si>
    <t>Dias de vacaciones</t>
  </si>
  <si>
    <t>Salario</t>
  </si>
  <si>
    <t>Provisión Mensual</t>
  </si>
  <si>
    <t>Bono</t>
  </si>
  <si>
    <t>ISAPRE</t>
  </si>
  <si>
    <t>Total</t>
  </si>
  <si>
    <t>Support</t>
  </si>
  <si>
    <t>Previred por pagar</t>
  </si>
  <si>
    <t>Remuneraciones por pagar</t>
  </si>
  <si>
    <t>Impuesto adicional prestamo</t>
  </si>
  <si>
    <t>Impuesto unico trabajador</t>
  </si>
  <si>
    <t>SALARIO</t>
  </si>
  <si>
    <t>BONO</t>
  </si>
  <si>
    <t>ADM</t>
  </si>
  <si>
    <t>SUPOR</t>
  </si>
  <si>
    <t>CONSULT</t>
  </si>
  <si>
    <t>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</si>
</sst>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41" fontId="0" fillId="0" borderId="0" xfId="1" applyFont="1"/>
    <xf numFmtId="4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1" fontId="1" fillId="0" borderId="0" xfId="0" applyNumberFormat="1" applyFont="1"/>
    <xf numFmtId="164" fontId="0" fillId="3" borderId="0" xfId="0" applyNumberFormat="1" applyFill="1"/>
    <xf numFmtId="0" fontId="0" fillId="7" borderId="0" xfId="0" applyFill="1"/>
    <xf numFmtId="41" fontId="0" fillId="5" borderId="0" xfId="1" applyFont="1" applyFill="1"/>
    <xf numFmtId="0" fontId="0" fillId="0" borderId="0" xfId="0" applyAlignment="1">
      <alignment horizontal="center"/>
    </xf>
    <xf numFmtId="0" fontId="0" fillId="8" borderId="0" xfId="0" applyFill="1"/>
    <xf numFmtId="164" fontId="0" fillId="8" borderId="0" xfId="0" applyNumberFormat="1" applyFill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4"/>
  <sheetViews>
    <sheetView showGridLines="0" tabSelected="1" zoomScale="90" zoomScaleNormal="90" workbookViewId="0">
      <selection activeCell="L28" sqref="L28"/>
    </sheetView>
  </sheetViews>
  <sheetFormatPr baseColWidth="10" defaultColWidth="8.85546875" defaultRowHeight="15" x14ac:dyDescent="0.25"/>
  <cols>
    <col min="1" max="1" width="10.5703125" customWidth="1"/>
    <col min="2" max="2" width="15.85546875" customWidth="1"/>
    <col min="3" max="3" width="10.85546875" customWidth="1"/>
    <col min="4" max="4" width="16.5703125" customWidth="1"/>
    <col min="5" max="5" width="12.42578125" customWidth="1"/>
    <col min="6" max="6" width="13.28515625" bestFit="1" customWidth="1"/>
    <col min="7" max="7" width="13" bestFit="1" customWidth="1"/>
    <col min="8" max="8" width="15.42578125" customWidth="1"/>
    <col min="9" max="11" width="8.85546875" hidden="1" customWidth="1"/>
    <col min="12" max="12" width="9" bestFit="1" customWidth="1"/>
    <col min="13" max="13" width="10.42578125" customWidth="1"/>
    <col min="14" max="16" width="8.85546875" customWidth="1"/>
    <col min="17" max="17" width="12" bestFit="1" customWidth="1"/>
    <col min="18" max="18" width="11" bestFit="1" customWidth="1"/>
    <col min="19" max="19" width="11.28515625" customWidth="1"/>
    <col min="20" max="20" width="11.42578125" customWidth="1"/>
    <col min="21" max="21" width="9" customWidth="1"/>
    <col min="22" max="22" width="12" bestFit="1" customWidth="1"/>
    <col min="23" max="24" width="9" customWidth="1"/>
    <col min="25" max="25" width="14.140625" customWidth="1"/>
    <col min="26" max="26" width="13.140625" bestFit="1" customWidth="1"/>
    <col min="27" max="27" width="12.42578125" customWidth="1"/>
    <col min="28" max="29" width="9" bestFit="1" customWidth="1"/>
    <col min="30" max="30" width="11.5703125" customWidth="1"/>
    <col min="31" max="32" width="9" bestFit="1" customWidth="1"/>
    <col min="33" max="33" width="13.140625" customWidth="1"/>
    <col min="34" max="34" width="10.85546875" bestFit="1" customWidth="1"/>
    <col min="35" max="36" width="9" bestFit="1" customWidth="1"/>
    <col min="37" max="37" width="12" customWidth="1"/>
    <col min="38" max="38" width="9.28515625" customWidth="1"/>
    <col min="39" max="39" width="11.28515625" customWidth="1"/>
    <col min="40" max="41" width="9" bestFit="1" customWidth="1"/>
    <col min="42" max="42" width="13" customWidth="1"/>
  </cols>
  <sheetData>
    <row r="2" spans="1:42" ht="48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</row>
    <row r="3" spans="1:42" ht="15.75" thickTop="1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I3" t="s">
        <v>49</v>
      </c>
      <c r="J3" t="s">
        <v>50</v>
      </c>
      <c r="K3">
        <v>6.33</v>
      </c>
      <c r="L3">
        <v>5665000</v>
      </c>
      <c r="M3" t="s">
        <v>51</v>
      </c>
      <c r="N3">
        <v>30</v>
      </c>
      <c r="O3">
        <v>0</v>
      </c>
      <c r="P3">
        <v>0</v>
      </c>
      <c r="Q3" s="2">
        <v>5665000</v>
      </c>
      <c r="R3" s="2">
        <v>202127</v>
      </c>
      <c r="S3" s="2">
        <v>54</v>
      </c>
      <c r="T3" s="2">
        <v>150000</v>
      </c>
      <c r="U3" s="2">
        <v>0</v>
      </c>
      <c r="V3" s="2">
        <v>6017181</v>
      </c>
      <c r="W3" s="2">
        <v>0</v>
      </c>
      <c r="X3" s="2">
        <v>0</v>
      </c>
      <c r="Y3" s="2">
        <v>7426615</v>
      </c>
      <c r="Z3" s="2">
        <v>7426615</v>
      </c>
      <c r="AA3" s="2">
        <v>388532</v>
      </c>
      <c r="AB3" s="2">
        <v>30586</v>
      </c>
      <c r="AC3" s="2">
        <v>0</v>
      </c>
      <c r="AD3" s="2">
        <v>237530</v>
      </c>
      <c r="AE3" s="2">
        <v>7189</v>
      </c>
      <c r="AF3" s="2">
        <v>0</v>
      </c>
      <c r="AG3" s="2">
        <v>483267</v>
      </c>
      <c r="AH3" s="2">
        <v>1775430</v>
      </c>
      <c r="AI3" s="2">
        <v>160816</v>
      </c>
      <c r="AJ3" s="2">
        <v>160816</v>
      </c>
      <c r="AK3" s="2">
        <v>10360446</v>
      </c>
      <c r="AL3" s="2">
        <v>31558</v>
      </c>
      <c r="AM3" s="2">
        <v>81563</v>
      </c>
      <c r="AN3" s="2">
        <v>40781</v>
      </c>
      <c r="AO3" s="2">
        <v>46827</v>
      </c>
      <c r="AP3" s="2">
        <v>13644525</v>
      </c>
    </row>
    <row r="4" spans="1:42" x14ac:dyDescent="0.25">
      <c r="A4" t="s">
        <v>42</v>
      </c>
      <c r="B4" t="s">
        <v>43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I4" t="s">
        <v>57</v>
      </c>
      <c r="J4" t="s">
        <v>58</v>
      </c>
      <c r="K4">
        <v>11.54</v>
      </c>
      <c r="L4">
        <v>6250000</v>
      </c>
      <c r="M4" t="s">
        <v>59</v>
      </c>
      <c r="N4">
        <v>30</v>
      </c>
      <c r="O4">
        <v>0</v>
      </c>
      <c r="P4">
        <v>0</v>
      </c>
      <c r="Q4" s="2">
        <v>6250000</v>
      </c>
      <c r="R4" s="2">
        <v>202127</v>
      </c>
      <c r="S4" s="2">
        <v>54</v>
      </c>
      <c r="T4" s="2">
        <v>150000</v>
      </c>
      <c r="U4" s="2">
        <v>0</v>
      </c>
      <c r="V4" s="2">
        <v>6602181</v>
      </c>
      <c r="W4" s="2">
        <v>0</v>
      </c>
      <c r="X4" s="2">
        <v>0</v>
      </c>
      <c r="Y4" s="2">
        <v>8193530</v>
      </c>
      <c r="Z4" s="2">
        <v>8193530</v>
      </c>
      <c r="AA4" s="2">
        <v>388192</v>
      </c>
      <c r="AB4" s="2">
        <v>30586</v>
      </c>
      <c r="AC4" s="2">
        <v>0</v>
      </c>
      <c r="AD4" s="2">
        <v>237530</v>
      </c>
      <c r="AE4" s="2">
        <v>208313</v>
      </c>
      <c r="AF4" s="2">
        <v>0</v>
      </c>
      <c r="AG4" s="2">
        <v>617896</v>
      </c>
      <c r="AH4" s="2">
        <v>2519706</v>
      </c>
      <c r="AI4" s="2">
        <v>0</v>
      </c>
      <c r="AJ4" s="2">
        <v>0</v>
      </c>
      <c r="AK4" s="2">
        <v>10793488</v>
      </c>
      <c r="AL4" s="2">
        <v>31558</v>
      </c>
      <c r="AM4" s="2">
        <v>81563</v>
      </c>
      <c r="AN4" s="2">
        <v>40781</v>
      </c>
      <c r="AO4" s="2">
        <v>46827</v>
      </c>
      <c r="AP4" s="2">
        <v>14996440</v>
      </c>
    </row>
    <row r="5" spans="1:42" x14ac:dyDescent="0.25">
      <c r="A5" t="s">
        <v>42</v>
      </c>
      <c r="B5" t="s">
        <v>43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I5" t="s">
        <v>57</v>
      </c>
      <c r="J5" t="s">
        <v>58</v>
      </c>
      <c r="K5">
        <v>6.14</v>
      </c>
      <c r="L5">
        <v>4650000</v>
      </c>
      <c r="M5" t="s">
        <v>65</v>
      </c>
      <c r="N5">
        <v>30</v>
      </c>
      <c r="O5">
        <v>0</v>
      </c>
      <c r="P5">
        <v>0</v>
      </c>
      <c r="Q5" s="2">
        <v>4650000</v>
      </c>
      <c r="R5" s="2">
        <v>202127</v>
      </c>
      <c r="S5" s="2">
        <v>54</v>
      </c>
      <c r="T5" s="2">
        <v>150000</v>
      </c>
      <c r="U5" s="2">
        <v>0</v>
      </c>
      <c r="V5" s="2">
        <v>5002181</v>
      </c>
      <c r="W5" s="2">
        <v>0</v>
      </c>
      <c r="X5" s="2">
        <v>0</v>
      </c>
      <c r="Y5" s="2">
        <v>7619983</v>
      </c>
      <c r="Z5" s="2">
        <v>7619983</v>
      </c>
      <c r="AA5" s="2">
        <v>388192</v>
      </c>
      <c r="AB5" s="2">
        <v>30013</v>
      </c>
      <c r="AC5" s="2">
        <v>0</v>
      </c>
      <c r="AD5" s="2">
        <v>237530</v>
      </c>
      <c r="AE5" s="2">
        <v>0</v>
      </c>
      <c r="AF5" s="2">
        <v>0</v>
      </c>
      <c r="AG5" s="2">
        <v>284620</v>
      </c>
      <c r="AH5" s="2">
        <v>1558968</v>
      </c>
      <c r="AI5" s="2">
        <v>0</v>
      </c>
      <c r="AJ5" s="2">
        <v>0</v>
      </c>
      <c r="AK5" s="2">
        <v>10122841</v>
      </c>
      <c r="AL5" s="2">
        <v>31558</v>
      </c>
      <c r="AM5" s="2">
        <v>80035</v>
      </c>
      <c r="AN5" s="2">
        <v>40017</v>
      </c>
      <c r="AO5" s="2">
        <v>46827</v>
      </c>
      <c r="AP5" s="2">
        <v>12820601</v>
      </c>
    </row>
    <row r="6" spans="1:42" s="8" customFormat="1" x14ac:dyDescent="0.25">
      <c r="A6" s="8" t="s">
        <v>42</v>
      </c>
      <c r="B6" s="8" t="s">
        <v>43</v>
      </c>
      <c r="C6" s="8" t="s">
        <v>66</v>
      </c>
      <c r="D6" s="8" t="s">
        <v>67</v>
      </c>
      <c r="E6" s="8" t="s">
        <v>68</v>
      </c>
      <c r="F6" s="8" t="s">
        <v>69</v>
      </c>
      <c r="G6" s="8" t="s">
        <v>70</v>
      </c>
      <c r="I6" s="8" t="s">
        <v>71</v>
      </c>
      <c r="J6" s="8" t="s">
        <v>58</v>
      </c>
      <c r="K6" s="8">
        <v>6.16</v>
      </c>
      <c r="L6" s="8">
        <v>3000000</v>
      </c>
      <c r="M6" s="8" t="s">
        <v>59</v>
      </c>
      <c r="N6" s="8">
        <v>30</v>
      </c>
      <c r="O6" s="8">
        <v>5</v>
      </c>
      <c r="P6" s="8">
        <v>0</v>
      </c>
      <c r="Q6" s="13">
        <v>3000000</v>
      </c>
      <c r="R6" s="13">
        <v>202127</v>
      </c>
      <c r="S6" s="13">
        <v>54</v>
      </c>
      <c r="T6" s="13">
        <v>150000</v>
      </c>
      <c r="U6" s="13">
        <v>0</v>
      </c>
      <c r="V6" s="13">
        <v>3352181</v>
      </c>
      <c r="W6" s="13">
        <v>0</v>
      </c>
      <c r="X6" s="13">
        <v>0</v>
      </c>
      <c r="Y6" s="13">
        <v>3932894</v>
      </c>
      <c r="Z6" s="13">
        <v>3932894</v>
      </c>
      <c r="AA6" s="13">
        <v>351644</v>
      </c>
      <c r="AB6" s="13">
        <v>20113</v>
      </c>
      <c r="AC6" s="13">
        <v>0</v>
      </c>
      <c r="AD6" s="13">
        <v>234653</v>
      </c>
      <c r="AE6" s="13">
        <v>3418</v>
      </c>
      <c r="AF6" s="13">
        <v>0</v>
      </c>
      <c r="AG6" s="13">
        <v>102340</v>
      </c>
      <c r="AH6" s="13">
        <v>1046032</v>
      </c>
      <c r="AI6" s="13">
        <v>0</v>
      </c>
      <c r="AJ6" s="13">
        <v>0</v>
      </c>
      <c r="AK6" s="13">
        <v>5526875</v>
      </c>
      <c r="AL6" s="13">
        <v>31175</v>
      </c>
      <c r="AM6" s="13">
        <v>53635</v>
      </c>
      <c r="AN6" s="13">
        <v>26817</v>
      </c>
      <c r="AO6" s="13">
        <v>46260</v>
      </c>
      <c r="AP6" s="13">
        <v>7442962</v>
      </c>
    </row>
    <row r="7" spans="1:42" x14ac:dyDescent="0.25">
      <c r="A7" t="s">
        <v>42</v>
      </c>
      <c r="B7" t="s">
        <v>43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I7" t="s">
        <v>77</v>
      </c>
      <c r="J7" t="s">
        <v>78</v>
      </c>
      <c r="K7">
        <v>6.73</v>
      </c>
      <c r="L7">
        <v>6500000</v>
      </c>
      <c r="M7" t="s">
        <v>59</v>
      </c>
      <c r="N7">
        <v>30</v>
      </c>
      <c r="O7">
        <v>7</v>
      </c>
      <c r="P7">
        <v>0</v>
      </c>
      <c r="Q7" s="2">
        <v>6500000</v>
      </c>
      <c r="R7" s="2">
        <v>202127</v>
      </c>
      <c r="S7" s="2">
        <v>54</v>
      </c>
      <c r="T7" s="2">
        <v>150000</v>
      </c>
      <c r="U7" s="2">
        <v>300000</v>
      </c>
      <c r="V7" s="2">
        <v>7152181</v>
      </c>
      <c r="W7" s="2">
        <v>0</v>
      </c>
      <c r="X7" s="2">
        <v>0</v>
      </c>
      <c r="Y7" s="2">
        <v>8521271</v>
      </c>
      <c r="Z7" s="2">
        <v>8521271</v>
      </c>
      <c r="AA7" s="2">
        <v>359010</v>
      </c>
      <c r="AB7" s="2">
        <v>30586</v>
      </c>
      <c r="AC7" s="2">
        <v>0</v>
      </c>
      <c r="AD7" s="2">
        <v>237530</v>
      </c>
      <c r="AE7" s="2">
        <v>22532</v>
      </c>
      <c r="AF7" s="2">
        <v>0</v>
      </c>
      <c r="AG7" s="2">
        <v>785784</v>
      </c>
      <c r="AH7" s="2">
        <v>2623130</v>
      </c>
      <c r="AI7" s="2">
        <v>0</v>
      </c>
      <c r="AJ7" s="2">
        <v>0</v>
      </c>
      <c r="AK7" s="2">
        <v>11614880</v>
      </c>
      <c r="AL7" s="2">
        <v>31558</v>
      </c>
      <c r="AM7" s="2">
        <v>81563</v>
      </c>
      <c r="AN7" s="2">
        <v>40781</v>
      </c>
      <c r="AO7" s="2">
        <v>46827</v>
      </c>
      <c r="AP7" s="2">
        <v>15874181</v>
      </c>
    </row>
    <row r="8" spans="1:42" x14ac:dyDescent="0.25">
      <c r="A8" t="s">
        <v>42</v>
      </c>
      <c r="B8" t="s">
        <v>43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I8" t="s">
        <v>77</v>
      </c>
      <c r="J8" t="s">
        <v>84</v>
      </c>
      <c r="L8">
        <v>1374000</v>
      </c>
      <c r="M8" t="s">
        <v>51</v>
      </c>
      <c r="N8">
        <v>30</v>
      </c>
      <c r="O8">
        <v>0</v>
      </c>
      <c r="P8">
        <v>0</v>
      </c>
      <c r="Q8" s="2">
        <v>1374000</v>
      </c>
      <c r="R8" s="2">
        <v>202127</v>
      </c>
      <c r="S8" s="2">
        <v>54</v>
      </c>
      <c r="T8" s="2">
        <v>150000</v>
      </c>
      <c r="U8" s="2">
        <v>0</v>
      </c>
      <c r="V8" s="2">
        <v>1726181</v>
      </c>
      <c r="W8" s="2">
        <v>0</v>
      </c>
      <c r="X8" s="2">
        <v>0</v>
      </c>
      <c r="Y8" s="2">
        <v>1801266</v>
      </c>
      <c r="Z8" s="2">
        <v>1801266</v>
      </c>
      <c r="AA8" s="2">
        <v>182630</v>
      </c>
      <c r="AB8" s="2">
        <v>10357</v>
      </c>
      <c r="AC8" s="2">
        <v>120833</v>
      </c>
      <c r="AD8" s="2">
        <v>0</v>
      </c>
      <c r="AE8" s="2">
        <v>0</v>
      </c>
      <c r="AF8" s="2">
        <v>0</v>
      </c>
      <c r="AG8" s="2">
        <v>20156</v>
      </c>
      <c r="AH8" s="2">
        <v>72051</v>
      </c>
      <c r="AI8" s="2">
        <v>0</v>
      </c>
      <c r="AJ8" s="2">
        <v>0</v>
      </c>
      <c r="AK8" s="2">
        <v>3121420</v>
      </c>
      <c r="AL8" s="2">
        <v>16053</v>
      </c>
      <c r="AM8" s="2">
        <v>27619</v>
      </c>
      <c r="AN8" s="2">
        <v>13809</v>
      </c>
      <c r="AO8" s="2">
        <v>23821</v>
      </c>
      <c r="AP8" s="2">
        <v>3608749</v>
      </c>
    </row>
    <row r="9" spans="1:42" x14ac:dyDescent="0.25">
      <c r="A9" t="s">
        <v>42</v>
      </c>
      <c r="B9" t="s">
        <v>43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I9" t="s">
        <v>90</v>
      </c>
      <c r="J9" t="s">
        <v>50</v>
      </c>
      <c r="K9">
        <v>6.86</v>
      </c>
      <c r="L9">
        <v>4600000</v>
      </c>
      <c r="M9" t="s">
        <v>59</v>
      </c>
      <c r="N9">
        <v>30</v>
      </c>
      <c r="O9">
        <v>2</v>
      </c>
      <c r="P9">
        <v>0</v>
      </c>
      <c r="Q9" s="2">
        <v>4600000</v>
      </c>
      <c r="R9" s="2">
        <v>202127</v>
      </c>
      <c r="S9" s="2">
        <v>54</v>
      </c>
      <c r="T9" s="2">
        <v>150000</v>
      </c>
      <c r="U9" s="2">
        <v>0</v>
      </c>
      <c r="V9" s="2">
        <v>4952181</v>
      </c>
      <c r="W9" s="2">
        <v>0</v>
      </c>
      <c r="X9" s="2">
        <v>0</v>
      </c>
      <c r="Y9" s="2">
        <v>7538047</v>
      </c>
      <c r="Z9" s="2">
        <v>7538047</v>
      </c>
      <c r="AA9" s="2">
        <v>378691</v>
      </c>
      <c r="AB9" s="2">
        <v>29713</v>
      </c>
      <c r="AC9" s="2">
        <v>0</v>
      </c>
      <c r="AD9" s="2">
        <v>237530</v>
      </c>
      <c r="AE9" s="2">
        <v>27402</v>
      </c>
      <c r="AF9" s="2">
        <v>0</v>
      </c>
      <c r="AG9" s="2">
        <v>279193</v>
      </c>
      <c r="AH9" s="2">
        <v>1182191</v>
      </c>
      <c r="AI9" s="2">
        <v>0</v>
      </c>
      <c r="AJ9" s="2">
        <v>0</v>
      </c>
      <c r="AK9" s="2">
        <v>10355508</v>
      </c>
      <c r="AL9" s="2">
        <v>31558</v>
      </c>
      <c r="AM9" s="2">
        <v>79235</v>
      </c>
      <c r="AN9" s="2">
        <v>39617</v>
      </c>
      <c r="AO9" s="2">
        <v>46827</v>
      </c>
      <c r="AP9" s="2">
        <v>12687465</v>
      </c>
    </row>
    <row r="10" spans="1:42" s="8" customFormat="1" x14ac:dyDescent="0.25">
      <c r="A10" s="8" t="s">
        <v>42</v>
      </c>
      <c r="B10" s="8" t="s">
        <v>43</v>
      </c>
      <c r="C10" s="8" t="s">
        <v>91</v>
      </c>
      <c r="D10" s="8" t="s">
        <v>92</v>
      </c>
      <c r="E10" s="8" t="s">
        <v>93</v>
      </c>
      <c r="F10" s="8" t="s">
        <v>94</v>
      </c>
      <c r="G10" s="8" t="s">
        <v>95</v>
      </c>
      <c r="I10" s="8" t="s">
        <v>77</v>
      </c>
      <c r="J10" s="8" t="s">
        <v>84</v>
      </c>
      <c r="L10" s="8">
        <v>17528618</v>
      </c>
      <c r="M10" s="8" t="s">
        <v>96</v>
      </c>
      <c r="N10" s="8">
        <v>30</v>
      </c>
      <c r="O10" s="8">
        <v>0</v>
      </c>
      <c r="P10" s="8">
        <v>0</v>
      </c>
      <c r="Q10" s="13">
        <v>17528618</v>
      </c>
      <c r="R10" s="13">
        <v>202127</v>
      </c>
      <c r="S10" s="13">
        <v>54</v>
      </c>
      <c r="T10" s="13">
        <v>150000</v>
      </c>
      <c r="U10" s="13">
        <v>0</v>
      </c>
      <c r="V10" s="13">
        <v>17880799</v>
      </c>
      <c r="W10" s="13">
        <v>0</v>
      </c>
      <c r="X10" s="13">
        <v>0</v>
      </c>
      <c r="Y10" s="13">
        <v>65814054</v>
      </c>
      <c r="Z10" s="13">
        <v>65814054</v>
      </c>
      <c r="AA10" s="13">
        <v>359010</v>
      </c>
      <c r="AB10" s="13">
        <v>30586</v>
      </c>
      <c r="AC10" s="13">
        <v>237530</v>
      </c>
      <c r="AD10" s="13">
        <v>0</v>
      </c>
      <c r="AE10" s="13">
        <v>0</v>
      </c>
      <c r="AF10" s="13">
        <v>0</v>
      </c>
      <c r="AG10" s="13">
        <v>4469489</v>
      </c>
      <c r="AH10" s="13">
        <v>24458298</v>
      </c>
      <c r="AI10" s="13">
        <v>0</v>
      </c>
      <c r="AJ10" s="13">
        <v>0</v>
      </c>
      <c r="AK10" s="13">
        <v>54139940</v>
      </c>
      <c r="AL10" s="13">
        <v>31558</v>
      </c>
      <c r="AM10" s="13">
        <v>81563</v>
      </c>
      <c r="AN10" s="13">
        <v>40781</v>
      </c>
      <c r="AO10" s="13">
        <v>46827</v>
      </c>
      <c r="AP10" s="13">
        <v>83895582</v>
      </c>
    </row>
    <row r="11" spans="1:42" x14ac:dyDescent="0.25">
      <c r="A11" t="s">
        <v>42</v>
      </c>
      <c r="B11" t="s">
        <v>43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I11" t="s">
        <v>102</v>
      </c>
      <c r="J11" t="s">
        <v>103</v>
      </c>
      <c r="K11">
        <v>11.96</v>
      </c>
      <c r="L11">
        <v>6250000</v>
      </c>
      <c r="M11" t="s">
        <v>59</v>
      </c>
      <c r="N11">
        <v>30</v>
      </c>
      <c r="O11">
        <v>5</v>
      </c>
      <c r="P11">
        <v>0</v>
      </c>
      <c r="Q11" s="2">
        <v>6250000</v>
      </c>
      <c r="R11" s="2">
        <v>202127</v>
      </c>
      <c r="S11" s="2">
        <v>54</v>
      </c>
      <c r="T11" s="2">
        <v>150000</v>
      </c>
      <c r="U11" s="2">
        <v>0</v>
      </c>
      <c r="V11" s="2">
        <v>6602181</v>
      </c>
      <c r="W11" s="2">
        <v>0</v>
      </c>
      <c r="X11" s="2">
        <v>0</v>
      </c>
      <c r="Y11" s="2">
        <v>8193530</v>
      </c>
      <c r="Z11" s="2">
        <v>8193530</v>
      </c>
      <c r="AA11" s="2">
        <v>382424</v>
      </c>
      <c r="AB11" s="2">
        <v>30586</v>
      </c>
      <c r="AC11" s="2">
        <v>0</v>
      </c>
      <c r="AD11" s="2">
        <v>237530</v>
      </c>
      <c r="AE11" s="2">
        <v>224854</v>
      </c>
      <c r="AF11" s="2">
        <v>154592</v>
      </c>
      <c r="AG11" s="2">
        <v>619222</v>
      </c>
      <c r="AH11" s="2">
        <v>2472949</v>
      </c>
      <c r="AI11" s="2">
        <v>0</v>
      </c>
      <c r="AJ11" s="2">
        <v>0</v>
      </c>
      <c r="AK11" s="2">
        <v>10673554</v>
      </c>
      <c r="AL11" s="2">
        <v>31558</v>
      </c>
      <c r="AM11" s="2">
        <v>81563</v>
      </c>
      <c r="AN11" s="2">
        <v>40781</v>
      </c>
      <c r="AO11" s="2">
        <v>46827</v>
      </c>
      <c r="AP11" s="2">
        <v>14996440</v>
      </c>
    </row>
    <row r="12" spans="1:42" x14ac:dyDescent="0.25">
      <c r="A12" t="s">
        <v>42</v>
      </c>
      <c r="B12" t="s">
        <v>43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I12" t="s">
        <v>57</v>
      </c>
      <c r="J12" t="s">
        <v>78</v>
      </c>
      <c r="K12">
        <v>7.17</v>
      </c>
      <c r="L12">
        <v>7500000</v>
      </c>
      <c r="M12" t="s">
        <v>59</v>
      </c>
      <c r="N12">
        <v>30</v>
      </c>
      <c r="O12">
        <v>0</v>
      </c>
      <c r="P12">
        <v>0</v>
      </c>
      <c r="Q12" s="2">
        <v>7500000</v>
      </c>
      <c r="R12" s="2">
        <v>202127</v>
      </c>
      <c r="S12" s="2">
        <v>54</v>
      </c>
      <c r="T12" s="2">
        <v>150000</v>
      </c>
      <c r="U12" s="2">
        <v>200000</v>
      </c>
      <c r="V12" s="2">
        <v>8052181</v>
      </c>
      <c r="W12" s="2">
        <v>0</v>
      </c>
      <c r="X12" s="2">
        <v>0</v>
      </c>
      <c r="Y12" s="2">
        <v>8914560</v>
      </c>
      <c r="Z12" s="2">
        <v>8914560</v>
      </c>
      <c r="AA12" s="2">
        <v>388192</v>
      </c>
      <c r="AB12" s="2">
        <v>30586</v>
      </c>
      <c r="AC12" s="2">
        <v>0</v>
      </c>
      <c r="AD12" s="2">
        <v>237530</v>
      </c>
      <c r="AE12" s="2">
        <v>39614</v>
      </c>
      <c r="AF12" s="2">
        <v>0</v>
      </c>
      <c r="AG12" s="2">
        <v>1050512</v>
      </c>
      <c r="AH12" s="2">
        <v>2744195</v>
      </c>
      <c r="AI12" s="2">
        <v>0</v>
      </c>
      <c r="AJ12" s="2">
        <v>0</v>
      </c>
      <c r="AK12" s="2">
        <v>12476112</v>
      </c>
      <c r="AL12" s="2">
        <v>31558</v>
      </c>
      <c r="AM12" s="2">
        <v>81563</v>
      </c>
      <c r="AN12" s="2">
        <v>40781</v>
      </c>
      <c r="AO12" s="2">
        <v>46827</v>
      </c>
      <c r="AP12" s="2">
        <v>17167470</v>
      </c>
    </row>
    <row r="13" spans="1:42" s="17" customFormat="1" x14ac:dyDescent="0.25">
      <c r="A13" s="17" t="s">
        <v>42</v>
      </c>
      <c r="B13" s="17" t="s">
        <v>43</v>
      </c>
      <c r="C13" s="17" t="s">
        <v>109</v>
      </c>
      <c r="D13" s="17" t="s">
        <v>110</v>
      </c>
      <c r="E13" s="17" t="s">
        <v>111</v>
      </c>
      <c r="F13" s="17" t="s">
        <v>112</v>
      </c>
      <c r="G13" s="17" t="s">
        <v>113</v>
      </c>
      <c r="I13" s="17" t="s">
        <v>77</v>
      </c>
      <c r="J13" s="17" t="s">
        <v>114</v>
      </c>
      <c r="K13" s="17">
        <v>11.67</v>
      </c>
      <c r="L13" s="17">
        <v>10469580</v>
      </c>
      <c r="M13" s="17" t="s">
        <v>65</v>
      </c>
      <c r="N13" s="17">
        <v>30</v>
      </c>
      <c r="O13" s="17">
        <v>3</v>
      </c>
      <c r="P13" s="17">
        <v>0</v>
      </c>
      <c r="Q13" s="18">
        <v>10469580</v>
      </c>
      <c r="R13" s="18">
        <v>202127</v>
      </c>
      <c r="S13" s="18">
        <v>54</v>
      </c>
      <c r="T13" s="18">
        <v>150000</v>
      </c>
      <c r="U13" s="18">
        <v>0</v>
      </c>
      <c r="V13" s="18">
        <v>10821761</v>
      </c>
      <c r="W13" s="18">
        <v>0</v>
      </c>
      <c r="X13" s="18">
        <v>0</v>
      </c>
      <c r="Y13" s="18">
        <v>21630919</v>
      </c>
      <c r="Z13" s="18">
        <v>21630919</v>
      </c>
      <c r="AA13" s="18">
        <v>359010</v>
      </c>
      <c r="AB13" s="18">
        <v>30586</v>
      </c>
      <c r="AC13" s="18">
        <v>0</v>
      </c>
      <c r="AD13" s="18">
        <v>237530</v>
      </c>
      <c r="AE13" s="18">
        <v>213491</v>
      </c>
      <c r="AF13" s="18">
        <v>0</v>
      </c>
      <c r="AG13" s="18">
        <v>1998826</v>
      </c>
      <c r="AH13" s="18">
        <v>7570819</v>
      </c>
      <c r="AI13" s="18">
        <v>0</v>
      </c>
      <c r="AJ13" s="18">
        <v>0</v>
      </c>
      <c r="AK13" s="18">
        <v>22042418</v>
      </c>
      <c r="AL13" s="18">
        <v>31558</v>
      </c>
      <c r="AM13" s="18">
        <v>81563</v>
      </c>
      <c r="AN13" s="18">
        <v>40781</v>
      </c>
      <c r="AO13" s="18">
        <v>46827</v>
      </c>
      <c r="AP13" s="18">
        <v>32653409</v>
      </c>
    </row>
    <row r="14" spans="1:42" x14ac:dyDescent="0.25">
      <c r="A14" t="s">
        <v>42</v>
      </c>
      <c r="B14" t="s">
        <v>43</v>
      </c>
      <c r="C14" t="s">
        <v>115</v>
      </c>
      <c r="D14" t="s">
        <v>110</v>
      </c>
      <c r="E14" t="s">
        <v>116</v>
      </c>
      <c r="F14" t="s">
        <v>117</v>
      </c>
      <c r="G14" t="s">
        <v>118</v>
      </c>
      <c r="H14" t="s">
        <v>119</v>
      </c>
      <c r="I14" t="s">
        <v>77</v>
      </c>
      <c r="J14" t="s">
        <v>103</v>
      </c>
      <c r="K14">
        <v>7.7</v>
      </c>
      <c r="L14">
        <v>3500000</v>
      </c>
      <c r="M14" t="s">
        <v>59</v>
      </c>
      <c r="N14">
        <v>14</v>
      </c>
      <c r="O14">
        <v>10</v>
      </c>
      <c r="P14">
        <v>0</v>
      </c>
      <c r="Q14" s="2">
        <v>1633333</v>
      </c>
      <c r="R14" s="2">
        <v>202127</v>
      </c>
      <c r="S14" s="2">
        <v>54</v>
      </c>
      <c r="T14" s="2">
        <v>70000</v>
      </c>
      <c r="U14" s="2">
        <v>0</v>
      </c>
      <c r="V14" s="2">
        <v>1905514</v>
      </c>
      <c r="W14" s="2">
        <v>0</v>
      </c>
      <c r="X14" s="2">
        <v>0</v>
      </c>
      <c r="Y14" s="2">
        <v>0</v>
      </c>
      <c r="Z14" s="2">
        <v>0</v>
      </c>
      <c r="AA14" s="2">
        <v>201603</v>
      </c>
      <c r="AB14" s="2">
        <v>11433</v>
      </c>
      <c r="AC14" s="2">
        <v>0</v>
      </c>
      <c r="AD14" s="2">
        <v>133386</v>
      </c>
      <c r="AE14" s="2">
        <v>164010</v>
      </c>
      <c r="AF14" s="2">
        <v>0</v>
      </c>
      <c r="AG14" s="2">
        <v>21859</v>
      </c>
      <c r="AH14" s="2">
        <v>0</v>
      </c>
      <c r="AI14" s="2">
        <v>0</v>
      </c>
      <c r="AJ14" s="2">
        <v>0</v>
      </c>
      <c r="AK14" s="2">
        <v>1373223</v>
      </c>
      <c r="AL14" s="2">
        <v>17721</v>
      </c>
      <c r="AM14" s="2">
        <v>30488</v>
      </c>
      <c r="AN14" s="2">
        <v>15244</v>
      </c>
      <c r="AO14" s="2">
        <v>26296</v>
      </c>
      <c r="AP14" s="2">
        <v>1995263</v>
      </c>
    </row>
    <row r="15" spans="1:42" x14ac:dyDescent="0.25">
      <c r="A15" t="s">
        <v>42</v>
      </c>
      <c r="B15" t="s">
        <v>43</v>
      </c>
      <c r="C15" t="s">
        <v>120</v>
      </c>
      <c r="D15" t="s">
        <v>121</v>
      </c>
      <c r="E15" t="s">
        <v>122</v>
      </c>
      <c r="F15" t="s">
        <v>123</v>
      </c>
      <c r="G15" t="s">
        <v>113</v>
      </c>
      <c r="I15" t="s">
        <v>90</v>
      </c>
      <c r="J15" t="s">
        <v>124</v>
      </c>
      <c r="K15">
        <v>5.89</v>
      </c>
      <c r="L15">
        <v>2640000</v>
      </c>
      <c r="M15" t="s">
        <v>51</v>
      </c>
      <c r="N15">
        <v>30</v>
      </c>
      <c r="O15">
        <v>0</v>
      </c>
      <c r="P15">
        <v>0</v>
      </c>
      <c r="Q15" s="2">
        <v>2640000</v>
      </c>
      <c r="R15" s="2">
        <v>202127</v>
      </c>
      <c r="S15" s="2">
        <v>54</v>
      </c>
      <c r="T15" s="2">
        <v>150000</v>
      </c>
      <c r="U15" s="2">
        <v>0</v>
      </c>
      <c r="V15" s="2">
        <v>2992181</v>
      </c>
      <c r="W15" s="2">
        <v>50000</v>
      </c>
      <c r="X15" s="2">
        <v>0</v>
      </c>
      <c r="Y15" s="2">
        <v>3460947</v>
      </c>
      <c r="Z15" s="2">
        <v>3510947</v>
      </c>
      <c r="AA15" s="2">
        <v>333927</v>
      </c>
      <c r="AB15" s="2">
        <v>17953</v>
      </c>
      <c r="AC15" s="2">
        <v>0</v>
      </c>
      <c r="AD15" s="2">
        <v>209453</v>
      </c>
      <c r="AE15" s="2">
        <v>18067</v>
      </c>
      <c r="AF15" s="2">
        <v>0</v>
      </c>
      <c r="AG15" s="2">
        <v>75931</v>
      </c>
      <c r="AH15" s="2">
        <v>126900</v>
      </c>
      <c r="AI15" s="2">
        <v>0</v>
      </c>
      <c r="AJ15" s="2">
        <v>0</v>
      </c>
      <c r="AK15" s="2">
        <v>5720897</v>
      </c>
      <c r="AL15" s="2">
        <v>27827</v>
      </c>
      <c r="AM15" s="2">
        <v>47875</v>
      </c>
      <c r="AN15" s="2">
        <v>23937</v>
      </c>
      <c r="AO15" s="2">
        <v>41292</v>
      </c>
      <c r="AP15" s="2">
        <v>6644059</v>
      </c>
    </row>
    <row r="16" spans="1:42" x14ac:dyDescent="0.25">
      <c r="A16" t="s">
        <v>42</v>
      </c>
      <c r="B16" t="s">
        <v>43</v>
      </c>
      <c r="C16" t="s">
        <v>125</v>
      </c>
      <c r="D16" t="s">
        <v>126</v>
      </c>
      <c r="E16" t="s">
        <v>127</v>
      </c>
      <c r="F16" t="s">
        <v>123</v>
      </c>
      <c r="G16" t="s">
        <v>128</v>
      </c>
      <c r="H16" t="s">
        <v>129</v>
      </c>
      <c r="I16" t="s">
        <v>90</v>
      </c>
      <c r="J16" t="s">
        <v>103</v>
      </c>
      <c r="K16">
        <v>6.28</v>
      </c>
      <c r="L16">
        <v>5500000</v>
      </c>
      <c r="M16" t="s">
        <v>59</v>
      </c>
      <c r="N16">
        <v>30</v>
      </c>
      <c r="O16">
        <v>5</v>
      </c>
      <c r="P16">
        <v>0</v>
      </c>
      <c r="Q16" s="2">
        <v>5500000</v>
      </c>
      <c r="R16" s="2">
        <v>202127</v>
      </c>
      <c r="S16" s="2">
        <v>54</v>
      </c>
      <c r="T16" s="2">
        <v>150000</v>
      </c>
      <c r="U16" s="2">
        <v>200000</v>
      </c>
      <c r="V16" s="2">
        <v>6052181</v>
      </c>
      <c r="W16" s="2">
        <v>0</v>
      </c>
      <c r="X16" s="2">
        <v>0</v>
      </c>
      <c r="Y16" s="2">
        <v>1201718</v>
      </c>
      <c r="Z16" s="2">
        <v>1201718</v>
      </c>
      <c r="AA16" s="2">
        <v>378691</v>
      </c>
      <c r="AB16" s="2">
        <v>0</v>
      </c>
      <c r="AC16" s="2">
        <v>0</v>
      </c>
      <c r="AD16" s="2">
        <v>237530</v>
      </c>
      <c r="AE16" s="2">
        <v>5295</v>
      </c>
      <c r="AF16" s="2">
        <v>0</v>
      </c>
      <c r="AG16" s="2">
        <v>500616</v>
      </c>
      <c r="AH16" s="2">
        <v>276396</v>
      </c>
      <c r="AI16" s="2">
        <v>0</v>
      </c>
      <c r="AJ16" s="2">
        <v>0</v>
      </c>
      <c r="AK16" s="2">
        <v>5855371</v>
      </c>
      <c r="AL16" s="2">
        <v>31558</v>
      </c>
      <c r="AM16" s="2">
        <v>142735</v>
      </c>
      <c r="AN16" s="2">
        <v>10195</v>
      </c>
      <c r="AO16" s="2">
        <v>46827</v>
      </c>
      <c r="AP16" s="2">
        <v>7485214</v>
      </c>
    </row>
    <row r="17" spans="1:42" x14ac:dyDescent="0.25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25">
      <c r="N18" s="3">
        <f t="shared" ref="N18:AP18" si="0">SUM(N3:N16)</f>
        <v>404</v>
      </c>
      <c r="O18" s="3">
        <f t="shared" si="0"/>
        <v>37</v>
      </c>
      <c r="P18" s="3">
        <f t="shared" si="0"/>
        <v>0</v>
      </c>
      <c r="Q18" s="4">
        <f t="shared" si="0"/>
        <v>83560531</v>
      </c>
      <c r="R18" s="4">
        <f t="shared" si="0"/>
        <v>2829778</v>
      </c>
      <c r="S18" s="4">
        <f t="shared" si="0"/>
        <v>756</v>
      </c>
      <c r="T18" s="4">
        <f t="shared" si="0"/>
        <v>2020000</v>
      </c>
      <c r="U18" s="4">
        <f t="shared" si="0"/>
        <v>700000</v>
      </c>
      <c r="V18" s="4">
        <f t="shared" si="0"/>
        <v>89111065</v>
      </c>
      <c r="W18" s="4">
        <f t="shared" si="0"/>
        <v>50000</v>
      </c>
      <c r="X18" s="4">
        <f t="shared" si="0"/>
        <v>0</v>
      </c>
      <c r="Y18" s="4">
        <f t="shared" si="0"/>
        <v>154249334</v>
      </c>
      <c r="Z18" s="4">
        <f t="shared" si="0"/>
        <v>154299334</v>
      </c>
      <c r="AA18" s="4">
        <f t="shared" si="0"/>
        <v>4839748</v>
      </c>
      <c r="AB18" s="4">
        <f t="shared" si="0"/>
        <v>333684</v>
      </c>
      <c r="AC18" s="4">
        <f t="shared" si="0"/>
        <v>358363</v>
      </c>
      <c r="AD18" s="4">
        <f t="shared" si="0"/>
        <v>2715262</v>
      </c>
      <c r="AE18" s="4">
        <f t="shared" si="0"/>
        <v>934185</v>
      </c>
      <c r="AF18" s="4">
        <f t="shared" si="0"/>
        <v>154592</v>
      </c>
      <c r="AG18" s="4">
        <f t="shared" si="0"/>
        <v>11309711</v>
      </c>
      <c r="AH18" s="4">
        <f t="shared" si="0"/>
        <v>48427065</v>
      </c>
      <c r="AI18" s="4">
        <f t="shared" si="0"/>
        <v>160816</v>
      </c>
      <c r="AJ18" s="4">
        <f t="shared" si="0"/>
        <v>160816</v>
      </c>
      <c r="AK18" s="4">
        <f t="shared" si="0"/>
        <v>174176973</v>
      </c>
      <c r="AL18" s="4">
        <f t="shared" si="0"/>
        <v>408356</v>
      </c>
      <c r="AM18" s="4">
        <f t="shared" si="0"/>
        <v>1032563</v>
      </c>
      <c r="AN18" s="4">
        <f t="shared" si="0"/>
        <v>455103</v>
      </c>
      <c r="AO18" s="4">
        <f t="shared" si="0"/>
        <v>605939</v>
      </c>
      <c r="AP18" s="4">
        <f t="shared" si="0"/>
        <v>245912360</v>
      </c>
    </row>
    <row r="19" spans="1:42" x14ac:dyDescent="0.25">
      <c r="A19" t="s">
        <v>130</v>
      </c>
      <c r="B19" t="s">
        <v>130</v>
      </c>
      <c r="C19" t="s">
        <v>130</v>
      </c>
      <c r="D19" t="s">
        <v>130</v>
      </c>
      <c r="E19" t="s">
        <v>130</v>
      </c>
      <c r="F19" t="s">
        <v>130</v>
      </c>
      <c r="G19" t="s">
        <v>130</v>
      </c>
      <c r="H19" t="s">
        <v>130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130</v>
      </c>
      <c r="P19" t="s">
        <v>130</v>
      </c>
      <c r="Q19" s="14" t="s">
        <v>142</v>
      </c>
      <c r="R19" s="14" t="s">
        <v>142</v>
      </c>
      <c r="S19" s="14" t="s">
        <v>142</v>
      </c>
      <c r="T19" s="14" t="s">
        <v>142</v>
      </c>
      <c r="U19" t="s">
        <v>143</v>
      </c>
      <c r="V19" t="s">
        <v>130</v>
      </c>
      <c r="W19" s="14" t="s">
        <v>142</v>
      </c>
      <c r="X19" t="s">
        <v>130</v>
      </c>
      <c r="Y19" t="s">
        <v>143</v>
      </c>
      <c r="Z19" t="s">
        <v>130</v>
      </c>
      <c r="AA19">
        <v>2414</v>
      </c>
      <c r="AB19">
        <v>2414</v>
      </c>
      <c r="AC19">
        <v>2414</v>
      </c>
      <c r="AD19">
        <v>2414</v>
      </c>
      <c r="AE19">
        <v>2414</v>
      </c>
      <c r="AF19">
        <v>2414</v>
      </c>
      <c r="AG19">
        <v>2554</v>
      </c>
      <c r="AH19">
        <v>2554</v>
      </c>
      <c r="AI19">
        <v>2554</v>
      </c>
      <c r="AJ19" t="s">
        <v>130</v>
      </c>
      <c r="AK19">
        <v>2411</v>
      </c>
      <c r="AL19">
        <v>6308</v>
      </c>
      <c r="AM19" t="s">
        <v>144</v>
      </c>
      <c r="AN19" t="s">
        <v>130</v>
      </c>
      <c r="AO19" t="s">
        <v>130</v>
      </c>
      <c r="AP19" t="s">
        <v>130</v>
      </c>
    </row>
    <row r="20" spans="1:42" x14ac:dyDescent="0.25">
      <c r="A20" t="s">
        <v>130</v>
      </c>
      <c r="B20" t="s">
        <v>130</v>
      </c>
      <c r="F20" s="5">
        <f>SUM(F21:F44)</f>
        <v>245912360</v>
      </c>
      <c r="G20" s="5">
        <f>SUM(G21:G44)</f>
        <v>245912360</v>
      </c>
      <c r="H20" s="6">
        <f>+F20-G20</f>
        <v>0</v>
      </c>
      <c r="I20" t="s">
        <v>130</v>
      </c>
      <c r="J20" t="s">
        <v>130</v>
      </c>
      <c r="K20" t="s">
        <v>130</v>
      </c>
      <c r="L20">
        <v>20</v>
      </c>
      <c r="M20" s="16" t="s">
        <v>131</v>
      </c>
      <c r="N20" s="16"/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V20" s="5">
        <f>+V3/30*$L$21</f>
        <v>334287.83333333337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130</v>
      </c>
      <c r="AG20" t="s">
        <v>130</v>
      </c>
      <c r="AH20" t="s">
        <v>130</v>
      </c>
      <c r="AI20" t="s">
        <v>130</v>
      </c>
      <c r="AJ20" t="s">
        <v>130</v>
      </c>
      <c r="AK20" s="2">
        <f>+AK18-AK10-AK6</f>
        <v>114510158</v>
      </c>
      <c r="AL20">
        <v>5213</v>
      </c>
      <c r="AM20" t="s">
        <v>145</v>
      </c>
      <c r="AN20" t="s">
        <v>130</v>
      </c>
      <c r="AO20" t="s">
        <v>130</v>
      </c>
      <c r="AP20" t="s">
        <v>130</v>
      </c>
    </row>
    <row r="21" spans="1:42" x14ac:dyDescent="0.25">
      <c r="B21">
        <v>5011</v>
      </c>
      <c r="C21" t="s">
        <v>132</v>
      </c>
      <c r="D21" s="7" t="s">
        <v>59</v>
      </c>
      <c r="E21">
        <v>7020201</v>
      </c>
      <c r="F21" s="5">
        <f>SUMIF($M$2:$M$16,D21,$Q$2:$Q$16)+SUMIF($M$2:$M$16,D21,$T$2:$T$16)+SUMIF($M$2:$M$16,D21,$S$2:$S$16)+SUMIF($M$2:$M$16,D21,$W$2:$W$16)+SUMIF($M$2:$M$16,D21,$R$2:$R$16)</f>
        <v>43970781</v>
      </c>
      <c r="G21" s="5"/>
      <c r="L21">
        <f>+L20/12</f>
        <v>1.6666666666666667</v>
      </c>
      <c r="M21" s="16" t="s">
        <v>133</v>
      </c>
      <c r="N21" s="16"/>
      <c r="V21" s="5">
        <f t="shared" ref="V21:V33" si="1">+V4/30*$L$21</f>
        <v>366787.83333333337</v>
      </c>
      <c r="AL21">
        <v>5013</v>
      </c>
      <c r="AM21" t="s">
        <v>146</v>
      </c>
    </row>
    <row r="22" spans="1:42" x14ac:dyDescent="0.25">
      <c r="B22">
        <v>5012</v>
      </c>
      <c r="C22" t="s">
        <v>134</v>
      </c>
      <c r="D22" s="7" t="s">
        <v>59</v>
      </c>
      <c r="E22">
        <v>7020202</v>
      </c>
      <c r="F22" s="5">
        <f>SUMIF($M$2:$M$16,D22,$U$2:$U$16)+SUMIF($M$2:$M$16,D22,$Y$2:$Y$16)</f>
        <v>47195550</v>
      </c>
      <c r="G22" s="5"/>
      <c r="V22" s="5">
        <f t="shared" si="1"/>
        <v>277898.94444444444</v>
      </c>
      <c r="AH22" s="4">
        <f>AA18+AB18+AC18+AD18+AE18+AF18+AL18+AM18+AN18+AO18</f>
        <v>11837795</v>
      </c>
      <c r="AL22">
        <v>6303</v>
      </c>
      <c r="AM22" t="s">
        <v>147</v>
      </c>
    </row>
    <row r="23" spans="1:42" x14ac:dyDescent="0.25">
      <c r="B23">
        <v>5013</v>
      </c>
      <c r="C23" t="s">
        <v>26</v>
      </c>
      <c r="D23" s="7" t="s">
        <v>59</v>
      </c>
      <c r="E23">
        <v>7020203</v>
      </c>
      <c r="F23" s="5">
        <f>SUMIF($M$2:$M$16,D23,$AM$2:$AM$16)+SUMIF($M$2:$M$16,D23,$AL$2:$AL$16)+SUMIF($M$2:$M$16,D23,$AO$2:$AO$16)+SUMIF($M$2:$M$16,D23,$AN$2:$AN$16)</f>
        <v>1479104</v>
      </c>
      <c r="G23" s="5"/>
      <c r="V23" s="5">
        <f t="shared" si="1"/>
        <v>186232.27777777778</v>
      </c>
    </row>
    <row r="24" spans="1:42" x14ac:dyDescent="0.25">
      <c r="B24">
        <v>5015</v>
      </c>
      <c r="C24" t="s">
        <v>135</v>
      </c>
      <c r="D24" s="7" t="s">
        <v>59</v>
      </c>
      <c r="E24">
        <v>7020204</v>
      </c>
      <c r="F24" s="5"/>
      <c r="G24" s="5"/>
      <c r="V24" s="5">
        <f t="shared" si="1"/>
        <v>397343.38888888888</v>
      </c>
    </row>
    <row r="25" spans="1:42" x14ac:dyDescent="0.25">
      <c r="B25">
        <v>6306</v>
      </c>
      <c r="C25" t="s">
        <v>132</v>
      </c>
      <c r="D25" s="8" t="s">
        <v>51</v>
      </c>
      <c r="E25">
        <v>8050117</v>
      </c>
      <c r="F25" s="5">
        <f>SUMIF($M$2:$M$16,D25,$Q$2:$Q$16)+SUMIF($M$2:$M$16,D25,$T$2:$T$16)+SUMIF($M$2:$M$16,D25,$S$2:$S$16)+SUMIF($M$2:$M$16,D25,$W$2:$W$16)+SUMIF($M$2:$M$16,D25,$R$2:$R$16)</f>
        <v>10785543</v>
      </c>
      <c r="G25" s="5"/>
      <c r="V25" s="5">
        <f t="shared" si="1"/>
        <v>95898.944444444453</v>
      </c>
    </row>
    <row r="26" spans="1:42" x14ac:dyDescent="0.25">
      <c r="B26">
        <v>6307</v>
      </c>
      <c r="C26" t="s">
        <v>134</v>
      </c>
      <c r="D26" s="8" t="s">
        <v>51</v>
      </c>
      <c r="E26">
        <v>8050118</v>
      </c>
      <c r="F26" s="5">
        <f>SUMIF($M$2:$M$16,D26,$U$2:$U$16)+SUMIF($M$2:$M$16,D26,$Y$2:$Y$16)</f>
        <v>12688828</v>
      </c>
      <c r="G26" s="5"/>
      <c r="V26" s="5">
        <f t="shared" si="1"/>
        <v>275121.16666666669</v>
      </c>
    </row>
    <row r="27" spans="1:42" x14ac:dyDescent="0.25">
      <c r="B27">
        <v>6308</v>
      </c>
      <c r="C27" t="s">
        <v>26</v>
      </c>
      <c r="D27" s="8" t="s">
        <v>51</v>
      </c>
      <c r="E27">
        <v>8050119</v>
      </c>
      <c r="F27" s="5">
        <f>SUMIF($M$2:$M$16,D27,$AM$2:$AM$16)+SUMIF($M$2:$M$16,D27,$AL$2:$AL$16)+SUMIF($M$2:$M$16,D27,$AO$2:$AO$16)+SUMIF($M$2:$M$16,D27,$AN$2:$AN$16)</f>
        <v>422962</v>
      </c>
      <c r="G27" s="5"/>
      <c r="V27" s="5">
        <f t="shared" si="1"/>
        <v>993377.72222222225</v>
      </c>
    </row>
    <row r="28" spans="1:42" x14ac:dyDescent="0.25">
      <c r="B28">
        <v>6326</v>
      </c>
      <c r="C28" t="s">
        <v>135</v>
      </c>
      <c r="D28" s="8" t="s">
        <v>51</v>
      </c>
      <c r="E28">
        <v>8050121</v>
      </c>
      <c r="F28" s="5"/>
      <c r="G28" s="5"/>
      <c r="V28" s="5">
        <f t="shared" si="1"/>
        <v>366787.83333333337</v>
      </c>
    </row>
    <row r="29" spans="1:42" x14ac:dyDescent="0.25">
      <c r="D29" s="9" t="s">
        <v>96</v>
      </c>
      <c r="F29" s="5">
        <f>SUMIF($M$2:$M$16,D29,$Q$2:$Q$16)+SUMIF($M$2:$M$16,D29,$T$2:$T$16)+SUMIF($M$2:$M$16,D29,$S$2:$S$16)+SUMIF($M$2:$M$16,D29,$W$2:$W$16)+SUMIF($M$2:$M$16,D29,$R$2:$R$16)</f>
        <v>17880799</v>
      </c>
      <c r="G29" s="5"/>
      <c r="V29" s="5">
        <f t="shared" si="1"/>
        <v>447343.38888888888</v>
      </c>
    </row>
    <row r="30" spans="1:42" x14ac:dyDescent="0.25">
      <c r="D30" s="9" t="s">
        <v>96</v>
      </c>
      <c r="F30" s="5">
        <f>SUMIF($M$2:$M$16,D30,$U$2:$U$16)+SUMIF($M$2:$M$16,D30,$Y$2:$Y$16)</f>
        <v>65814054</v>
      </c>
      <c r="G30" s="5"/>
      <c r="V30" s="5">
        <f t="shared" si="1"/>
        <v>601208.94444444438</v>
      </c>
    </row>
    <row r="31" spans="1:42" x14ac:dyDescent="0.25">
      <c r="D31" s="9" t="s">
        <v>96</v>
      </c>
      <c r="F31" s="5">
        <f>SUMIF($M$2:$M$16,D31,$AM$2:$AM$16)+SUMIF($M$2:$M$16,D31,$AL$2:$AL$16)+SUMIF($M$2:$M$16,D31,$AO$2:$AO$16)+SUMIF($M$2:$M$16,D31,$AN$2:$AN$16)</f>
        <v>200729</v>
      </c>
      <c r="G31" s="5"/>
      <c r="V31" s="5">
        <f t="shared" si="1"/>
        <v>105861.88888888889</v>
      </c>
    </row>
    <row r="32" spans="1:42" x14ac:dyDescent="0.25">
      <c r="D32" s="9" t="s">
        <v>96</v>
      </c>
      <c r="F32" s="5"/>
      <c r="G32" s="5"/>
      <c r="V32" s="5">
        <f t="shared" si="1"/>
        <v>166232.27777777778</v>
      </c>
    </row>
    <row r="33" spans="2:22" x14ac:dyDescent="0.25">
      <c r="B33">
        <v>6301</v>
      </c>
      <c r="C33" t="s">
        <v>132</v>
      </c>
      <c r="D33" s="10" t="s">
        <v>65</v>
      </c>
      <c r="E33" s="10">
        <v>8050101</v>
      </c>
      <c r="F33" s="15">
        <f>SUMIF($M$2:$M$16,D33,$Q$2:$Q$16)+SUMIF($M$2:$M$16,D33,$T$2:$T$16)+SUMIF($M$2:$M$16,D33,$S$2:$S$16)+SUMIF($M$2:$M$16,D33,$W$2:$W$16)+SUMIF($M$2:$M$16,D33,$R$2:$R$16)</f>
        <v>15823942</v>
      </c>
      <c r="G33" s="5"/>
      <c r="V33" s="5">
        <f t="shared" si="1"/>
        <v>336232.27777777781</v>
      </c>
    </row>
    <row r="34" spans="2:22" x14ac:dyDescent="0.25">
      <c r="B34">
        <v>6302</v>
      </c>
      <c r="C34" t="s">
        <v>134</v>
      </c>
      <c r="D34" s="10" t="s">
        <v>65</v>
      </c>
      <c r="E34" s="10">
        <v>8050102</v>
      </c>
      <c r="F34" s="15">
        <f>SUMIF($M$2:$M$16,D34,$U$2:$U$16)+SUMIF($M$2:$M$16,D34,$Y$2:$Y$16)</f>
        <v>29250902</v>
      </c>
      <c r="G34" s="5"/>
      <c r="V34" s="5"/>
    </row>
    <row r="35" spans="2:22" x14ac:dyDescent="0.25">
      <c r="B35">
        <v>6303</v>
      </c>
      <c r="C35" t="s">
        <v>26</v>
      </c>
      <c r="D35" s="10" t="s">
        <v>65</v>
      </c>
      <c r="E35">
        <v>8050106</v>
      </c>
      <c r="F35" s="5">
        <f>SUMIF($M$2:$M$16,D35,$AM$2:$AM$16)+SUMIF($M$2:$M$16,D35,$AL$2:$AL$16)+SUMIF($M$2:$M$16,D35,$AO$2:$AO$16)+SUMIF($M$2:$M$16,D35,$AN$2:$AN$16)</f>
        <v>399166</v>
      </c>
      <c r="G35" s="5"/>
      <c r="V35" s="5"/>
    </row>
    <row r="36" spans="2:22" x14ac:dyDescent="0.25">
      <c r="B36">
        <v>6327</v>
      </c>
      <c r="C36" t="s">
        <v>135</v>
      </c>
      <c r="D36" s="10" t="s">
        <v>65</v>
      </c>
      <c r="E36">
        <v>8050120</v>
      </c>
      <c r="F36" s="5"/>
      <c r="G36" s="5"/>
      <c r="U36" s="3" t="s">
        <v>136</v>
      </c>
      <c r="V36" s="12">
        <f>SUM(V20:V35)</f>
        <v>4950614.7222222229</v>
      </c>
    </row>
    <row r="37" spans="2:22" x14ac:dyDescent="0.25">
      <c r="B37">
        <v>5211</v>
      </c>
      <c r="C37" t="s">
        <v>132</v>
      </c>
      <c r="D37" s="11" t="s">
        <v>137</v>
      </c>
      <c r="E37">
        <v>7020205</v>
      </c>
      <c r="F37" s="5">
        <f>SUMIF($M$2:$M$16,D37,$Q$2:$Q$16)+SUMIF($M$2:$M$16,D37,$S$2:$S$16)+SUMIF($M$2:$M$16,D37,$R$2:$R$16)</f>
        <v>0</v>
      </c>
      <c r="G37" s="5"/>
    </row>
    <row r="38" spans="2:22" x14ac:dyDescent="0.25">
      <c r="B38">
        <v>5211</v>
      </c>
      <c r="C38" t="s">
        <v>134</v>
      </c>
      <c r="D38" s="11" t="s">
        <v>137</v>
      </c>
      <c r="E38">
        <v>7020206</v>
      </c>
      <c r="F38" s="5">
        <f>SUMIF($M$2:$M$16,D38,$T$2:$T$16)+SUMIF($M$2:$M$16,D38,$U$2:$U$16)+SUMIF($M$2:$M$16,D38,$W$2:$W$16)</f>
        <v>0</v>
      </c>
      <c r="G38" s="5"/>
    </row>
    <row r="39" spans="2:22" x14ac:dyDescent="0.25">
      <c r="B39">
        <v>5213</v>
      </c>
      <c r="C39" t="s">
        <v>26</v>
      </c>
      <c r="D39" s="11" t="s">
        <v>137</v>
      </c>
      <c r="E39">
        <v>7020207</v>
      </c>
      <c r="F39" s="5">
        <f>SUMIF($M$2:$M$16,D39,$AM$2:$AM$16)+SUMIF($M$2:$M$16,D39,$AL$2:$AL$16)+SUMIF($M$2:$M$16,D39,$AO$2:$AO$16)+SUMIF($M$2:$M$16,D39,$AN$2:$AN$16)</f>
        <v>0</v>
      </c>
      <c r="G39" s="5"/>
    </row>
    <row r="40" spans="2:22" x14ac:dyDescent="0.25">
      <c r="B40">
        <v>5215</v>
      </c>
      <c r="C40" t="s">
        <v>135</v>
      </c>
      <c r="D40" s="11" t="s">
        <v>137</v>
      </c>
      <c r="E40">
        <v>7020208</v>
      </c>
      <c r="F40" s="5"/>
      <c r="G40" s="5"/>
    </row>
    <row r="41" spans="2:22" x14ac:dyDescent="0.25">
      <c r="B41">
        <v>2414</v>
      </c>
      <c r="C41" t="s">
        <v>138</v>
      </c>
      <c r="E41">
        <v>3031302</v>
      </c>
      <c r="F41" s="5"/>
      <c r="G41" s="5">
        <f>SUM(AA18:AF18,AL18:AO18)</f>
        <v>11837795</v>
      </c>
    </row>
    <row r="42" spans="2:22" x14ac:dyDescent="0.25">
      <c r="B42">
        <v>2411</v>
      </c>
      <c r="C42" t="s">
        <v>139</v>
      </c>
      <c r="E42">
        <v>3031204</v>
      </c>
      <c r="F42" s="5"/>
      <c r="G42" s="5">
        <f>+AK18</f>
        <v>174176973</v>
      </c>
    </row>
    <row r="43" spans="2:22" x14ac:dyDescent="0.25">
      <c r="B43">
        <v>2554</v>
      </c>
      <c r="C43" t="s">
        <v>140</v>
      </c>
      <c r="E43">
        <v>3031505</v>
      </c>
      <c r="F43" s="5"/>
      <c r="G43" s="5">
        <f>+AI18</f>
        <v>160816</v>
      </c>
    </row>
    <row r="44" spans="2:22" x14ac:dyDescent="0.25">
      <c r="B44">
        <v>2554</v>
      </c>
      <c r="C44" t="s">
        <v>141</v>
      </c>
      <c r="E44">
        <v>3031501</v>
      </c>
      <c r="F44" s="5"/>
      <c r="G44" s="5">
        <f>+AG18+AH18</f>
        <v>59736776</v>
      </c>
    </row>
  </sheetData>
  <sortState xmlns:xlrd2="http://schemas.microsoft.com/office/spreadsheetml/2017/richdata2" ref="A3:AP18">
    <sortCondition ref="E3:E18"/>
  </sortState>
  <mergeCells count="2">
    <mergeCell ref="M20:N20"/>
    <mergeCell ref="M21:N21"/>
  </mergeCells>
  <pageMargins left="0.75" right="0.75" top="1" bottom="1" header="0.5" footer="0.5"/>
  <headerFooter>
    <oddFooter>&amp;C_x000D_&amp;1#&amp;"Calibri"&amp;10&amp;K000000 Clasificación: Interno, no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34FAE1CD-814F-4635-87B9-311178B2EE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49A08-10F3-48F7-B71C-774040C31ECC}"/>
</file>

<file path=customXml/itemProps3.xml><?xml version="1.0" encoding="utf-8"?>
<ds:datastoreItem xmlns:ds="http://schemas.openxmlformats.org/officeDocument/2006/customXml" ds:itemID="{1303BF82-45AF-42C9-A79D-A68CDDF127F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293d2621-260c-42db-8aea-42fd547000da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Carolina Cabrera</cp:lastModifiedBy>
  <cp:revision/>
  <dcterms:created xsi:type="dcterms:W3CDTF">2025-02-21T12:06:22Z</dcterms:created>
  <dcterms:modified xsi:type="dcterms:W3CDTF">2025-07-01T22:07:08Z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