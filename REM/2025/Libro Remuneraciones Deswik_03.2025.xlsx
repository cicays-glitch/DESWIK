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1" documentId="8_{2A86A11F-686B-4A5D-AAD8-F843DC6D8F27}" xr6:coauthVersionLast="47" xr6:coauthVersionMax="47" xr10:uidLastSave="{3DFE4DAA-2AE8-491F-810E-BB2EBA65F9A8}"/>
  <bookViews>
    <workbookView xWindow="-28440" yWindow="4440" windowWidth="25545" windowHeight="9990" xr2:uid="{00000000-000D-0000-FFFF-FFFF00000000}"/>
  </bookViews>
  <sheets>
    <sheet name="03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0" i="1"/>
  <c r="F29" i="1"/>
  <c r="F26" i="1"/>
  <c r="F25" i="1"/>
  <c r="F22" i="1"/>
  <c r="F21" i="1"/>
  <c r="G41" i="1"/>
  <c r="F23" i="1"/>
  <c r="AD20" i="1"/>
  <c r="AY18" i="1"/>
  <c r="G44" i="1"/>
  <c r="AD34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L21" i="1"/>
  <c r="G43" i="1"/>
  <c r="G42" i="1"/>
  <c r="F39" i="1"/>
  <c r="F38" i="1"/>
  <c r="F37" i="1"/>
  <c r="F35" i="1"/>
  <c r="F31" i="1"/>
  <c r="F27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O16" i="1"/>
  <c r="F20" i="1" l="1"/>
  <c r="G20" i="1"/>
  <c r="H20" i="1" l="1"/>
</calcChain>
</file>

<file path=xl/sharedStrings.xml><?xml version="1.0" encoding="utf-8"?>
<sst xmlns="http://schemas.openxmlformats.org/spreadsheetml/2006/main" count="301" uniqueCount="161">
  <si>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</si>
  <si>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</si>
  <si>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</si>
  <si>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</si>
  <si>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</si>
  <si>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</si>
  <si>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</si>
  <si>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</si>
  <si>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</si>
  <si>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</si>
  <si>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</si>
  <si>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</si>
  <si>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</si>
  <si>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</si>
  <si>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</si>
  <si>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</si>
  <si>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</si>
  <si>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</si>
  <si>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Diferencia Gratificación</t>
  </si>
  <si>
    <t>Bono de Salud</t>
  </si>
  <si>
    <t>Bono</t>
  </si>
  <si>
    <t>Bono Anual</t>
  </si>
  <si>
    <t>Bono Sitio</t>
  </si>
  <si>
    <t>Aguinaldo navidad</t>
  </si>
  <si>
    <t>Bono Liquido</t>
  </si>
  <si>
    <t>Bono Liquido Calculado</t>
  </si>
  <si>
    <t>Aguinaldo fiestas patrias</t>
  </si>
  <si>
    <t>Bono Variable (Hrs. Facturables)</t>
  </si>
  <si>
    <t>Bono Desempeño</t>
  </si>
  <si>
    <t>Suma de Haberes Afectos</t>
  </si>
  <si>
    <t>Asignacion teletrabajo</t>
  </si>
  <si>
    <t>Asignación de Traslado</t>
  </si>
  <si>
    <t>Bono Reliquidado Actualizado</t>
  </si>
  <si>
    <t>Suma de Haberes Exentos</t>
  </si>
  <si>
    <t>AFP</t>
  </si>
  <si>
    <t>Afp Reliquidada</t>
  </si>
  <si>
    <t>Seguro Cesantia Trabajador</t>
  </si>
  <si>
    <t>Seguro Cesantia Trabajador Reliquidado</t>
  </si>
  <si>
    <t>Salud 7% (Fonasa)</t>
  </si>
  <si>
    <t>Isapre</t>
  </si>
  <si>
    <t>Isapre sobre 7%</t>
  </si>
  <si>
    <t>Isapre Reliquidada</t>
  </si>
  <si>
    <t>APV (Régimen A)</t>
  </si>
  <si>
    <t>Impuestos</t>
  </si>
  <si>
    <t>Impuestos Reliquidado</t>
  </si>
  <si>
    <t>Anticipo Manual</t>
  </si>
  <si>
    <t>Anticipo Aguinaldo</t>
  </si>
  <si>
    <t>Retención Préstamo Solidario SII</t>
  </si>
  <si>
    <t>Remuneración Pagada</t>
  </si>
  <si>
    <t>Suma de Descuentos</t>
  </si>
  <si>
    <t>Liquido a Pago</t>
  </si>
  <si>
    <t>Seguro accidentes del Trabajo</t>
  </si>
  <si>
    <t>Seguro accidentes del Trabajo reliquidado</t>
  </si>
  <si>
    <t>Seguro Cesantia Empleador</t>
  </si>
  <si>
    <t>Seguro Cesantia Empleador Reliquidado</t>
  </si>
  <si>
    <t>Seguro Cesantia (Fondo Solidario)</t>
  </si>
  <si>
    <t>Seguro Cesantia Fondo Solidario Reliquidado</t>
  </si>
  <si>
    <t>Seguro Invalidez y Supervivencia (SIS)</t>
  </si>
  <si>
    <t>Seguro Invalidez Y Supervivencia Reliquidado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</si>
  <si>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</si>
  <si>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</si>
  <si>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</si>
  <si>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</si>
  <si>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</si>
  <si>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</si>
  <si>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</si>
  <si>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</si>
  <si>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</si>
  <si>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</si>
  <si>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Admin</t>
  </si>
  <si>
    <t>13462322-5</t>
  </si>
  <si>
    <t>CRISTIAN</t>
  </si>
  <si>
    <t>ANABALON</t>
  </si>
  <si>
    <t>BARRÍA</t>
  </si>
  <si>
    <t>16/12/2016</t>
  </si>
  <si>
    <t>Cuprum</t>
  </si>
  <si>
    <t>Colmena</t>
  </si>
  <si>
    <t>Consulting</t>
  </si>
  <si>
    <t>15460999-7</t>
  </si>
  <si>
    <t>KATHERINE MARLENE</t>
  </si>
  <si>
    <t>BOLLMANN</t>
  </si>
  <si>
    <t>NILIAN</t>
  </si>
  <si>
    <t>01/04/2020</t>
  </si>
  <si>
    <t>Mkt</t>
  </si>
  <si>
    <t>44429617-8</t>
  </si>
  <si>
    <t>Lucas Guilherme</t>
  </si>
  <si>
    <t>Cardoso</t>
  </si>
  <si>
    <t>Bittencourt</t>
  </si>
  <si>
    <t>01/11/2024</t>
  </si>
  <si>
    <t>Uno</t>
  </si>
  <si>
    <t>17533327-4</t>
  </si>
  <si>
    <t>JUAN SEBASTIAN</t>
  </si>
  <si>
    <t>CARVALLO</t>
  </si>
  <si>
    <t>JIMÉNEZ</t>
  </si>
  <si>
    <t>01/06/2017</t>
  </si>
  <si>
    <t>Modelo</t>
  </si>
  <si>
    <t>VidaTres</t>
  </si>
  <si>
    <t>16475670-K</t>
  </si>
  <si>
    <t>CAROL TATIANA</t>
  </si>
  <si>
    <t>CONTRERAS</t>
  </si>
  <si>
    <t>MUÑOZ</t>
  </si>
  <si>
    <t>01/12/2023</t>
  </si>
  <si>
    <t>Fonasa</t>
  </si>
  <si>
    <t>26047681-5</t>
  </si>
  <si>
    <t>ANTONIETA</t>
  </si>
  <si>
    <t>GONZALEZ</t>
  </si>
  <si>
    <t>OLIVEROS</t>
  </si>
  <si>
    <t>31/07/2017</t>
  </si>
  <si>
    <t>Planvital</t>
  </si>
  <si>
    <t>33694292-6</t>
  </si>
  <si>
    <t>CESAR FELIPE</t>
  </si>
  <si>
    <t>MACHADO</t>
  </si>
  <si>
    <t>RIBEIRO LOPES</t>
  </si>
  <si>
    <t>14/07/2023</t>
  </si>
  <si>
    <t>Admin/Sales</t>
  </si>
  <si>
    <t>17308225-8</t>
  </si>
  <si>
    <t>FRANCISCO</t>
  </si>
  <si>
    <t>MIRANDA</t>
  </si>
  <si>
    <t>RIADI</t>
  </si>
  <si>
    <t>14/09/2017</t>
  </si>
  <si>
    <t>Habitat</t>
  </si>
  <si>
    <t>Banmedica</t>
  </si>
  <si>
    <t>15633296-8</t>
  </si>
  <si>
    <t>JORGE</t>
  </si>
  <si>
    <t>MORIS</t>
  </si>
  <si>
    <t>JORDÁN</t>
  </si>
  <si>
    <t>15/05/2017</t>
  </si>
  <si>
    <t>28095040-8</t>
  </si>
  <si>
    <t>MARCELO</t>
  </si>
  <si>
    <t>PENNA</t>
  </si>
  <si>
    <t>SANTOS</t>
  </si>
  <si>
    <t>01/01/2023</t>
  </si>
  <si>
    <t>Esencial</t>
  </si>
  <si>
    <t>25221995-1</t>
  </si>
  <si>
    <t>CAITLIN JOY</t>
  </si>
  <si>
    <t>WHEAT</t>
  </si>
  <si>
    <t>.</t>
  </si>
  <si>
    <t>Consalud</t>
  </si>
  <si>
    <t>25111494-3</t>
  </si>
  <si>
    <t>Caroline</t>
  </si>
  <si>
    <t>Zorzi</t>
  </si>
  <si>
    <t>04/11/2024</t>
  </si>
  <si>
    <t>04/05/2025</t>
  </si>
  <si>
    <t xml:space="preserve"> </t>
  </si>
  <si>
    <t>Dias de vacaciones</t>
  </si>
  <si>
    <t>Salario</t>
  </si>
  <si>
    <t>Provisión Mensual</t>
  </si>
  <si>
    <t>ISAPRE</t>
  </si>
  <si>
    <t>Total</t>
  </si>
  <si>
    <t>Support</t>
  </si>
  <si>
    <t>Previred por pagar</t>
  </si>
  <si>
    <t>Remuneraciones por pagar</t>
  </si>
  <si>
    <t>Impuesto adicional prestamo</t>
  </si>
  <si>
    <t>Impuesto unico trabajador</t>
  </si>
  <si>
    <t>ADM</t>
  </si>
  <si>
    <t>SUPOR</t>
  </si>
  <si>
    <t>CONSULT</t>
  </si>
  <si>
    <t>MKT</t>
  </si>
  <si>
    <t>SALARIO</t>
  </si>
  <si>
    <t>BONO</t>
  </si>
  <si>
    <t>AGUINALDO=BONO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</si>
</sst>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41" fontId="0" fillId="0" borderId="0" xfId="1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1" fontId="0" fillId="0" borderId="0" xfId="0" applyNumberFormat="1"/>
    <xf numFmtId="0" fontId="2" fillId="0" borderId="0" xfId="0" applyFont="1"/>
    <xf numFmtId="41" fontId="2" fillId="0" borderId="0" xfId="0" applyNumberFormat="1" applyFont="1"/>
    <xf numFmtId="41" fontId="2" fillId="0" borderId="0" xfId="1" applyFont="1"/>
    <xf numFmtId="41" fontId="0" fillId="3" borderId="0" xfId="1" applyFont="1" applyFill="1"/>
    <xf numFmtId="41" fontId="0" fillId="7" borderId="0" xfId="1" applyFont="1" applyFill="1"/>
    <xf numFmtId="0" fontId="0" fillId="8" borderId="0" xfId="0" applyFill="1"/>
    <xf numFmtId="0" fontId="0" fillId="0" borderId="0" xfId="0" applyAlignment="1">
      <alignment horizontal="center"/>
    </xf>
    <xf numFmtId="0" fontId="0" fillId="7" borderId="0" xfId="0" applyFill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4"/>
  <sheetViews>
    <sheetView showGridLines="0" tabSelected="1" topLeftCell="A11" zoomScale="90" zoomScaleNormal="90" workbookViewId="0">
      <selection activeCell="A12" sqref="A12:XFD12"/>
    </sheetView>
  </sheetViews>
  <sheetFormatPr baseColWidth="10" defaultColWidth="8.85546875" defaultRowHeight="15" x14ac:dyDescent="0.25"/>
  <cols>
    <col min="6" max="6" width="14.85546875" bestFit="1" customWidth="1"/>
    <col min="7" max="7" width="17.5703125" bestFit="1" customWidth="1"/>
    <col min="8" max="8" width="13" bestFit="1" customWidth="1"/>
    <col min="12" max="12" width="9.85546875" customWidth="1"/>
    <col min="13" max="13" width="14.140625" customWidth="1"/>
    <col min="17" max="17" width="11.42578125" bestFit="1" customWidth="1"/>
    <col min="19" max="19" width="11" customWidth="1"/>
    <col min="20" max="20" width="12.5703125" bestFit="1" customWidth="1"/>
    <col min="21" max="21" width="5.28515625" hidden="1" customWidth="1"/>
    <col min="22" max="22" width="10.28515625" hidden="1" customWidth="1"/>
    <col min="24" max="29" width="0" hidden="1" customWidth="1"/>
    <col min="30" max="30" width="23.140625" bestFit="1" customWidth="1"/>
    <col min="32" max="33" width="0" hidden="1" customWidth="1"/>
    <col min="44" max="44" width="9.42578125" bestFit="1" customWidth="1"/>
    <col min="48" max="48" width="29" bestFit="1" customWidth="1"/>
    <col min="51" max="51" width="13.5703125" bestFit="1" customWidth="1"/>
    <col min="52" max="52" width="27" bestFit="1" customWidth="1"/>
    <col min="53" max="53" width="15.28515625" customWidth="1"/>
    <col min="54" max="54" width="16.5703125" customWidth="1"/>
    <col min="55" max="55" width="18" customWidth="1"/>
    <col min="56" max="56" width="25.140625" customWidth="1"/>
    <col min="57" max="57" width="16.5703125" customWidth="1"/>
    <col min="58" max="58" width="13.140625" customWidth="1"/>
    <col min="59" max="59" width="15.7109375" customWidth="1"/>
    <col min="60" max="60" width="13.85546875" bestFit="1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I2" t="s">
        <v>67</v>
      </c>
      <c r="J2" t="s">
        <v>68</v>
      </c>
      <c r="K2">
        <v>6.33</v>
      </c>
      <c r="L2">
        <v>5665000</v>
      </c>
      <c r="M2" t="s">
        <v>69</v>
      </c>
      <c r="N2">
        <v>30</v>
      </c>
      <c r="O2">
        <v>10</v>
      </c>
      <c r="P2">
        <v>0</v>
      </c>
      <c r="Q2">
        <v>5665000</v>
      </c>
      <c r="R2">
        <v>202127</v>
      </c>
      <c r="S2">
        <v>95004</v>
      </c>
      <c r="T2">
        <v>150000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6112131</v>
      </c>
      <c r="AE2">
        <v>0</v>
      </c>
      <c r="AF2">
        <v>0</v>
      </c>
      <c r="AG2">
        <v>0</v>
      </c>
      <c r="AH2">
        <v>0</v>
      </c>
      <c r="AI2">
        <v>391006</v>
      </c>
      <c r="AJ2">
        <v>0</v>
      </c>
      <c r="AK2">
        <v>30781</v>
      </c>
      <c r="AL2">
        <v>0</v>
      </c>
      <c r="AM2">
        <v>0</v>
      </c>
      <c r="AN2">
        <v>239043</v>
      </c>
      <c r="AO2">
        <v>7235</v>
      </c>
      <c r="AP2">
        <v>0</v>
      </c>
      <c r="AQ2">
        <v>0</v>
      </c>
      <c r="AR2">
        <v>495900</v>
      </c>
      <c r="AS2">
        <v>0</v>
      </c>
      <c r="AV2">
        <v>163539</v>
      </c>
      <c r="AW2">
        <v>0</v>
      </c>
      <c r="AX2">
        <v>163539</v>
      </c>
      <c r="AY2" s="12">
        <v>4784627</v>
      </c>
      <c r="AZ2">
        <v>31759</v>
      </c>
      <c r="BA2">
        <v>0</v>
      </c>
      <c r="BB2">
        <v>82082</v>
      </c>
      <c r="BC2">
        <v>0</v>
      </c>
      <c r="BD2">
        <v>41041</v>
      </c>
      <c r="BE2">
        <v>0</v>
      </c>
      <c r="BF2">
        <v>47126</v>
      </c>
      <c r="BG2">
        <v>0</v>
      </c>
      <c r="BH2">
        <v>6314139</v>
      </c>
    </row>
    <row r="3" spans="1:60" x14ac:dyDescent="0.25">
      <c r="A3" t="s">
        <v>60</v>
      </c>
      <c r="B3" t="s">
        <v>61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I3" t="s">
        <v>75</v>
      </c>
      <c r="J3" t="s">
        <v>76</v>
      </c>
      <c r="K3">
        <v>11.54</v>
      </c>
      <c r="L3">
        <v>6250000</v>
      </c>
      <c r="M3" t="s">
        <v>77</v>
      </c>
      <c r="N3">
        <v>30</v>
      </c>
      <c r="O3">
        <v>10</v>
      </c>
      <c r="P3">
        <v>0</v>
      </c>
      <c r="Q3">
        <v>6250000</v>
      </c>
      <c r="R3">
        <v>202127</v>
      </c>
      <c r="S3">
        <v>95004</v>
      </c>
      <c r="T3">
        <v>150000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6697131</v>
      </c>
      <c r="AE3">
        <v>0</v>
      </c>
      <c r="AF3">
        <v>0</v>
      </c>
      <c r="AG3">
        <v>0</v>
      </c>
      <c r="AH3">
        <v>0</v>
      </c>
      <c r="AI3">
        <v>390665</v>
      </c>
      <c r="AJ3">
        <v>0</v>
      </c>
      <c r="AK3">
        <v>30781</v>
      </c>
      <c r="AL3">
        <v>0</v>
      </c>
      <c r="AM3">
        <v>0</v>
      </c>
      <c r="AN3">
        <v>239043</v>
      </c>
      <c r="AO3">
        <v>209639</v>
      </c>
      <c r="AP3">
        <v>0</v>
      </c>
      <c r="AQ3">
        <v>0</v>
      </c>
      <c r="AR3">
        <v>630529</v>
      </c>
      <c r="AS3">
        <v>0</v>
      </c>
      <c r="AV3">
        <v>0</v>
      </c>
      <c r="AW3">
        <v>0</v>
      </c>
      <c r="AX3">
        <v>0</v>
      </c>
      <c r="AY3" s="1">
        <v>5196474</v>
      </c>
      <c r="AZ3">
        <v>31759</v>
      </c>
      <c r="BA3">
        <v>0</v>
      </c>
      <c r="BB3">
        <v>82082</v>
      </c>
      <c r="BC3">
        <v>0</v>
      </c>
      <c r="BD3">
        <v>41041</v>
      </c>
      <c r="BE3">
        <v>0</v>
      </c>
      <c r="BF3">
        <v>47126</v>
      </c>
      <c r="BG3">
        <v>0</v>
      </c>
      <c r="BH3">
        <v>6899139</v>
      </c>
    </row>
    <row r="4" spans="1:60" x14ac:dyDescent="0.25">
      <c r="A4" t="s">
        <v>60</v>
      </c>
      <c r="B4" t="s">
        <v>61</v>
      </c>
      <c r="C4" t="s">
        <v>78</v>
      </c>
      <c r="D4" t="s">
        <v>79</v>
      </c>
      <c r="E4" t="s">
        <v>80</v>
      </c>
      <c r="F4" t="s">
        <v>81</v>
      </c>
      <c r="G4" t="s">
        <v>82</v>
      </c>
      <c r="I4" t="s">
        <v>75</v>
      </c>
      <c r="J4" t="s">
        <v>76</v>
      </c>
      <c r="K4">
        <v>6.14</v>
      </c>
      <c r="L4">
        <v>4650000</v>
      </c>
      <c r="M4" t="s">
        <v>83</v>
      </c>
      <c r="N4">
        <v>30</v>
      </c>
      <c r="O4">
        <v>3</v>
      </c>
      <c r="P4">
        <v>0</v>
      </c>
      <c r="Q4">
        <v>4650000</v>
      </c>
      <c r="R4">
        <v>202127</v>
      </c>
      <c r="S4">
        <v>95004</v>
      </c>
      <c r="T4">
        <v>150000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5097131</v>
      </c>
      <c r="AE4">
        <v>0</v>
      </c>
      <c r="AF4">
        <v>0</v>
      </c>
      <c r="AG4">
        <v>0</v>
      </c>
      <c r="AH4">
        <v>0</v>
      </c>
      <c r="AI4">
        <v>390665</v>
      </c>
      <c r="AJ4">
        <v>0</v>
      </c>
      <c r="AK4">
        <v>30583</v>
      </c>
      <c r="AL4">
        <v>0</v>
      </c>
      <c r="AM4">
        <v>0</v>
      </c>
      <c r="AN4">
        <v>239043</v>
      </c>
      <c r="AO4">
        <v>0</v>
      </c>
      <c r="AP4">
        <v>0</v>
      </c>
      <c r="AQ4">
        <v>0</v>
      </c>
      <c r="AR4">
        <v>293501</v>
      </c>
      <c r="AS4">
        <v>0</v>
      </c>
      <c r="AV4">
        <v>0</v>
      </c>
      <c r="AW4">
        <v>0</v>
      </c>
      <c r="AX4">
        <v>0</v>
      </c>
      <c r="AY4" s="1">
        <v>4143339</v>
      </c>
      <c r="AZ4">
        <v>31759</v>
      </c>
      <c r="BA4">
        <v>0</v>
      </c>
      <c r="BB4">
        <v>81554</v>
      </c>
      <c r="BC4">
        <v>0</v>
      </c>
      <c r="BD4">
        <v>40777</v>
      </c>
      <c r="BE4">
        <v>0</v>
      </c>
      <c r="BF4">
        <v>47126</v>
      </c>
      <c r="BG4">
        <v>0</v>
      </c>
      <c r="BH4">
        <v>5298347</v>
      </c>
    </row>
    <row r="5" spans="1:60" s="3" customFormat="1" x14ac:dyDescent="0.25">
      <c r="A5" s="3" t="s">
        <v>60</v>
      </c>
      <c r="B5" s="3" t="s">
        <v>61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I5" s="3" t="s">
        <v>89</v>
      </c>
      <c r="J5" s="3" t="s">
        <v>76</v>
      </c>
      <c r="K5" s="3">
        <v>6.16</v>
      </c>
      <c r="L5" s="3">
        <v>3000000</v>
      </c>
      <c r="M5" s="3" t="s">
        <v>77</v>
      </c>
      <c r="N5" s="3">
        <v>30</v>
      </c>
      <c r="O5" s="3">
        <v>0</v>
      </c>
      <c r="P5" s="3">
        <v>0</v>
      </c>
      <c r="Q5" s="3">
        <v>3000000</v>
      </c>
      <c r="R5" s="3">
        <v>202127</v>
      </c>
      <c r="S5" s="3">
        <v>0</v>
      </c>
      <c r="T5" s="3">
        <v>150000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3352127</v>
      </c>
      <c r="AE5" s="3">
        <v>0</v>
      </c>
      <c r="AF5" s="3">
        <v>0</v>
      </c>
      <c r="AG5" s="3">
        <v>0</v>
      </c>
      <c r="AH5" s="3">
        <v>0</v>
      </c>
      <c r="AI5" s="3">
        <v>351638</v>
      </c>
      <c r="AJ5" s="3">
        <v>0</v>
      </c>
      <c r="AK5" s="3">
        <v>20113</v>
      </c>
      <c r="AL5" s="3">
        <v>0</v>
      </c>
      <c r="AM5" s="3">
        <v>0</v>
      </c>
      <c r="AN5" s="3">
        <v>234649</v>
      </c>
      <c r="AO5" s="3">
        <v>4939</v>
      </c>
      <c r="AP5" s="3">
        <v>0</v>
      </c>
      <c r="AQ5" s="3">
        <v>0</v>
      </c>
      <c r="AR5" s="3">
        <v>100927</v>
      </c>
      <c r="AS5" s="3">
        <v>0</v>
      </c>
      <c r="AV5" s="3">
        <v>0</v>
      </c>
      <c r="AW5" s="3">
        <v>0</v>
      </c>
      <c r="AX5" s="3">
        <v>0</v>
      </c>
      <c r="AY5" s="11">
        <v>2639861</v>
      </c>
      <c r="AZ5" s="3">
        <v>31175</v>
      </c>
      <c r="BA5" s="3">
        <v>0</v>
      </c>
      <c r="BB5" s="3">
        <v>53634</v>
      </c>
      <c r="BC5" s="3">
        <v>0</v>
      </c>
      <c r="BD5" s="3">
        <v>26817</v>
      </c>
      <c r="BE5" s="3">
        <v>0</v>
      </c>
      <c r="BF5" s="3">
        <v>46259</v>
      </c>
      <c r="BG5" s="3">
        <v>0</v>
      </c>
      <c r="BH5" s="3">
        <v>3510012</v>
      </c>
    </row>
    <row r="6" spans="1:60" x14ac:dyDescent="0.25">
      <c r="A6" t="s">
        <v>60</v>
      </c>
      <c r="B6" t="s">
        <v>61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I6" t="s">
        <v>95</v>
      </c>
      <c r="J6" t="s">
        <v>96</v>
      </c>
      <c r="K6">
        <v>6.73</v>
      </c>
      <c r="L6">
        <v>6500000</v>
      </c>
      <c r="M6" t="s">
        <v>77</v>
      </c>
      <c r="N6">
        <v>30</v>
      </c>
      <c r="O6">
        <v>1</v>
      </c>
      <c r="P6">
        <v>0</v>
      </c>
      <c r="Q6">
        <v>6500000</v>
      </c>
      <c r="R6">
        <v>202127</v>
      </c>
      <c r="S6">
        <v>95004</v>
      </c>
      <c r="T6">
        <v>150000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6947131</v>
      </c>
      <c r="AE6">
        <v>0</v>
      </c>
      <c r="AF6">
        <v>0</v>
      </c>
      <c r="AG6">
        <v>0</v>
      </c>
      <c r="AH6">
        <v>0</v>
      </c>
      <c r="AI6">
        <v>361297</v>
      </c>
      <c r="AJ6">
        <v>0</v>
      </c>
      <c r="AK6">
        <v>30781</v>
      </c>
      <c r="AL6">
        <v>0</v>
      </c>
      <c r="AM6">
        <v>0</v>
      </c>
      <c r="AN6">
        <v>239043</v>
      </c>
      <c r="AO6">
        <v>22675</v>
      </c>
      <c r="AP6">
        <v>0</v>
      </c>
      <c r="AQ6">
        <v>0</v>
      </c>
      <c r="AR6">
        <v>709062</v>
      </c>
      <c r="AS6">
        <v>0</v>
      </c>
      <c r="AV6">
        <v>0</v>
      </c>
      <c r="AW6">
        <v>0</v>
      </c>
      <c r="AX6">
        <v>0</v>
      </c>
      <c r="AY6" s="1">
        <v>5584273</v>
      </c>
      <c r="AZ6">
        <v>31759</v>
      </c>
      <c r="BA6">
        <v>0</v>
      </c>
      <c r="BB6">
        <v>82082</v>
      </c>
      <c r="BC6">
        <v>0</v>
      </c>
      <c r="BD6">
        <v>41041</v>
      </c>
      <c r="BE6">
        <v>0</v>
      </c>
      <c r="BF6">
        <v>47126</v>
      </c>
      <c r="BG6">
        <v>0</v>
      </c>
      <c r="BH6">
        <v>7149139</v>
      </c>
    </row>
    <row r="7" spans="1:60" x14ac:dyDescent="0.25">
      <c r="A7" t="s">
        <v>60</v>
      </c>
      <c r="B7" t="s">
        <v>61</v>
      </c>
      <c r="C7" t="s">
        <v>97</v>
      </c>
      <c r="D7" t="s">
        <v>98</v>
      </c>
      <c r="E7" t="s">
        <v>99</v>
      </c>
      <c r="F7" t="s">
        <v>100</v>
      </c>
      <c r="G7" t="s">
        <v>101</v>
      </c>
      <c r="I7" t="s">
        <v>95</v>
      </c>
      <c r="J7" t="s">
        <v>102</v>
      </c>
      <c r="L7">
        <v>1374000</v>
      </c>
      <c r="M7" t="s">
        <v>69</v>
      </c>
      <c r="N7">
        <v>30</v>
      </c>
      <c r="O7">
        <v>10</v>
      </c>
      <c r="P7">
        <v>0</v>
      </c>
      <c r="Q7">
        <v>1374000</v>
      </c>
      <c r="R7">
        <v>202127</v>
      </c>
      <c r="S7">
        <v>95004</v>
      </c>
      <c r="T7">
        <v>150000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1821131</v>
      </c>
      <c r="AE7">
        <v>0</v>
      </c>
      <c r="AF7">
        <v>0</v>
      </c>
      <c r="AG7">
        <v>0</v>
      </c>
      <c r="AH7">
        <v>0</v>
      </c>
      <c r="AI7">
        <v>192676</v>
      </c>
      <c r="AJ7">
        <v>0</v>
      </c>
      <c r="AK7">
        <v>10927</v>
      </c>
      <c r="AL7">
        <v>0</v>
      </c>
      <c r="AM7">
        <v>127479</v>
      </c>
      <c r="AN7">
        <v>0</v>
      </c>
      <c r="AO7">
        <v>0</v>
      </c>
      <c r="AP7">
        <v>0</v>
      </c>
      <c r="AQ7">
        <v>0</v>
      </c>
      <c r="AR7">
        <v>22864</v>
      </c>
      <c r="AS7">
        <v>0</v>
      </c>
      <c r="AV7">
        <v>0</v>
      </c>
      <c r="AW7">
        <v>0</v>
      </c>
      <c r="AX7">
        <v>0</v>
      </c>
      <c r="AY7" s="1">
        <v>1467185</v>
      </c>
      <c r="AZ7">
        <v>16937</v>
      </c>
      <c r="BA7">
        <v>0</v>
      </c>
      <c r="BB7">
        <v>29138</v>
      </c>
      <c r="BC7">
        <v>0</v>
      </c>
      <c r="BD7">
        <v>14569</v>
      </c>
      <c r="BE7">
        <v>0</v>
      </c>
      <c r="BF7">
        <v>25132</v>
      </c>
      <c r="BG7">
        <v>0</v>
      </c>
      <c r="BH7">
        <v>1906907</v>
      </c>
    </row>
    <row r="8" spans="1:60" x14ac:dyDescent="0.25">
      <c r="A8" t="s">
        <v>60</v>
      </c>
      <c r="B8" t="s">
        <v>61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I8" t="s">
        <v>108</v>
      </c>
      <c r="J8" t="s">
        <v>68</v>
      </c>
      <c r="K8">
        <v>6.86</v>
      </c>
      <c r="L8">
        <v>4600000</v>
      </c>
      <c r="M8" t="s">
        <v>77</v>
      </c>
      <c r="N8">
        <v>30</v>
      </c>
      <c r="O8">
        <v>0</v>
      </c>
      <c r="P8">
        <v>0</v>
      </c>
      <c r="Q8">
        <v>4600000</v>
      </c>
      <c r="R8">
        <v>202127</v>
      </c>
      <c r="S8">
        <v>95004</v>
      </c>
      <c r="T8">
        <v>150000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5047131</v>
      </c>
      <c r="AE8">
        <v>0</v>
      </c>
      <c r="AF8">
        <v>0</v>
      </c>
      <c r="AG8">
        <v>0</v>
      </c>
      <c r="AH8">
        <v>0</v>
      </c>
      <c r="AI8">
        <v>381103</v>
      </c>
      <c r="AJ8">
        <v>0</v>
      </c>
      <c r="AK8">
        <v>30283</v>
      </c>
      <c r="AL8">
        <v>0</v>
      </c>
      <c r="AM8">
        <v>0</v>
      </c>
      <c r="AN8">
        <v>239043</v>
      </c>
      <c r="AO8">
        <v>27576</v>
      </c>
      <c r="AP8">
        <v>0</v>
      </c>
      <c r="AQ8">
        <v>0</v>
      </c>
      <c r="AR8">
        <v>288082</v>
      </c>
      <c r="AS8">
        <v>0</v>
      </c>
      <c r="AV8">
        <v>0</v>
      </c>
      <c r="AW8">
        <v>0</v>
      </c>
      <c r="AX8">
        <v>0</v>
      </c>
      <c r="AY8" s="12">
        <v>4081044</v>
      </c>
      <c r="AZ8">
        <v>31759</v>
      </c>
      <c r="BA8">
        <v>0</v>
      </c>
      <c r="BB8">
        <v>80754</v>
      </c>
      <c r="BC8">
        <v>0</v>
      </c>
      <c r="BD8">
        <v>40377</v>
      </c>
      <c r="BE8">
        <v>0</v>
      </c>
      <c r="BF8">
        <v>47126</v>
      </c>
      <c r="BG8">
        <v>0</v>
      </c>
      <c r="BH8">
        <v>5247147</v>
      </c>
    </row>
    <row r="9" spans="1:60" s="3" customFormat="1" x14ac:dyDescent="0.25">
      <c r="A9" s="3" t="s">
        <v>60</v>
      </c>
      <c r="B9" s="3" t="s">
        <v>61</v>
      </c>
      <c r="C9" s="3" t="s">
        <v>109</v>
      </c>
      <c r="D9" s="3" t="s">
        <v>110</v>
      </c>
      <c r="E9" s="3" t="s">
        <v>111</v>
      </c>
      <c r="F9" s="3" t="s">
        <v>112</v>
      </c>
      <c r="G9" s="3" t="s">
        <v>113</v>
      </c>
      <c r="I9" s="3" t="s">
        <v>95</v>
      </c>
      <c r="J9" s="3" t="s">
        <v>102</v>
      </c>
      <c r="L9" s="3">
        <v>17169493</v>
      </c>
      <c r="M9" s="3" t="s">
        <v>114</v>
      </c>
      <c r="N9" s="3">
        <v>30</v>
      </c>
      <c r="O9" s="3">
        <v>0</v>
      </c>
      <c r="P9" s="3">
        <v>0</v>
      </c>
      <c r="Q9" s="3">
        <v>17169493</v>
      </c>
      <c r="R9" s="3">
        <v>202127</v>
      </c>
      <c r="S9" s="3">
        <v>95004</v>
      </c>
      <c r="T9" s="3">
        <v>150000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17616624</v>
      </c>
      <c r="AE9" s="3">
        <v>0</v>
      </c>
      <c r="AF9" s="3">
        <v>0</v>
      </c>
      <c r="AG9" s="3">
        <v>0</v>
      </c>
      <c r="AH9" s="3">
        <v>0</v>
      </c>
      <c r="AI9" s="3">
        <v>361297</v>
      </c>
      <c r="AJ9" s="3">
        <v>0</v>
      </c>
      <c r="AK9" s="3">
        <v>30781</v>
      </c>
      <c r="AL9" s="3">
        <v>0</v>
      </c>
      <c r="AM9" s="3">
        <v>239043</v>
      </c>
      <c r="AN9" s="3">
        <v>0</v>
      </c>
      <c r="AO9" s="3">
        <v>0</v>
      </c>
      <c r="AP9" s="3">
        <v>0</v>
      </c>
      <c r="AQ9" s="3">
        <v>0</v>
      </c>
      <c r="AR9" s="3">
        <v>4358373</v>
      </c>
      <c r="AS9" s="3">
        <v>0</v>
      </c>
      <c r="AV9" s="3">
        <v>0</v>
      </c>
      <c r="AW9" s="3">
        <v>0</v>
      </c>
      <c r="AX9" s="3">
        <v>0</v>
      </c>
      <c r="AY9" s="11">
        <v>12627130</v>
      </c>
      <c r="AZ9" s="3">
        <v>31759</v>
      </c>
      <c r="BA9" s="3">
        <v>0</v>
      </c>
      <c r="BB9" s="3">
        <v>82082</v>
      </c>
      <c r="BC9" s="3">
        <v>0</v>
      </c>
      <c r="BD9" s="3">
        <v>41041</v>
      </c>
      <c r="BE9" s="3">
        <v>0</v>
      </c>
      <c r="BF9" s="3">
        <v>47126</v>
      </c>
      <c r="BG9" s="3">
        <v>0</v>
      </c>
      <c r="BH9" s="3">
        <v>17818632</v>
      </c>
    </row>
    <row r="10" spans="1:60" x14ac:dyDescent="0.25">
      <c r="A10" t="s">
        <v>60</v>
      </c>
      <c r="B10" t="s">
        <v>61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I10" t="s">
        <v>120</v>
      </c>
      <c r="J10" t="s">
        <v>121</v>
      </c>
      <c r="K10">
        <v>11.96</v>
      </c>
      <c r="L10">
        <v>6250000</v>
      </c>
      <c r="M10" t="s">
        <v>77</v>
      </c>
      <c r="N10">
        <v>30</v>
      </c>
      <c r="O10">
        <v>4</v>
      </c>
      <c r="P10">
        <v>0</v>
      </c>
      <c r="Q10">
        <v>6250000</v>
      </c>
      <c r="R10">
        <v>202127</v>
      </c>
      <c r="S10">
        <v>95004</v>
      </c>
      <c r="T10">
        <v>150000</v>
      </c>
      <c r="U10">
        <v>0</v>
      </c>
      <c r="V10">
        <v>0</v>
      </c>
      <c r="W10">
        <v>450000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7147131</v>
      </c>
      <c r="AE10">
        <v>0</v>
      </c>
      <c r="AF10">
        <v>0</v>
      </c>
      <c r="AG10">
        <v>0</v>
      </c>
      <c r="AH10">
        <v>0</v>
      </c>
      <c r="AI10">
        <v>384860</v>
      </c>
      <c r="AJ10">
        <v>0</v>
      </c>
      <c r="AK10">
        <v>30781</v>
      </c>
      <c r="AL10">
        <v>0</v>
      </c>
      <c r="AM10">
        <v>0</v>
      </c>
      <c r="AN10">
        <v>239043</v>
      </c>
      <c r="AO10">
        <v>226286</v>
      </c>
      <c r="AP10">
        <v>0</v>
      </c>
      <c r="AQ10">
        <v>155576</v>
      </c>
      <c r="AR10">
        <v>762699</v>
      </c>
      <c r="AS10">
        <v>0</v>
      </c>
      <c r="AV10">
        <v>0</v>
      </c>
      <c r="AW10">
        <v>0</v>
      </c>
      <c r="AX10">
        <v>0</v>
      </c>
      <c r="AY10" s="1">
        <v>5347886</v>
      </c>
      <c r="AZ10">
        <v>31759</v>
      </c>
      <c r="BA10">
        <v>0</v>
      </c>
      <c r="BB10">
        <v>82082</v>
      </c>
      <c r="BC10">
        <v>0</v>
      </c>
      <c r="BD10">
        <v>41041</v>
      </c>
      <c r="BE10">
        <v>0</v>
      </c>
      <c r="BF10">
        <v>47126</v>
      </c>
      <c r="BG10">
        <v>0</v>
      </c>
      <c r="BH10">
        <v>7349139</v>
      </c>
    </row>
    <row r="11" spans="1:60" x14ac:dyDescent="0.25">
      <c r="A11" t="s">
        <v>60</v>
      </c>
      <c r="B11" t="s">
        <v>61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I11" t="s">
        <v>75</v>
      </c>
      <c r="J11" t="s">
        <v>96</v>
      </c>
      <c r="K11">
        <v>7.17</v>
      </c>
      <c r="L11">
        <v>7500000</v>
      </c>
      <c r="M11" t="s">
        <v>77</v>
      </c>
      <c r="N11">
        <v>30</v>
      </c>
      <c r="O11">
        <v>2</v>
      </c>
      <c r="P11">
        <v>0</v>
      </c>
      <c r="Q11">
        <v>7500000</v>
      </c>
      <c r="R11">
        <v>202127</v>
      </c>
      <c r="S11">
        <v>95004</v>
      </c>
      <c r="T11">
        <v>150000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7947131</v>
      </c>
      <c r="AE11">
        <v>0</v>
      </c>
      <c r="AF11">
        <v>0</v>
      </c>
      <c r="AG11">
        <v>0</v>
      </c>
      <c r="AH11">
        <v>0</v>
      </c>
      <c r="AI11">
        <v>390665</v>
      </c>
      <c r="AJ11">
        <v>0</v>
      </c>
      <c r="AK11">
        <v>30781</v>
      </c>
      <c r="AL11">
        <v>0</v>
      </c>
      <c r="AM11">
        <v>0</v>
      </c>
      <c r="AN11">
        <v>239043</v>
      </c>
      <c r="AO11">
        <v>39867</v>
      </c>
      <c r="AP11">
        <v>0</v>
      </c>
      <c r="AQ11">
        <v>0</v>
      </c>
      <c r="AR11">
        <v>1004134</v>
      </c>
      <c r="AS11">
        <v>0</v>
      </c>
      <c r="AV11">
        <v>0</v>
      </c>
      <c r="AW11">
        <v>0</v>
      </c>
      <c r="AX11">
        <v>0</v>
      </c>
      <c r="AY11" s="1">
        <v>6242641</v>
      </c>
      <c r="AZ11">
        <v>31759</v>
      </c>
      <c r="BA11">
        <v>0</v>
      </c>
      <c r="BB11">
        <v>82082</v>
      </c>
      <c r="BC11">
        <v>0</v>
      </c>
      <c r="BD11">
        <v>41041</v>
      </c>
      <c r="BE11">
        <v>0</v>
      </c>
      <c r="BF11">
        <v>47126</v>
      </c>
      <c r="BG11">
        <v>0</v>
      </c>
      <c r="BH11">
        <v>8149139</v>
      </c>
    </row>
    <row r="12" spans="1:60" s="15" customFormat="1" x14ac:dyDescent="0.25">
      <c r="A12" s="15" t="s">
        <v>60</v>
      </c>
      <c r="B12" s="15" t="s">
        <v>61</v>
      </c>
      <c r="C12" s="15" t="s">
        <v>127</v>
      </c>
      <c r="D12" s="15" t="s">
        <v>128</v>
      </c>
      <c r="E12" s="15" t="s">
        <v>129</v>
      </c>
      <c r="F12" s="15" t="s">
        <v>130</v>
      </c>
      <c r="G12" s="15" t="s">
        <v>131</v>
      </c>
      <c r="I12" s="15" t="s">
        <v>95</v>
      </c>
      <c r="J12" s="15" t="s">
        <v>132</v>
      </c>
      <c r="K12" s="15">
        <v>11.67</v>
      </c>
      <c r="L12" s="15">
        <v>10255080</v>
      </c>
      <c r="M12" s="15" t="s">
        <v>83</v>
      </c>
      <c r="N12" s="15">
        <v>30</v>
      </c>
      <c r="O12" s="15">
        <v>1</v>
      </c>
      <c r="P12" s="15">
        <v>0</v>
      </c>
      <c r="Q12" s="15">
        <v>10255080</v>
      </c>
      <c r="R12" s="15">
        <v>202127</v>
      </c>
      <c r="S12" s="15">
        <v>95004</v>
      </c>
      <c r="T12" s="15">
        <v>150000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10702211</v>
      </c>
      <c r="AE12" s="15">
        <v>0</v>
      </c>
      <c r="AF12" s="15">
        <v>0</v>
      </c>
      <c r="AG12" s="15">
        <v>0</v>
      </c>
      <c r="AH12" s="15">
        <v>0</v>
      </c>
      <c r="AI12" s="15">
        <v>361297</v>
      </c>
      <c r="AJ12" s="15">
        <v>0</v>
      </c>
      <c r="AK12" s="15">
        <v>30781</v>
      </c>
      <c r="AL12" s="15">
        <v>0</v>
      </c>
      <c r="AM12" s="15">
        <v>0</v>
      </c>
      <c r="AN12" s="15">
        <v>239043</v>
      </c>
      <c r="AO12" s="15">
        <v>214851</v>
      </c>
      <c r="AP12" s="15">
        <v>0</v>
      </c>
      <c r="AQ12" s="15">
        <v>0</v>
      </c>
      <c r="AR12" s="15">
        <v>1938329</v>
      </c>
      <c r="AS12" s="15">
        <v>0</v>
      </c>
      <c r="AV12" s="15">
        <v>0</v>
      </c>
      <c r="AW12" s="15">
        <v>0</v>
      </c>
      <c r="AX12" s="15">
        <v>0</v>
      </c>
      <c r="AY12" s="12">
        <v>7917910</v>
      </c>
      <c r="AZ12" s="15">
        <v>31759</v>
      </c>
      <c r="BA12" s="15">
        <v>0</v>
      </c>
      <c r="BB12" s="15">
        <v>82082</v>
      </c>
      <c r="BC12" s="15">
        <v>0</v>
      </c>
      <c r="BD12" s="15">
        <v>41041</v>
      </c>
      <c r="BE12" s="15">
        <v>0</v>
      </c>
      <c r="BF12" s="15">
        <v>47126</v>
      </c>
      <c r="BG12" s="15">
        <v>0</v>
      </c>
      <c r="BH12" s="15">
        <v>10904219</v>
      </c>
    </row>
    <row r="13" spans="1:60" x14ac:dyDescent="0.25">
      <c r="A13" t="s">
        <v>60</v>
      </c>
      <c r="B13" t="s">
        <v>61</v>
      </c>
      <c r="C13" t="s">
        <v>133</v>
      </c>
      <c r="D13" t="s">
        <v>134</v>
      </c>
      <c r="E13" t="s">
        <v>135</v>
      </c>
      <c r="F13" t="s">
        <v>136</v>
      </c>
      <c r="G13" t="s">
        <v>131</v>
      </c>
      <c r="I13" t="s">
        <v>108</v>
      </c>
      <c r="J13" t="s">
        <v>137</v>
      </c>
      <c r="K13">
        <v>5.89</v>
      </c>
      <c r="L13">
        <v>2640000</v>
      </c>
      <c r="M13" t="s">
        <v>69</v>
      </c>
      <c r="N13">
        <v>30</v>
      </c>
      <c r="O13">
        <v>2</v>
      </c>
      <c r="P13">
        <v>0</v>
      </c>
      <c r="Q13">
        <v>2640000</v>
      </c>
      <c r="R13">
        <v>202127</v>
      </c>
      <c r="S13">
        <v>31668</v>
      </c>
      <c r="T13">
        <v>150000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3023795</v>
      </c>
      <c r="AE13">
        <v>50000</v>
      </c>
      <c r="AF13">
        <v>0</v>
      </c>
      <c r="AG13">
        <v>0</v>
      </c>
      <c r="AH13">
        <v>50000</v>
      </c>
      <c r="AI13">
        <v>337456</v>
      </c>
      <c r="AJ13">
        <v>0</v>
      </c>
      <c r="AK13">
        <v>18143</v>
      </c>
      <c r="AL13">
        <v>0</v>
      </c>
      <c r="AM13">
        <v>0</v>
      </c>
      <c r="AN13">
        <v>211666</v>
      </c>
      <c r="AO13">
        <v>17304</v>
      </c>
      <c r="AP13">
        <v>0</v>
      </c>
      <c r="AQ13">
        <v>0</v>
      </c>
      <c r="AR13">
        <v>76759</v>
      </c>
      <c r="AS13">
        <v>0</v>
      </c>
      <c r="AV13">
        <v>0</v>
      </c>
      <c r="AW13">
        <v>0</v>
      </c>
      <c r="AX13">
        <v>0</v>
      </c>
      <c r="AY13" s="1">
        <v>2412467</v>
      </c>
      <c r="AZ13">
        <v>28121</v>
      </c>
      <c r="BA13">
        <v>0</v>
      </c>
      <c r="BB13">
        <v>48381</v>
      </c>
      <c r="BC13">
        <v>0</v>
      </c>
      <c r="BD13">
        <v>24190</v>
      </c>
      <c r="BE13">
        <v>0</v>
      </c>
      <c r="BF13">
        <v>41728</v>
      </c>
      <c r="BG13">
        <v>0</v>
      </c>
      <c r="BH13">
        <v>3216215</v>
      </c>
    </row>
    <row r="14" spans="1:60" x14ac:dyDescent="0.25">
      <c r="A14" t="s">
        <v>60</v>
      </c>
      <c r="B14" t="s">
        <v>61</v>
      </c>
      <c r="C14" t="s">
        <v>138</v>
      </c>
      <c r="D14" t="s">
        <v>139</v>
      </c>
      <c r="E14" t="s">
        <v>140</v>
      </c>
      <c r="F14" t="s">
        <v>136</v>
      </c>
      <c r="G14" t="s">
        <v>141</v>
      </c>
      <c r="H14" t="s">
        <v>142</v>
      </c>
      <c r="I14" t="s">
        <v>108</v>
      </c>
      <c r="J14" t="s">
        <v>121</v>
      </c>
      <c r="K14">
        <v>6.28</v>
      </c>
      <c r="L14">
        <v>5500000</v>
      </c>
      <c r="M14" t="s">
        <v>77</v>
      </c>
      <c r="N14">
        <v>30</v>
      </c>
      <c r="O14">
        <v>0</v>
      </c>
      <c r="P14">
        <v>0</v>
      </c>
      <c r="Q14">
        <v>5500000</v>
      </c>
      <c r="R14">
        <v>202127</v>
      </c>
      <c r="S14">
        <v>0</v>
      </c>
      <c r="T14">
        <v>150000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5852127</v>
      </c>
      <c r="AE14">
        <v>0</v>
      </c>
      <c r="AF14">
        <v>0</v>
      </c>
      <c r="AG14">
        <v>0</v>
      </c>
      <c r="AH14">
        <v>0</v>
      </c>
      <c r="AI14">
        <v>381103</v>
      </c>
      <c r="AJ14">
        <v>0</v>
      </c>
      <c r="AK14">
        <v>0</v>
      </c>
      <c r="AL14">
        <v>0</v>
      </c>
      <c r="AM14">
        <v>0</v>
      </c>
      <c r="AN14">
        <v>239043</v>
      </c>
      <c r="AO14">
        <v>5329</v>
      </c>
      <c r="AP14">
        <v>0</v>
      </c>
      <c r="AQ14">
        <v>0</v>
      </c>
      <c r="AR14">
        <v>445457</v>
      </c>
      <c r="AS14">
        <v>0</v>
      </c>
      <c r="AV14">
        <v>0</v>
      </c>
      <c r="AW14">
        <v>0</v>
      </c>
      <c r="AX14">
        <v>0</v>
      </c>
      <c r="AY14" s="1">
        <v>4781195</v>
      </c>
      <c r="AZ14">
        <v>31759</v>
      </c>
      <c r="BA14">
        <v>0</v>
      </c>
      <c r="BB14">
        <v>143644</v>
      </c>
      <c r="BC14">
        <v>0</v>
      </c>
      <c r="BD14">
        <v>10260</v>
      </c>
      <c r="BE14">
        <v>0</v>
      </c>
      <c r="BF14">
        <v>47126</v>
      </c>
      <c r="BG14">
        <v>0</v>
      </c>
      <c r="BH14">
        <v>6084916</v>
      </c>
    </row>
    <row r="16" spans="1:60" x14ac:dyDescent="0.25">
      <c r="A16" t="s">
        <v>143</v>
      </c>
      <c r="B16" t="s">
        <v>143</v>
      </c>
      <c r="C16" t="s">
        <v>143</v>
      </c>
      <c r="D16" t="s">
        <v>143</v>
      </c>
      <c r="E16" t="s">
        <v>143</v>
      </c>
      <c r="F16" t="s">
        <v>143</v>
      </c>
      <c r="G16" t="s">
        <v>143</v>
      </c>
      <c r="H16" t="s">
        <v>143</v>
      </c>
      <c r="I16" t="s">
        <v>143</v>
      </c>
      <c r="J16" t="s">
        <v>143</v>
      </c>
      <c r="K16" t="s">
        <v>143</v>
      </c>
      <c r="L16" t="s">
        <v>143</v>
      </c>
      <c r="M16" t="s">
        <v>143</v>
      </c>
      <c r="N16" t="s">
        <v>143</v>
      </c>
      <c r="O16">
        <f>+SUM(O2:O14)</f>
        <v>43</v>
      </c>
      <c r="P16">
        <f t="shared" ref="P16:BH16" si="0">+SUM(P2:P14)</f>
        <v>0</v>
      </c>
      <c r="Q16">
        <f t="shared" si="0"/>
        <v>81353573</v>
      </c>
      <c r="R16">
        <f t="shared" si="0"/>
        <v>2627651</v>
      </c>
      <c r="S16">
        <f t="shared" si="0"/>
        <v>981708</v>
      </c>
      <c r="T16">
        <f t="shared" si="0"/>
        <v>1950000</v>
      </c>
      <c r="U16">
        <f t="shared" si="0"/>
        <v>0</v>
      </c>
      <c r="V16">
        <f t="shared" si="0"/>
        <v>0</v>
      </c>
      <c r="W16">
        <f t="shared" si="0"/>
        <v>450000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0</v>
      </c>
      <c r="AC16">
        <f t="shared" si="0"/>
        <v>0</v>
      </c>
      <c r="AD16">
        <f t="shared" si="0"/>
        <v>87362932</v>
      </c>
      <c r="AE16">
        <f t="shared" si="0"/>
        <v>50000</v>
      </c>
      <c r="AF16">
        <f t="shared" si="0"/>
        <v>0</v>
      </c>
      <c r="AG16">
        <f t="shared" si="0"/>
        <v>0</v>
      </c>
      <c r="AH16">
        <f t="shared" si="0"/>
        <v>50000</v>
      </c>
      <c r="AI16">
        <f t="shared" si="0"/>
        <v>4675728</v>
      </c>
      <c r="AJ16">
        <f t="shared" si="0"/>
        <v>0</v>
      </c>
      <c r="AK16">
        <f t="shared" si="0"/>
        <v>325516</v>
      </c>
      <c r="AL16">
        <f t="shared" si="0"/>
        <v>0</v>
      </c>
      <c r="AM16">
        <f t="shared" si="0"/>
        <v>366522</v>
      </c>
      <c r="AN16">
        <f t="shared" si="0"/>
        <v>2597702</v>
      </c>
      <c r="AO16">
        <f t="shared" si="0"/>
        <v>775701</v>
      </c>
      <c r="AP16">
        <f t="shared" si="0"/>
        <v>0</v>
      </c>
      <c r="AQ16">
        <f t="shared" si="0"/>
        <v>155576</v>
      </c>
      <c r="AR16">
        <f t="shared" si="0"/>
        <v>11126616</v>
      </c>
      <c r="AS16">
        <f t="shared" si="0"/>
        <v>0</v>
      </c>
      <c r="AT16">
        <f t="shared" si="0"/>
        <v>0</v>
      </c>
      <c r="AU16">
        <f t="shared" si="0"/>
        <v>0</v>
      </c>
      <c r="AV16">
        <f t="shared" si="0"/>
        <v>163539</v>
      </c>
      <c r="AW16">
        <f t="shared" si="0"/>
        <v>0</v>
      </c>
      <c r="AX16">
        <f t="shared" si="0"/>
        <v>163539</v>
      </c>
      <c r="AY16" s="10">
        <f t="shared" si="0"/>
        <v>67226032</v>
      </c>
      <c r="AZ16">
        <f t="shared" si="0"/>
        <v>393823</v>
      </c>
      <c r="BA16">
        <f t="shared" si="0"/>
        <v>0</v>
      </c>
      <c r="BB16">
        <f t="shared" si="0"/>
        <v>1011679</v>
      </c>
      <c r="BC16">
        <f t="shared" si="0"/>
        <v>0</v>
      </c>
      <c r="BD16">
        <f t="shared" si="0"/>
        <v>444277</v>
      </c>
      <c r="BE16">
        <f t="shared" si="0"/>
        <v>0</v>
      </c>
      <c r="BF16">
        <f t="shared" si="0"/>
        <v>584379</v>
      </c>
      <c r="BG16">
        <f t="shared" si="0"/>
        <v>0</v>
      </c>
      <c r="BH16">
        <f t="shared" si="0"/>
        <v>89847090</v>
      </c>
    </row>
    <row r="17" spans="1:60" x14ac:dyDescent="0.25">
      <c r="A17" t="s">
        <v>143</v>
      </c>
      <c r="B17" t="s">
        <v>143</v>
      </c>
      <c r="C17" t="s">
        <v>143</v>
      </c>
      <c r="D17" t="s">
        <v>143</v>
      </c>
      <c r="E17" t="s">
        <v>143</v>
      </c>
      <c r="F17" t="s">
        <v>143</v>
      </c>
      <c r="G17" t="s">
        <v>143</v>
      </c>
      <c r="H17" t="s">
        <v>143</v>
      </c>
      <c r="I17" t="s">
        <v>143</v>
      </c>
      <c r="J17" t="s">
        <v>143</v>
      </c>
      <c r="K17" t="s">
        <v>143</v>
      </c>
      <c r="L17" t="s">
        <v>143</v>
      </c>
      <c r="M17" t="s">
        <v>143</v>
      </c>
      <c r="N17" t="s">
        <v>143</v>
      </c>
      <c r="O17" t="s">
        <v>143</v>
      </c>
      <c r="P17" t="s">
        <v>143</v>
      </c>
      <c r="Q17" s="13" t="s">
        <v>158</v>
      </c>
      <c r="R17" s="13" t="s">
        <v>158</v>
      </c>
      <c r="S17" s="13" t="s">
        <v>158</v>
      </c>
      <c r="T17" s="13" t="s">
        <v>158</v>
      </c>
      <c r="U17" t="s">
        <v>143</v>
      </c>
      <c r="V17" t="s">
        <v>143</v>
      </c>
      <c r="W17" t="s">
        <v>159</v>
      </c>
      <c r="X17" t="s">
        <v>143</v>
      </c>
      <c r="Y17" t="s">
        <v>143</v>
      </c>
      <c r="Z17" t="s">
        <v>143</v>
      </c>
      <c r="AA17" t="s">
        <v>143</v>
      </c>
      <c r="AB17" t="s">
        <v>143</v>
      </c>
      <c r="AC17" t="s">
        <v>143</v>
      </c>
      <c r="AD17" t="s">
        <v>143</v>
      </c>
      <c r="AE17" s="3" t="s">
        <v>158</v>
      </c>
      <c r="AF17" t="s">
        <v>143</v>
      </c>
      <c r="AG17" t="s">
        <v>143</v>
      </c>
      <c r="AH17" t="s">
        <v>143</v>
      </c>
      <c r="AI17">
        <v>2414</v>
      </c>
      <c r="AJ17">
        <v>2414</v>
      </c>
      <c r="AK17">
        <v>2414</v>
      </c>
      <c r="AL17">
        <v>2414</v>
      </c>
      <c r="AM17">
        <v>2414</v>
      </c>
      <c r="AN17">
        <v>2414</v>
      </c>
      <c r="AO17">
        <v>2414</v>
      </c>
      <c r="AP17">
        <v>2414</v>
      </c>
      <c r="AQ17">
        <v>2414</v>
      </c>
      <c r="AR17">
        <v>2554</v>
      </c>
      <c r="AS17" t="s">
        <v>143</v>
      </c>
      <c r="AT17" t="s">
        <v>143</v>
      </c>
      <c r="AU17" t="s">
        <v>143</v>
      </c>
      <c r="AV17">
        <v>2554</v>
      </c>
      <c r="AW17" t="s">
        <v>143</v>
      </c>
      <c r="AX17" t="s">
        <v>143</v>
      </c>
      <c r="AY17">
        <v>2411</v>
      </c>
      <c r="AZ17" t="s">
        <v>143</v>
      </c>
      <c r="BA17" t="s">
        <v>143</v>
      </c>
      <c r="BB17" t="s">
        <v>143</v>
      </c>
      <c r="BC17" t="s">
        <v>143</v>
      </c>
      <c r="BD17" t="s">
        <v>143</v>
      </c>
      <c r="BE17" t="s">
        <v>143</v>
      </c>
      <c r="BF17" t="s">
        <v>143</v>
      </c>
      <c r="BG17" t="s">
        <v>143</v>
      </c>
      <c r="BH17" t="s">
        <v>143</v>
      </c>
    </row>
    <row r="18" spans="1:60" x14ac:dyDescent="0.25">
      <c r="W18" t="s">
        <v>160</v>
      </c>
      <c r="AY18" s="7">
        <f>+AY16-AY5-AY9</f>
        <v>51959041</v>
      </c>
      <c r="AZ18">
        <v>6308</v>
      </c>
      <c r="BA18" t="s">
        <v>154</v>
      </c>
    </row>
    <row r="19" spans="1:60" x14ac:dyDescent="0.25">
      <c r="AZ19">
        <v>5213</v>
      </c>
      <c r="BA19" t="s">
        <v>155</v>
      </c>
    </row>
    <row r="20" spans="1:60" x14ac:dyDescent="0.25">
      <c r="F20" s="1">
        <f>SUM(F21:F44)</f>
        <v>89847090</v>
      </c>
      <c r="G20" s="1">
        <f>SUM(G21:G44)</f>
        <v>89847090</v>
      </c>
      <c r="H20" s="7">
        <f>+F20-G20</f>
        <v>0</v>
      </c>
      <c r="L20">
        <v>20</v>
      </c>
      <c r="M20" s="14" t="s">
        <v>144</v>
      </c>
      <c r="N20" s="14"/>
      <c r="AD20" s="1">
        <f>+AD2/30*$L$21</f>
        <v>339562.83333333337</v>
      </c>
      <c r="AZ20">
        <v>5013</v>
      </c>
      <c r="BA20" t="s">
        <v>156</v>
      </c>
    </row>
    <row r="21" spans="1:60" x14ac:dyDescent="0.25">
      <c r="B21">
        <v>5011</v>
      </c>
      <c r="C21" t="s">
        <v>145</v>
      </c>
      <c r="D21" s="2" t="s">
        <v>77</v>
      </c>
      <c r="E21">
        <v>7020201</v>
      </c>
      <c r="F21" s="1">
        <f>SUMIF($M$2:$M$14,D21,$Q$2:$Q$14)+SUMIF($M$2:$M$14,D21,$S$2:$S$14)+SUMIF($M$2:$M$14,D21,$T$2:$T$14)+SUMIF($M$2:$M$14,D21,$AE$2:$AE$14)+SUMIF($M$2:$M$14,D21,$R$2:$R$14)</f>
        <v>42539909</v>
      </c>
      <c r="G21" s="1"/>
      <c r="L21">
        <f>+L20/12</f>
        <v>1.6666666666666667</v>
      </c>
      <c r="M21" s="14" t="s">
        <v>146</v>
      </c>
      <c r="N21" s="14"/>
      <c r="AD21" s="1">
        <f t="shared" ref="AD21:AD32" si="1">+AD3/30*$L$21</f>
        <v>372062.83333333337</v>
      </c>
      <c r="AZ21">
        <v>6303</v>
      </c>
      <c r="BA21" t="s">
        <v>157</v>
      </c>
    </row>
    <row r="22" spans="1:60" x14ac:dyDescent="0.25">
      <c r="B22">
        <v>5012</v>
      </c>
      <c r="C22" t="s">
        <v>20</v>
      </c>
      <c r="D22" s="2" t="s">
        <v>77</v>
      </c>
      <c r="E22">
        <v>7020202</v>
      </c>
      <c r="F22" s="1">
        <f>+SUMIF($M$2:$M$14,D22,$W$2:$W$14)</f>
        <v>450000</v>
      </c>
      <c r="G22" s="1"/>
      <c r="AD22" s="1">
        <f t="shared" si="1"/>
        <v>283173.94444444444</v>
      </c>
    </row>
    <row r="23" spans="1:60" x14ac:dyDescent="0.25">
      <c r="B23">
        <v>5013</v>
      </c>
      <c r="C23" t="s">
        <v>34</v>
      </c>
      <c r="D23" s="2" t="s">
        <v>77</v>
      </c>
      <c r="E23">
        <v>7020203</v>
      </c>
      <c r="F23" s="1">
        <f>SUMIF($M$2:$M$14,D23,$BB$2:$BB$14)+SUMIF($M$2:$M$14,D23,$AZ$2:$AZ$14)+SUMIF($M$2:$M$14,D23,$BF$2:$BF$14)+SUMIF($M$2:$M$14,D23,$BD$2:$BD$14)</f>
        <v>1398722</v>
      </c>
      <c r="G23" s="1"/>
      <c r="AD23" s="1">
        <f t="shared" si="1"/>
        <v>186229.27777777778</v>
      </c>
    </row>
    <row r="24" spans="1:60" x14ac:dyDescent="0.25">
      <c r="B24">
        <v>5015</v>
      </c>
      <c r="C24" t="s">
        <v>147</v>
      </c>
      <c r="D24" s="2" t="s">
        <v>77</v>
      </c>
      <c r="E24">
        <v>7020204</v>
      </c>
      <c r="F24" s="1"/>
      <c r="G24" s="1"/>
      <c r="AD24" s="1">
        <f t="shared" si="1"/>
        <v>385951.72222222225</v>
      </c>
    </row>
    <row r="25" spans="1:60" x14ac:dyDescent="0.25">
      <c r="B25">
        <v>6306</v>
      </c>
      <c r="C25" t="s">
        <v>145</v>
      </c>
      <c r="D25" s="3" t="s">
        <v>69</v>
      </c>
      <c r="E25">
        <v>8050117</v>
      </c>
      <c r="F25" s="1">
        <f>SUMIF($M$2:$M$14,D25,$Q$2:$Q$14)+SUMIF($M$2:$M$14,D25,$S$2:$S$14)+SUMIF($M$2:$M$14,D25,$T$2:$T$14)+SUMIF($M$2:$M$14,D25,$AE$2:$AE$14)+SUMIF($M$2:$M$14,D25,$R$2:$R$14)</f>
        <v>11007057</v>
      </c>
      <c r="G25" s="1"/>
      <c r="AD25" s="1">
        <f t="shared" si="1"/>
        <v>101173.94444444445</v>
      </c>
    </row>
    <row r="26" spans="1:60" x14ac:dyDescent="0.25">
      <c r="B26">
        <v>6307</v>
      </c>
      <c r="C26" t="s">
        <v>20</v>
      </c>
      <c r="D26" s="3" t="s">
        <v>69</v>
      </c>
      <c r="E26">
        <v>8050118</v>
      </c>
      <c r="F26" s="1">
        <f>+SUMIF($M$2:$M$14,D26,$W$2:$W$14)</f>
        <v>0</v>
      </c>
      <c r="G26" s="1"/>
      <c r="AD26" s="1">
        <f t="shared" si="1"/>
        <v>280396.16666666669</v>
      </c>
    </row>
    <row r="27" spans="1:60" x14ac:dyDescent="0.25">
      <c r="B27">
        <v>6308</v>
      </c>
      <c r="C27" t="s">
        <v>34</v>
      </c>
      <c r="D27" s="3" t="s">
        <v>69</v>
      </c>
      <c r="E27">
        <v>8050119</v>
      </c>
      <c r="F27" s="1">
        <f>SUMIF($M$2:$M$14,D27,$BB$2:$BB$14)+SUMIF($M$2:$M$14,D27,$AZ$2:$AZ$14)+SUMIF($M$2:$M$14,D27,$BF$2:$BF$14)+SUMIF($M$2:$M$14,D27,$BD$2:$BD$14)</f>
        <v>430204</v>
      </c>
      <c r="G27" s="1"/>
      <c r="AD27" s="1">
        <f t="shared" si="1"/>
        <v>978701.33333333349</v>
      </c>
    </row>
    <row r="28" spans="1:60" x14ac:dyDescent="0.25">
      <c r="B28">
        <v>6326</v>
      </c>
      <c r="C28" t="s">
        <v>147</v>
      </c>
      <c r="D28" s="3" t="s">
        <v>69</v>
      </c>
      <c r="E28">
        <v>8050121</v>
      </c>
      <c r="F28" s="1"/>
      <c r="G28" s="1"/>
      <c r="AD28" s="1">
        <f t="shared" si="1"/>
        <v>397062.83333333337</v>
      </c>
    </row>
    <row r="29" spans="1:60" x14ac:dyDescent="0.25">
      <c r="D29" s="4" t="s">
        <v>114</v>
      </c>
      <c r="F29" s="1">
        <f>SUMIF($M$2:$M$14,D29,$Q$2:$Q$14)+SUMIF($M$2:$M$14,D29,$S$2:$S$14)+SUMIF($M$2:$M$14,D29,$T$2:$T$14)+SUMIF($M$2:$M$14,D29,$AE$2:$AE$14)+SUMIF($M$2:$M$14,D29,$R$2:$R$14)</f>
        <v>17616624</v>
      </c>
      <c r="G29" s="1"/>
      <c r="AD29" s="1">
        <f t="shared" si="1"/>
        <v>441507.27777777775</v>
      </c>
    </row>
    <row r="30" spans="1:60" x14ac:dyDescent="0.25">
      <c r="D30" s="4" t="s">
        <v>114</v>
      </c>
      <c r="F30" s="1">
        <f>+SUMIF($M$2:$M$14,D30,$W$2:$W$14)</f>
        <v>0</v>
      </c>
      <c r="G30" s="1"/>
      <c r="AD30" s="1">
        <f t="shared" si="1"/>
        <v>594567.27777777775</v>
      </c>
    </row>
    <row r="31" spans="1:60" x14ac:dyDescent="0.25">
      <c r="D31" s="4" t="s">
        <v>114</v>
      </c>
      <c r="F31" s="1">
        <f>SUMIF($M$2:$M$14,D31,$BB$2:$BB$14)+SUMIF($M$2:$M$14,D31,$AZ$2:$AZ$14)+SUMIF($M$2:$M$14,D31,$BF$2:$BF$14)+SUMIF($M$2:$M$14,D31,$BD$2:$BD$14)</f>
        <v>202008</v>
      </c>
      <c r="G31" s="1"/>
      <c r="AD31" s="1">
        <f t="shared" si="1"/>
        <v>167988.61111111112</v>
      </c>
    </row>
    <row r="32" spans="1:60" x14ac:dyDescent="0.25">
      <c r="D32" s="4" t="s">
        <v>114</v>
      </c>
      <c r="F32" s="1"/>
      <c r="G32" s="1"/>
      <c r="AD32" s="1">
        <f t="shared" si="1"/>
        <v>325118.16666666669</v>
      </c>
    </row>
    <row r="33" spans="2:30" x14ac:dyDescent="0.25">
      <c r="B33">
        <v>6301</v>
      </c>
      <c r="C33" t="s">
        <v>145</v>
      </c>
      <c r="D33" s="5" t="s">
        <v>83</v>
      </c>
      <c r="E33">
        <v>8050101</v>
      </c>
      <c r="F33" s="1">
        <f>SUMIF($M$2:$M$14,D33,$Q$2:$Q$14)+SUMIF($M$2:$M$14,D33,$S$2:$S$14)+SUMIF($M$2:$M$14,D33,$T$2:$T$14)+SUMIF($M$2:$M$14,D33,$AE$2:$AE$14)+SUMIF($M$2:$M$14,D33,$R$2:$R$14)</f>
        <v>15799342</v>
      </c>
      <c r="G33" s="1"/>
      <c r="AD33" s="1"/>
    </row>
    <row r="34" spans="2:30" x14ac:dyDescent="0.25">
      <c r="B34">
        <v>6302</v>
      </c>
      <c r="C34" t="s">
        <v>20</v>
      </c>
      <c r="D34" s="5" t="s">
        <v>83</v>
      </c>
      <c r="E34">
        <v>8050102</v>
      </c>
      <c r="F34" s="1">
        <f>+SUMIF($M$2:$M$14,D34,$W$2:$W$14)</f>
        <v>0</v>
      </c>
      <c r="G34" s="1"/>
      <c r="W34" s="8" t="s">
        <v>148</v>
      </c>
      <c r="X34" s="8"/>
      <c r="Y34" s="8"/>
      <c r="Z34" s="8"/>
      <c r="AA34" s="8"/>
      <c r="AB34" s="8"/>
      <c r="AC34" s="8"/>
      <c r="AD34" s="9">
        <f>SUM(AD20:AD32)</f>
        <v>4853496.2222222229</v>
      </c>
    </row>
    <row r="35" spans="2:30" x14ac:dyDescent="0.25">
      <c r="B35">
        <v>6303</v>
      </c>
      <c r="C35" t="s">
        <v>34</v>
      </c>
      <c r="D35" s="5" t="s">
        <v>83</v>
      </c>
      <c r="E35">
        <v>8050106</v>
      </c>
      <c r="F35" s="1">
        <f>SUMIF($M$2:$M$14,D35,$BB$2:$BB$14)+SUMIF($M$2:$M$14,D35,$AZ$2:$AZ$14)+SUMIF($M$2:$M$14,D35,$BF$2:$BF$14)+SUMIF($M$2:$M$14,D35,$BD$2:$BD$14)</f>
        <v>403224</v>
      </c>
      <c r="G35" s="1"/>
    </row>
    <row r="36" spans="2:30" x14ac:dyDescent="0.25">
      <c r="B36">
        <v>6327</v>
      </c>
      <c r="C36" t="s">
        <v>147</v>
      </c>
      <c r="D36" s="5" t="s">
        <v>83</v>
      </c>
      <c r="E36">
        <v>8050120</v>
      </c>
      <c r="F36" s="1"/>
      <c r="G36" s="1"/>
    </row>
    <row r="37" spans="2:30" x14ac:dyDescent="0.25">
      <c r="B37">
        <v>5211</v>
      </c>
      <c r="C37" t="s">
        <v>145</v>
      </c>
      <c r="D37" s="6" t="s">
        <v>149</v>
      </c>
      <c r="E37">
        <v>7020205</v>
      </c>
      <c r="F37" s="1">
        <f>SUMIF($M$2:$M$14,D37,$Q$2:$Q$14)+SUMIF($M$2:$M$14,D37,$S$2:$S$14)+SUMIF($M$2:$M$14,D37,$R$2:$R$14)</f>
        <v>0</v>
      </c>
      <c r="G37" s="1"/>
    </row>
    <row r="38" spans="2:30" x14ac:dyDescent="0.25">
      <c r="B38">
        <v>5211</v>
      </c>
      <c r="C38" t="s">
        <v>20</v>
      </c>
      <c r="D38" s="6" t="s">
        <v>149</v>
      </c>
      <c r="E38">
        <v>7020206</v>
      </c>
      <c r="F38" s="1">
        <f>SUMIF($M$2:$M$14,D38,$T$2:$T$14)+SUMIF($M$2:$M$14,D38,$AE$2:$AE$14)+SUMIF($M$2:$M$14,D38,$Y$2:$Y$14)+SUMIF($M$2:$M$14,D38,$W$2:$W$14)</f>
        <v>0</v>
      </c>
      <c r="G38" s="1"/>
    </row>
    <row r="39" spans="2:30" x14ac:dyDescent="0.25">
      <c r="B39">
        <v>5213</v>
      </c>
      <c r="C39" t="s">
        <v>34</v>
      </c>
      <c r="D39" s="6" t="s">
        <v>149</v>
      </c>
      <c r="E39">
        <v>7020207</v>
      </c>
      <c r="F39" s="1">
        <f>SUMIF($M$2:$M$14,D39,$BB$2:$BB$14)+SUMIF($M$2:$M$14,D39,$AZ$2:$AZ$14)+SUMIF($M$2:$M$14,D39,$BF$2:$BF$14)+SUMIF($M$2:$M$14,D39,$BD$2:$BD$14)</f>
        <v>0</v>
      </c>
      <c r="G39" s="1"/>
    </row>
    <row r="40" spans="2:30" x14ac:dyDescent="0.25">
      <c r="B40">
        <v>5215</v>
      </c>
      <c r="C40" t="s">
        <v>147</v>
      </c>
      <c r="D40" s="6" t="s">
        <v>149</v>
      </c>
      <c r="E40">
        <v>7020208</v>
      </c>
      <c r="F40" s="1"/>
      <c r="G40" s="1"/>
    </row>
    <row r="41" spans="2:30" x14ac:dyDescent="0.25">
      <c r="B41">
        <v>2414</v>
      </c>
      <c r="C41" t="s">
        <v>150</v>
      </c>
      <c r="E41">
        <v>3031302</v>
      </c>
      <c r="F41" s="1"/>
      <c r="G41" s="1">
        <f>SUM(AI16:AQ16,AZ16:BG16)</f>
        <v>11330903</v>
      </c>
    </row>
    <row r="42" spans="2:30" x14ac:dyDescent="0.25">
      <c r="B42">
        <v>2411</v>
      </c>
      <c r="C42" t="s">
        <v>151</v>
      </c>
      <c r="E42">
        <v>3031204</v>
      </c>
      <c r="F42" s="1"/>
      <c r="G42" s="1">
        <f>+AY16</f>
        <v>67226032</v>
      </c>
    </row>
    <row r="43" spans="2:30" x14ac:dyDescent="0.25">
      <c r="B43">
        <v>2554</v>
      </c>
      <c r="C43" t="s">
        <v>152</v>
      </c>
      <c r="E43">
        <v>3031505</v>
      </c>
      <c r="F43" s="1"/>
      <c r="G43" s="1">
        <f>+AV16</f>
        <v>163539</v>
      </c>
    </row>
    <row r="44" spans="2:30" x14ac:dyDescent="0.25">
      <c r="B44">
        <v>2554</v>
      </c>
      <c r="C44" t="s">
        <v>153</v>
      </c>
      <c r="E44">
        <v>3031501</v>
      </c>
      <c r="F44" s="1"/>
      <c r="G44" s="1">
        <f>+AR16</f>
        <v>11126616</v>
      </c>
    </row>
  </sheetData>
  <sortState xmlns:xlrd2="http://schemas.microsoft.com/office/spreadsheetml/2017/richdata2" ref="A2:BH14">
    <sortCondition ref="E1:E14"/>
  </sortState>
  <mergeCells count="2">
    <mergeCell ref="M20:N20"/>
    <mergeCell ref="M21:N21"/>
  </mergeCells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8ec313-c772-4af8-8363-8ff52de2e6b8">
      <Terms xmlns="http://schemas.microsoft.com/office/infopath/2007/PartnerControls"/>
    </lcf76f155ced4ddcb4097134ff3c332f>
    <TaxCatchAll xmlns="6a7ff2fa-cd4c-4111-a6ab-75351164d87f" xsi:nil="true"/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133EE7-00AA-4006-96E4-861E7B549284}">
  <ds:schemaRefs>
    <ds:schemaRef ds:uri="http://schemas.microsoft.com/office/2006/metadata/properties"/>
    <ds:schemaRef ds:uri="http://schemas.microsoft.com/office/infopath/2007/PartnerControls"/>
    <ds:schemaRef ds:uri="fa8ec313-c772-4af8-8363-8ff52de2e6b8"/>
    <ds:schemaRef ds:uri="6a7ff2fa-cd4c-4111-a6ab-75351164d87f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4B9F5BB-E23A-4B99-A77A-498356702F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6776F-52ED-4630-B4F6-A7D779BB32E9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Carolina Cabrera</cp:lastModifiedBy>
  <cp:revision/>
  <dcterms:created xsi:type="dcterms:W3CDTF">2025-03-18T16:31:22Z</dcterms:created>
  <dcterms:modified xsi:type="dcterms:W3CDTF">2025-07-01T22:09:18Z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0x0101008C0FDD3EE9C26F4CA38A0CE1A876A831</vt:lpwstr>
  </property>
</Properties>
</file>