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REM/"/>
    </mc:Choice>
  </mc:AlternateContent>
  <xr:revisionPtr revIDLastSave="284" documentId="13_ncr:1_{3A53EDD8-FC8D-4367-BD9E-1DD0E090BC5C}" xr6:coauthVersionLast="47" xr6:coauthVersionMax="47" xr10:uidLastSave="{A22977E0-FCDF-4610-9D69-C71A906DB17C}"/>
  <bookViews>
    <workbookView xWindow="-28920" yWindow="-1380" windowWidth="29040" windowHeight="15720" xr2:uid="{00000000-000D-0000-FFFF-FFFF00000000}"/>
  </bookViews>
  <sheets>
    <sheet name="04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2" i="1"/>
  <c r="F27" i="1"/>
  <c r="F23" i="1"/>
  <c r="F22" i="1"/>
  <c r="F24" i="1" l="1"/>
  <c r="F28" i="1"/>
  <c r="F39" i="1"/>
  <c r="F38" i="1"/>
  <c r="F34" i="1"/>
  <c r="F31" i="1"/>
  <c r="F26" i="1"/>
  <c r="F33" i="1"/>
  <c r="F29" i="1"/>
  <c r="F40" i="1"/>
  <c r="F36" i="1"/>
  <c r="V34" i="1"/>
  <c r="V22" i="1"/>
  <c r="V23" i="1"/>
  <c r="V24" i="1"/>
  <c r="V25" i="1"/>
  <c r="V26" i="1"/>
  <c r="V27" i="1"/>
  <c r="V29" i="1"/>
  <c r="V30" i="1"/>
  <c r="V31" i="1"/>
  <c r="V32" i="1"/>
  <c r="V33" i="1"/>
  <c r="V21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G46" i="1" s="1"/>
  <c r="AI17" i="1"/>
  <c r="AJ17" i="1"/>
  <c r="G43" i="1" s="1"/>
  <c r="AK17" i="1"/>
  <c r="G47" i="1" s="1"/>
  <c r="AL17" i="1"/>
  <c r="AM17" i="1"/>
  <c r="G45" i="1" s="1"/>
  <c r="AN17" i="1"/>
  <c r="AO17" i="1"/>
  <c r="G44" i="1" s="1"/>
  <c r="AP17" i="1"/>
  <c r="AQ17" i="1"/>
  <c r="AR17" i="1"/>
  <c r="AS17" i="1"/>
  <c r="AT17" i="1"/>
  <c r="AU17" i="1"/>
  <c r="AV17" i="1"/>
  <c r="AW17" i="1"/>
  <c r="AX17" i="1"/>
  <c r="Q17" i="1"/>
  <c r="G42" i="1" l="1"/>
  <c r="G21" i="1" s="1"/>
  <c r="V35" i="1"/>
  <c r="F21" i="1"/>
  <c r="F19" i="1" s="1"/>
  <c r="H21" i="1" l="1"/>
</calcChain>
</file>

<file path=xl/sharedStrings.xml><?xml version="1.0" encoding="utf-8"?>
<sst xmlns="http://schemas.openxmlformats.org/spreadsheetml/2006/main" count="314" uniqueCount="164">
  <si>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</si>
  <si>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</si>
  <si>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</si>
  <si>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</si>
  <si>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</si>
  <si>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</si>
  <si>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</si>
  <si>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</si>
  <si>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</si>
  <si>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</si>
  <si>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</si>
  <si>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</si>
  <si>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</si>
  <si>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</si>
  <si>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</si>
  <si>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</si>
  <si>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</si>
  <si>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</si>
  <si>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</si>
  <si>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</t>
  </si>
  <si>
    <t>Bono Sitio</t>
  </si>
  <si>
    <t>Suma de Haberes Afectos</t>
  </si>
  <si>
    <t>Asignacion teletrabajo</t>
  </si>
  <si>
    <t>Suma de Haberes Exentos</t>
  </si>
  <si>
    <t>AFP</t>
  </si>
  <si>
    <t>Afp Reliquidada</t>
  </si>
  <si>
    <t>Seguro Cesantia Trabajador</t>
  </si>
  <si>
    <t>Seguro Cesantia Trabajador Reliquidado</t>
  </si>
  <si>
    <t>Salud 7% (Fonasa)</t>
  </si>
  <si>
    <t>Isapre</t>
  </si>
  <si>
    <t>Isapre sobre 7%</t>
  </si>
  <si>
    <t>Isapre Reliquidada</t>
  </si>
  <si>
    <t>APV (Régimen A)</t>
  </si>
  <si>
    <t>Impuestos</t>
  </si>
  <si>
    <t>Impuestos Reliquidado</t>
  </si>
  <si>
    <t>Seguro Complementario</t>
  </si>
  <si>
    <t>Anticipo Manual</t>
  </si>
  <si>
    <t>Anticipo Aguinaldo</t>
  </si>
  <si>
    <t>Retención Préstamo Solidario SII</t>
  </si>
  <si>
    <t>Suma de Descuentos</t>
  </si>
  <si>
    <t>Liquido a Pago</t>
  </si>
  <si>
    <t>Seguro accidentes del Trabajo</t>
  </si>
  <si>
    <t>Seguro accidentes del Trabajo reliquidado</t>
  </si>
  <si>
    <t>Seguro Cesantia Empleador</t>
  </si>
  <si>
    <t>Seguro Cesantia Empleador Reliquidado</t>
  </si>
  <si>
    <t>Seguro Cesantia (Fondo Solidario)</t>
  </si>
  <si>
    <t>Seguro Cesantia Fondo Solidario Reliquidado</t>
  </si>
  <si>
    <t>Seguro Invalidez y Supervivencia (SIS)</t>
  </si>
  <si>
    <t>Seguro Invalidez Y Supervivencia Reliquidado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</si>
  <si>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</si>
  <si>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</si>
  <si>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</si>
  <si>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</si>
  <si>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</si>
  <si>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</si>
  <si>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</si>
  <si>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</si>
  <si>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</si>
  <si>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</si>
  <si>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13462322-5</t>
  </si>
  <si>
    <t>CRISTIAN</t>
  </si>
  <si>
    <t>ANABALON</t>
  </si>
  <si>
    <t>BARRÍA</t>
  </si>
  <si>
    <t>16/12/2016</t>
  </si>
  <si>
    <t>Cuprum</t>
  </si>
  <si>
    <t>Colmena</t>
  </si>
  <si>
    <t>15460999-7</t>
  </si>
  <si>
    <t>KATHERINE MARLENE</t>
  </si>
  <si>
    <t>BOLLMANN</t>
  </si>
  <si>
    <t>NILIAN</t>
  </si>
  <si>
    <t>01/04/2020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</si>
  <si>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</si>
  <si>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</si>
  <si>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</si>
  <si>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</si>
  <si>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</si>
  <si>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</si>
  <si>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</si>
  <si>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</si>
  <si>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</si>
  <si>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</si>
  <si>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</si>
  <si>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</si>
  <si>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</si>
  <si>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</si>
  <si>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</si>
  <si>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</si>
  <si>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</si>
  <si>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</si>
  <si>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</si>
  <si>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Banmedica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</si>
  <si>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</si>
  <si>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</si>
  <si>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</si>
  <si>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</si>
  <si>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</si>
  <si>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</si>
  <si>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</si>
  <si>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</si>
  <si>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</si>
  <si>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</si>
  <si>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</si>
  <si>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25111494-3</t>
  </si>
  <si>
    <t>Caroline</t>
  </si>
  <si>
    <t>Zorzi</t>
  </si>
  <si>
    <t>.</t>
  </si>
  <si>
    <t>04/11/2024</t>
  </si>
  <si>
    <t>04/05/2025</t>
  </si>
  <si>
    <t>Planvital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</si>
  <si>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</si>
  <si>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</si>
  <si>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</si>
  <si>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</si>
  <si>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</si>
  <si>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</si>
  <si>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</si>
  <si>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</si>
  <si>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</si>
  <si>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</si>
  <si>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</si>
  <si>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</si>
  <si>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</si>
  <si>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</si>
  <si>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</si>
  <si>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33694292-6</t>
  </si>
  <si>
    <t>CESAR FELIPE</t>
  </si>
  <si>
    <t>MACHADO</t>
  </si>
  <si>
    <t>RIBEIRO LOPES</t>
  </si>
  <si>
    <t>14/07/2023</t>
  </si>
  <si>
    <t>44429617-8</t>
  </si>
  <si>
    <t>Lucas Guilherme</t>
  </si>
  <si>
    <t>Cardoso</t>
  </si>
  <si>
    <t>Bittencourt</t>
  </si>
  <si>
    <t>01/11/2024</t>
  </si>
  <si>
    <t xml:space="preserve"> </t>
  </si>
  <si>
    <t>Dias de vacaciones</t>
  </si>
  <si>
    <t>Salario</t>
  </si>
  <si>
    <t>Consulting</t>
  </si>
  <si>
    <t>Provisión Mensual</t>
  </si>
  <si>
    <t>ISAPRE</t>
  </si>
  <si>
    <t>Admin</t>
  </si>
  <si>
    <t>Admin/Sales</t>
  </si>
  <si>
    <t>Mkt</t>
  </si>
  <si>
    <t>Total</t>
  </si>
  <si>
    <t>Support</t>
  </si>
  <si>
    <t>Previred por pagar</t>
  </si>
  <si>
    <t>Remuneraciones por pagar</t>
  </si>
  <si>
    <t>Impuesto adicional prestamo</t>
  </si>
  <si>
    <t>Impuesto unico trabajador</t>
  </si>
  <si>
    <t>Anticipo de sueldos</t>
  </si>
  <si>
    <t>Seguro complementario</t>
  </si>
  <si>
    <t>Remuneraciones Deswik abril 2025</t>
  </si>
  <si>
    <t>cta Deswik</t>
  </si>
  <si>
    <t>cta magnus</t>
  </si>
  <si>
    <t>SALARIO</t>
  </si>
  <si>
    <t>8016 LTI</t>
  </si>
  <si>
    <t>BONO</t>
  </si>
  <si>
    <t>AGUINALDO=BONO</t>
  </si>
  <si>
    <t>HAY FACTURA POR ESTO</t>
  </si>
  <si>
    <t>ADM</t>
  </si>
  <si>
    <t>SUPOR</t>
  </si>
  <si>
    <t>CONSULT</t>
  </si>
  <si>
    <t>MKT</t>
  </si>
  <si>
    <t>Bono 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</si>
</sst>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[$$-409]* #,##0_);_([$$-409]* \(#,##0\);_([$$-409]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onsolas"/>
      <family val="3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164" fontId="0" fillId="0" borderId="0" xfId="1" applyNumberFormat="1" applyFont="1"/>
    <xf numFmtId="0" fontId="3" fillId="0" borderId="0" xfId="0" applyFont="1"/>
    <xf numFmtId="3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0" borderId="0" xfId="0" applyFont="1"/>
    <xf numFmtId="3" fontId="4" fillId="0" borderId="0" xfId="0" applyNumberFormat="1" applyFont="1"/>
    <xf numFmtId="0" fontId="3" fillId="6" borderId="0" xfId="0" applyFont="1" applyFill="1"/>
    <xf numFmtId="0" fontId="0" fillId="7" borderId="0" xfId="0" applyFill="1"/>
    <xf numFmtId="164" fontId="0" fillId="7" borderId="0" xfId="0" applyNumberFormat="1" applyFill="1"/>
    <xf numFmtId="164" fontId="2" fillId="7" borderId="0" xfId="0" applyNumberFormat="1" applyFont="1" applyFill="1"/>
    <xf numFmtId="0" fontId="0" fillId="8" borderId="0" xfId="0" applyFill="1"/>
    <xf numFmtId="164" fontId="0" fillId="8" borderId="0" xfId="1" applyNumberFormat="1" applyFont="1" applyFill="1"/>
    <xf numFmtId="164" fontId="0" fillId="8" borderId="0" xfId="0" applyNumberFormat="1" applyFill="1"/>
    <xf numFmtId="41" fontId="5" fillId="8" borderId="0" xfId="2" applyFont="1" applyFill="1"/>
    <xf numFmtId="41" fontId="3" fillId="0" borderId="0" xfId="2" applyFont="1"/>
    <xf numFmtId="41" fontId="5" fillId="0" borderId="0" xfId="2" applyFont="1"/>
    <xf numFmtId="41" fontId="0" fillId="0" borderId="0" xfId="2" applyFont="1"/>
    <xf numFmtId="41" fontId="5" fillId="9" borderId="0" xfId="2" applyFont="1" applyFill="1"/>
    <xf numFmtId="164" fontId="0" fillId="9" borderId="0" xfId="0" applyNumberFormat="1" applyFill="1" applyAlignment="1">
      <alignment horizontal="center"/>
    </xf>
    <xf numFmtId="164" fontId="0" fillId="10" borderId="0" xfId="0" applyNumberFormat="1" applyFill="1"/>
    <xf numFmtId="41" fontId="5" fillId="10" borderId="0" xfId="2" applyFont="1" applyFill="1"/>
    <xf numFmtId="164" fontId="2" fillId="11" borderId="0" xfId="0" applyNumberFormat="1" applyFont="1" applyFill="1"/>
    <xf numFmtId="41" fontId="3" fillId="11" borderId="0" xfId="2" applyFont="1" applyFill="1"/>
    <xf numFmtId="41" fontId="3" fillId="12" borderId="0" xfId="2" applyFont="1" applyFill="1"/>
    <xf numFmtId="164" fontId="2" fillId="12" borderId="0" xfId="0" applyNumberFormat="1" applyFont="1" applyFill="1"/>
    <xf numFmtId="164" fontId="2" fillId="13" borderId="0" xfId="0" applyNumberFormat="1" applyFont="1" applyFill="1"/>
    <xf numFmtId="41" fontId="3" fillId="13" borderId="0" xfId="2" applyFont="1" applyFill="1"/>
    <xf numFmtId="41" fontId="0" fillId="14" borderId="0" xfId="2" applyFont="1" applyFill="1"/>
    <xf numFmtId="164" fontId="2" fillId="14" borderId="0" xfId="0" applyNumberFormat="1" applyFont="1" applyFill="1"/>
    <xf numFmtId="41" fontId="5" fillId="15" borderId="0" xfId="2" applyFont="1" applyFill="1"/>
    <xf numFmtId="164" fontId="2" fillId="15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0" fillId="8" borderId="0" xfId="0" applyNumberFormat="1" applyFill="1" applyAlignment="1">
      <alignment horizontal="center"/>
    </xf>
    <xf numFmtId="0" fontId="0" fillId="16" borderId="0" xfId="0" applyFill="1"/>
    <xf numFmtId="164" fontId="0" fillId="16" borderId="0" xfId="0" applyNumberFormat="1" applyFill="1" applyAlignment="1">
      <alignment horizontal="center"/>
    </xf>
    <xf numFmtId="41" fontId="5" fillId="16" borderId="0" xfId="2" applyFont="1" applyFill="1"/>
    <xf numFmtId="0" fontId="6" fillId="0" borderId="0" xfId="0" applyFont="1"/>
    <xf numFmtId="0" fontId="3" fillId="0" borderId="0" xfId="0" applyFont="1" applyAlignment="1">
      <alignment horizontal="center"/>
    </xf>
    <xf numFmtId="0" fontId="0" fillId="9" borderId="0" xfId="0" applyFill="1"/>
    <xf numFmtId="164" fontId="0" fillId="9" borderId="0" xfId="1" applyNumberFormat="1" applyFont="1" applyFill="1"/>
    <xf numFmtId="164" fontId="0" fillId="9" borderId="0" xfId="0" applyNumberFormat="1" applyFill="1"/>
    <xf numFmtId="0" fontId="0" fillId="17" borderId="0" xfId="0" applyFill="1"/>
    <xf numFmtId="0" fontId="0" fillId="15" borderId="0" xfId="0" applyFill="1"/>
    <xf numFmtId="0" fontId="7" fillId="15" borderId="0" xfId="0" applyFont="1" applyFill="1"/>
  </cellXfs>
  <cellStyles count="3">
    <cellStyle name="Millares [0]" xfId="2" builtinId="6"/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7"/>
  <sheetViews>
    <sheetView showGridLines="0" tabSelected="1" zoomScale="90" zoomScaleNormal="90" workbookViewId="0">
      <pane xSplit="7" ySplit="33" topLeftCell="L34" activePane="bottomRight" state="frozen"/>
      <selection pane="topRight" activeCell="H1" sqref="H1"/>
      <selection pane="bottomLeft" activeCell="A34" sqref="A34"/>
      <selection pane="bottomRight" activeCell="F31" activeCellId="1" sqref="F26 F31"/>
    </sheetView>
  </sheetViews>
  <sheetFormatPr baseColWidth="10" defaultColWidth="9.140625" defaultRowHeight="15" x14ac:dyDescent="0.25"/>
  <cols>
    <col min="2" max="2" width="18.42578125" bestFit="1" customWidth="1"/>
    <col min="3" max="3" width="26.5703125" customWidth="1"/>
    <col min="4" max="4" width="20.5703125" bestFit="1" customWidth="1"/>
    <col min="5" max="5" width="15.42578125" bestFit="1" customWidth="1"/>
    <col min="6" max="6" width="23" bestFit="1" customWidth="1"/>
    <col min="7" max="7" width="17.5703125" bestFit="1" customWidth="1"/>
    <col min="8" max="8" width="14" bestFit="1" customWidth="1"/>
    <col min="12" max="12" width="14.85546875" bestFit="1" customWidth="1"/>
    <col min="13" max="13" width="23.85546875" bestFit="1" customWidth="1"/>
    <col min="17" max="17" width="15.140625" bestFit="1" customWidth="1"/>
    <col min="18" max="19" width="14.140625" bestFit="1" customWidth="1"/>
    <col min="20" max="20" width="15.140625" bestFit="1" customWidth="1"/>
    <col min="21" max="21" width="12.42578125" bestFit="1" customWidth="1"/>
    <col min="22" max="22" width="16.140625" bestFit="1" customWidth="1"/>
    <col min="23" max="23" width="21.140625" bestFit="1" customWidth="1"/>
    <col min="24" max="24" width="11.42578125" bestFit="1" customWidth="1"/>
    <col min="25" max="25" width="14.140625" bestFit="1" customWidth="1"/>
    <col min="26" max="26" width="9" bestFit="1" customWidth="1"/>
    <col min="27" max="27" width="12.42578125" bestFit="1" customWidth="1"/>
    <col min="28" max="28" width="9" bestFit="1" customWidth="1"/>
    <col min="29" max="29" width="12.42578125" bestFit="1" customWidth="1"/>
    <col min="30" max="30" width="14.140625" bestFit="1" customWidth="1"/>
    <col min="31" max="31" width="12.42578125" bestFit="1" customWidth="1"/>
    <col min="32" max="32" width="9" bestFit="1" customWidth="1"/>
    <col min="33" max="33" width="12.42578125" bestFit="1" customWidth="1"/>
    <col min="34" max="34" width="15.140625" bestFit="1" customWidth="1"/>
    <col min="35" max="35" width="9" bestFit="1" customWidth="1"/>
    <col min="36" max="36" width="22.85546875" bestFit="1" customWidth="1"/>
    <col min="37" max="37" width="15.28515625" bestFit="1" customWidth="1"/>
    <col min="38" max="38" width="9" bestFit="1" customWidth="1"/>
    <col min="39" max="39" width="30.140625" bestFit="1" customWidth="1"/>
    <col min="40" max="41" width="15.140625" bestFit="1" customWidth="1"/>
    <col min="42" max="42" width="27.7109375" bestFit="1" customWidth="1"/>
    <col min="43" max="43" width="9" bestFit="1" customWidth="1"/>
    <col min="44" max="44" width="25.42578125" bestFit="1" customWidth="1"/>
    <col min="45" max="45" width="9" bestFit="1" customWidth="1"/>
    <col min="46" max="46" width="31.28515625" bestFit="1" customWidth="1"/>
    <col min="47" max="47" width="9" bestFit="1" customWidth="1"/>
    <col min="48" max="48" width="34.85546875" bestFit="1" customWidth="1"/>
    <col min="49" max="49" width="9" bestFit="1" customWidth="1"/>
    <col min="50" max="50" width="16.140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6" t="s">
        <v>12</v>
      </c>
      <c r="N1" t="s">
        <v>13</v>
      </c>
      <c r="O1" t="s">
        <v>14</v>
      </c>
      <c r="P1" t="s">
        <v>15</v>
      </c>
      <c r="Q1" s="16" t="s">
        <v>16</v>
      </c>
      <c r="R1" s="16" t="s">
        <v>17</v>
      </c>
      <c r="S1" s="16" t="s">
        <v>18</v>
      </c>
      <c r="T1" s="40" t="s">
        <v>19</v>
      </c>
      <c r="U1" t="s">
        <v>20</v>
      </c>
      <c r="V1" s="13" t="s">
        <v>21</v>
      </c>
      <c r="W1" s="16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I2" t="s">
        <v>57</v>
      </c>
      <c r="J2" t="s">
        <v>58</v>
      </c>
      <c r="K2">
        <v>6.33</v>
      </c>
      <c r="L2" s="3">
        <v>6231500</v>
      </c>
      <c r="M2" s="16" t="s">
        <v>140</v>
      </c>
      <c r="N2">
        <v>30</v>
      </c>
      <c r="O2">
        <v>0</v>
      </c>
      <c r="P2">
        <v>0</v>
      </c>
      <c r="Q2" s="18">
        <v>6231500</v>
      </c>
      <c r="R2" s="18">
        <v>202127</v>
      </c>
      <c r="S2" s="39">
        <v>150000</v>
      </c>
      <c r="T2" s="41">
        <v>0</v>
      </c>
      <c r="U2" s="24">
        <v>0</v>
      </c>
      <c r="V2" s="14">
        <v>6583627</v>
      </c>
      <c r="W2" s="18">
        <v>0</v>
      </c>
      <c r="X2" s="1">
        <v>0</v>
      </c>
      <c r="Y2" s="1">
        <v>392829</v>
      </c>
      <c r="Z2" s="1">
        <v>0</v>
      </c>
      <c r="AA2" s="1">
        <v>30924</v>
      </c>
      <c r="AB2" s="1">
        <v>0</v>
      </c>
      <c r="AC2" s="1">
        <v>0</v>
      </c>
      <c r="AD2" s="1">
        <v>240157</v>
      </c>
      <c r="AE2" s="1">
        <v>7268</v>
      </c>
      <c r="AF2" s="1">
        <v>0</v>
      </c>
      <c r="AG2" s="1">
        <v>0</v>
      </c>
      <c r="AH2" s="1">
        <v>600606</v>
      </c>
      <c r="AI2" s="1">
        <v>0</v>
      </c>
      <c r="AJ2" s="1">
        <v>0</v>
      </c>
      <c r="AK2" s="1"/>
      <c r="AL2" s="1"/>
      <c r="AM2" s="1">
        <v>177592</v>
      </c>
      <c r="AN2" s="1">
        <v>177592</v>
      </c>
      <c r="AO2" s="1">
        <v>5134251</v>
      </c>
      <c r="AP2" s="25">
        <v>31907</v>
      </c>
      <c r="AQ2" s="25">
        <v>0</v>
      </c>
      <c r="AR2" s="25">
        <v>82465</v>
      </c>
      <c r="AS2" s="25">
        <v>0</v>
      </c>
      <c r="AT2" s="25">
        <v>41232</v>
      </c>
      <c r="AU2" s="25">
        <v>0</v>
      </c>
      <c r="AV2" s="25">
        <v>61069</v>
      </c>
      <c r="AW2" s="1">
        <v>0</v>
      </c>
      <c r="AX2" s="1">
        <v>6800300</v>
      </c>
    </row>
    <row r="3" spans="1:50" x14ac:dyDescent="0.25">
      <c r="A3" t="s">
        <v>50</v>
      </c>
      <c r="B3" t="s">
        <v>51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I3" t="s">
        <v>64</v>
      </c>
      <c r="J3" t="s">
        <v>65</v>
      </c>
      <c r="K3">
        <v>11.54</v>
      </c>
      <c r="L3" s="3">
        <v>6395833</v>
      </c>
      <c r="M3" s="48" t="s">
        <v>137</v>
      </c>
      <c r="N3">
        <v>30</v>
      </c>
      <c r="O3">
        <v>0</v>
      </c>
      <c r="P3">
        <v>0</v>
      </c>
      <c r="Q3" s="18">
        <v>6395833</v>
      </c>
      <c r="R3" s="18">
        <v>202127</v>
      </c>
      <c r="S3" s="39">
        <v>150000</v>
      </c>
      <c r="T3" s="41">
        <v>0</v>
      </c>
      <c r="U3" s="24">
        <v>0</v>
      </c>
      <c r="V3" s="14">
        <v>6747960</v>
      </c>
      <c r="W3" s="18">
        <v>0</v>
      </c>
      <c r="X3" s="1">
        <v>0</v>
      </c>
      <c r="Y3" s="1">
        <v>392486</v>
      </c>
      <c r="Z3" s="1">
        <v>0</v>
      </c>
      <c r="AA3" s="1">
        <v>30924</v>
      </c>
      <c r="AB3" s="1">
        <v>0</v>
      </c>
      <c r="AC3" s="1">
        <v>0</v>
      </c>
      <c r="AD3" s="1">
        <v>240157</v>
      </c>
      <c r="AE3" s="1">
        <v>210617</v>
      </c>
      <c r="AF3" s="1">
        <v>0</v>
      </c>
      <c r="AG3" s="1">
        <v>0</v>
      </c>
      <c r="AH3" s="1">
        <v>638482</v>
      </c>
      <c r="AI3" s="1">
        <v>0</v>
      </c>
      <c r="AJ3" s="1">
        <v>0</v>
      </c>
      <c r="AK3" s="1"/>
      <c r="AL3" s="1"/>
      <c r="AM3" s="1">
        <v>0</v>
      </c>
      <c r="AN3" s="1">
        <v>0</v>
      </c>
      <c r="AO3" s="1">
        <v>5235294</v>
      </c>
      <c r="AP3" s="25">
        <v>31907</v>
      </c>
      <c r="AQ3" s="25">
        <v>0</v>
      </c>
      <c r="AR3" s="25">
        <v>82465</v>
      </c>
      <c r="AS3" s="25">
        <v>0</v>
      </c>
      <c r="AT3" s="25">
        <v>41232</v>
      </c>
      <c r="AU3" s="25">
        <v>0</v>
      </c>
      <c r="AV3" s="25">
        <v>61069</v>
      </c>
      <c r="AW3" s="1">
        <v>0</v>
      </c>
      <c r="AX3" s="1">
        <v>6964633</v>
      </c>
    </row>
    <row r="4" spans="1:50" x14ac:dyDescent="0.25">
      <c r="A4" t="s">
        <v>50</v>
      </c>
      <c r="B4" t="s">
        <v>51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I4" t="s">
        <v>64</v>
      </c>
      <c r="J4" t="s">
        <v>65</v>
      </c>
      <c r="K4">
        <v>6.14</v>
      </c>
      <c r="L4" s="3">
        <v>4766250</v>
      </c>
      <c r="M4" s="49" t="s">
        <v>142</v>
      </c>
      <c r="N4">
        <v>30</v>
      </c>
      <c r="O4">
        <v>3</v>
      </c>
      <c r="P4">
        <v>0</v>
      </c>
      <c r="Q4" s="18">
        <v>4766250</v>
      </c>
      <c r="R4" s="18">
        <v>202127</v>
      </c>
      <c r="S4" s="39">
        <v>150000</v>
      </c>
      <c r="T4" s="41">
        <v>0</v>
      </c>
      <c r="U4" s="24">
        <v>0</v>
      </c>
      <c r="V4" s="14">
        <v>5118377</v>
      </c>
      <c r="W4" s="18">
        <v>0</v>
      </c>
      <c r="X4" s="1">
        <v>0</v>
      </c>
      <c r="Y4" s="1">
        <v>392486</v>
      </c>
      <c r="Z4" s="1">
        <v>0</v>
      </c>
      <c r="AA4" s="1">
        <v>30710</v>
      </c>
      <c r="AB4" s="1">
        <v>0</v>
      </c>
      <c r="AC4" s="1">
        <v>0</v>
      </c>
      <c r="AD4" s="1">
        <v>240157</v>
      </c>
      <c r="AE4" s="1">
        <v>0</v>
      </c>
      <c r="AF4" s="1">
        <v>0</v>
      </c>
      <c r="AG4" s="1">
        <v>0</v>
      </c>
      <c r="AH4" s="1">
        <v>294734</v>
      </c>
      <c r="AI4" s="1">
        <v>0</v>
      </c>
      <c r="AJ4" s="1">
        <v>76008</v>
      </c>
      <c r="AK4" s="1"/>
      <c r="AL4" s="1"/>
      <c r="AM4" s="1">
        <v>0</v>
      </c>
      <c r="AN4" s="1">
        <v>76008</v>
      </c>
      <c r="AO4" s="1">
        <v>4084282</v>
      </c>
      <c r="AP4" s="25">
        <v>31907</v>
      </c>
      <c r="AQ4" s="25">
        <v>0</v>
      </c>
      <c r="AR4" s="25">
        <v>81894</v>
      </c>
      <c r="AS4" s="25">
        <v>0</v>
      </c>
      <c r="AT4" s="25">
        <v>40947</v>
      </c>
      <c r="AU4" s="25">
        <v>0</v>
      </c>
      <c r="AV4" s="25">
        <v>61069</v>
      </c>
      <c r="AW4" s="1">
        <v>0</v>
      </c>
      <c r="AX4" s="1">
        <v>5334194</v>
      </c>
    </row>
    <row r="5" spans="1:50" s="16" customFormat="1" x14ac:dyDescent="0.25">
      <c r="A5" s="16" t="s">
        <v>50</v>
      </c>
      <c r="B5" s="16" t="s">
        <v>51</v>
      </c>
      <c r="C5" s="16" t="s">
        <v>129</v>
      </c>
      <c r="D5" s="16" t="s">
        <v>130</v>
      </c>
      <c r="E5" s="16" t="s">
        <v>131</v>
      </c>
      <c r="F5" s="16" t="s">
        <v>132</v>
      </c>
      <c r="G5" s="16" t="s">
        <v>133</v>
      </c>
      <c r="I5" s="16" t="s">
        <v>101</v>
      </c>
      <c r="J5" s="16" t="s">
        <v>65</v>
      </c>
      <c r="K5" s="16">
        <v>6.16</v>
      </c>
      <c r="L5" s="17">
        <v>3075000</v>
      </c>
      <c r="M5" s="48" t="s">
        <v>137</v>
      </c>
      <c r="N5" s="16">
        <v>30</v>
      </c>
      <c r="O5" s="16">
        <v>0</v>
      </c>
      <c r="P5" s="16">
        <v>0</v>
      </c>
      <c r="Q5" s="18">
        <v>3075000</v>
      </c>
      <c r="R5" s="18">
        <v>202127</v>
      </c>
      <c r="S5" s="39">
        <v>150000</v>
      </c>
      <c r="T5" s="41">
        <v>0</v>
      </c>
      <c r="U5" s="24">
        <v>0</v>
      </c>
      <c r="V5" s="18">
        <v>3427127</v>
      </c>
      <c r="W5" s="18">
        <v>0</v>
      </c>
      <c r="X5" s="18">
        <v>0</v>
      </c>
      <c r="Y5" s="18">
        <v>359506</v>
      </c>
      <c r="Z5" s="18">
        <v>0</v>
      </c>
      <c r="AA5" s="18">
        <v>20563</v>
      </c>
      <c r="AB5" s="18">
        <v>0</v>
      </c>
      <c r="AC5" s="18">
        <v>0</v>
      </c>
      <c r="AD5" s="18">
        <v>239899</v>
      </c>
      <c r="AE5" s="18">
        <v>806</v>
      </c>
      <c r="AF5" s="18">
        <v>0</v>
      </c>
      <c r="AG5" s="18">
        <v>0</v>
      </c>
      <c r="AH5" s="18">
        <v>105700</v>
      </c>
      <c r="AI5" s="18">
        <v>0</v>
      </c>
      <c r="AJ5" s="18">
        <v>38274</v>
      </c>
      <c r="AK5" s="18"/>
      <c r="AL5" s="18"/>
      <c r="AM5" s="18">
        <v>0</v>
      </c>
      <c r="AN5" s="18">
        <v>38274</v>
      </c>
      <c r="AO5" s="18">
        <v>2662379</v>
      </c>
      <c r="AP5" s="25">
        <v>31872</v>
      </c>
      <c r="AQ5" s="25">
        <v>0</v>
      </c>
      <c r="AR5" s="25">
        <v>54834</v>
      </c>
      <c r="AS5" s="25">
        <v>0</v>
      </c>
      <c r="AT5" s="25">
        <v>27417</v>
      </c>
      <c r="AU5" s="25">
        <v>0</v>
      </c>
      <c r="AV5" s="25">
        <v>61003</v>
      </c>
      <c r="AW5" s="18">
        <v>0</v>
      </c>
      <c r="AX5" s="18">
        <v>3602253</v>
      </c>
    </row>
    <row r="6" spans="1:50" x14ac:dyDescent="0.25">
      <c r="A6" t="s">
        <v>50</v>
      </c>
      <c r="B6" t="s">
        <v>51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I6" t="s">
        <v>82</v>
      </c>
      <c r="J6" t="s">
        <v>76</v>
      </c>
      <c r="K6">
        <v>6.73</v>
      </c>
      <c r="L6" s="3">
        <v>6825000</v>
      </c>
      <c r="M6" s="48" t="s">
        <v>137</v>
      </c>
      <c r="N6">
        <v>30</v>
      </c>
      <c r="O6">
        <v>2</v>
      </c>
      <c r="P6">
        <v>0</v>
      </c>
      <c r="Q6" s="18">
        <v>6825000</v>
      </c>
      <c r="R6" s="18">
        <v>202127</v>
      </c>
      <c r="S6" s="39">
        <v>150000</v>
      </c>
      <c r="T6" s="41">
        <v>0</v>
      </c>
      <c r="U6" s="24">
        <v>0</v>
      </c>
      <c r="V6" s="14">
        <v>7177127</v>
      </c>
      <c r="W6" s="18">
        <v>0</v>
      </c>
      <c r="X6" s="1">
        <v>0</v>
      </c>
      <c r="Y6" s="1">
        <v>362981</v>
      </c>
      <c r="Z6" s="1">
        <v>0</v>
      </c>
      <c r="AA6" s="1">
        <v>30924</v>
      </c>
      <c r="AB6" s="1">
        <v>0</v>
      </c>
      <c r="AC6" s="1">
        <v>0</v>
      </c>
      <c r="AD6" s="1">
        <v>240157</v>
      </c>
      <c r="AE6" s="1">
        <v>22781</v>
      </c>
      <c r="AF6" s="1">
        <v>0</v>
      </c>
      <c r="AG6" s="1">
        <v>0</v>
      </c>
      <c r="AH6" s="1">
        <v>773245</v>
      </c>
      <c r="AI6" s="1">
        <v>0</v>
      </c>
      <c r="AJ6" s="1">
        <v>0</v>
      </c>
      <c r="AK6" s="1"/>
      <c r="AL6" s="1"/>
      <c r="AM6" s="1">
        <v>0</v>
      </c>
      <c r="AN6" s="1">
        <v>0</v>
      </c>
      <c r="AO6" s="1">
        <v>5747039</v>
      </c>
      <c r="AP6" s="25">
        <v>31907</v>
      </c>
      <c r="AQ6" s="25">
        <v>0</v>
      </c>
      <c r="AR6" s="25">
        <v>82465</v>
      </c>
      <c r="AS6" s="25">
        <v>0</v>
      </c>
      <c r="AT6" s="25">
        <v>41232</v>
      </c>
      <c r="AU6" s="25">
        <v>0</v>
      </c>
      <c r="AV6" s="25">
        <v>61069</v>
      </c>
      <c r="AW6" s="1">
        <v>0</v>
      </c>
      <c r="AX6" s="1">
        <v>7393800</v>
      </c>
    </row>
    <row r="7" spans="1:50" x14ac:dyDescent="0.25">
      <c r="A7" t="s">
        <v>50</v>
      </c>
      <c r="B7" t="s">
        <v>51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I7" t="s">
        <v>101</v>
      </c>
      <c r="J7" t="s">
        <v>83</v>
      </c>
      <c r="L7" s="3">
        <v>1750000</v>
      </c>
      <c r="M7" s="16" t="s">
        <v>144</v>
      </c>
      <c r="N7">
        <v>30</v>
      </c>
      <c r="O7">
        <v>0</v>
      </c>
      <c r="P7">
        <v>0</v>
      </c>
      <c r="Q7" s="18">
        <v>1750000</v>
      </c>
      <c r="R7" s="18">
        <v>202127</v>
      </c>
      <c r="S7" s="39">
        <v>150000</v>
      </c>
      <c r="T7" s="41">
        <v>0</v>
      </c>
      <c r="U7" s="24">
        <v>0</v>
      </c>
      <c r="V7" s="14">
        <v>2102127</v>
      </c>
      <c r="W7" s="18">
        <v>0</v>
      </c>
      <c r="X7" s="1">
        <v>0</v>
      </c>
      <c r="Y7" s="1">
        <v>220513</v>
      </c>
      <c r="Z7" s="1">
        <v>0</v>
      </c>
      <c r="AA7" s="1">
        <v>12613</v>
      </c>
      <c r="AB7" s="1">
        <v>0</v>
      </c>
      <c r="AC7" s="1">
        <v>147149</v>
      </c>
      <c r="AD7" s="1">
        <v>0</v>
      </c>
      <c r="AE7" s="1">
        <v>0</v>
      </c>
      <c r="AF7" s="1">
        <v>0</v>
      </c>
      <c r="AG7" s="1">
        <v>0</v>
      </c>
      <c r="AH7" s="1">
        <v>31989</v>
      </c>
      <c r="AI7" s="1">
        <v>0</v>
      </c>
      <c r="AJ7" s="1">
        <v>0</v>
      </c>
      <c r="AK7" s="1"/>
      <c r="AL7" s="1"/>
      <c r="AM7" s="1">
        <v>0</v>
      </c>
      <c r="AN7" s="1">
        <v>0</v>
      </c>
      <c r="AO7" s="1">
        <v>1689863</v>
      </c>
      <c r="AP7" s="25">
        <v>19550</v>
      </c>
      <c r="AQ7" s="25">
        <v>0</v>
      </c>
      <c r="AR7" s="25">
        <v>33634</v>
      </c>
      <c r="AS7" s="25">
        <v>0</v>
      </c>
      <c r="AT7" s="25">
        <v>16817</v>
      </c>
      <c r="AU7" s="25">
        <v>0</v>
      </c>
      <c r="AV7" s="25">
        <v>37418</v>
      </c>
      <c r="AW7" s="1">
        <v>0</v>
      </c>
      <c r="AX7" s="1">
        <v>2209546</v>
      </c>
    </row>
    <row r="8" spans="1:50" x14ac:dyDescent="0.25">
      <c r="A8" t="s">
        <v>50</v>
      </c>
      <c r="B8" t="s">
        <v>51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I8" t="s">
        <v>82</v>
      </c>
      <c r="J8" t="s">
        <v>83</v>
      </c>
      <c r="L8" s="3">
        <v>1500000</v>
      </c>
      <c r="M8" s="16" t="s">
        <v>140</v>
      </c>
      <c r="N8">
        <v>30</v>
      </c>
      <c r="O8">
        <v>0</v>
      </c>
      <c r="P8">
        <v>0</v>
      </c>
      <c r="Q8" s="18">
        <v>1500000</v>
      </c>
      <c r="R8" s="18">
        <v>202127</v>
      </c>
      <c r="S8" s="39">
        <v>150000</v>
      </c>
      <c r="T8" s="41">
        <v>0</v>
      </c>
      <c r="U8" s="24">
        <v>0</v>
      </c>
      <c r="V8" s="14">
        <v>1852127</v>
      </c>
      <c r="W8" s="18">
        <v>0</v>
      </c>
      <c r="X8" s="1">
        <v>0</v>
      </c>
      <c r="Y8" s="1">
        <v>195955</v>
      </c>
      <c r="Z8" s="1">
        <v>0</v>
      </c>
      <c r="AA8" s="1">
        <v>11113</v>
      </c>
      <c r="AB8" s="1">
        <v>0</v>
      </c>
      <c r="AC8" s="1">
        <v>129649</v>
      </c>
      <c r="AD8" s="1">
        <v>0</v>
      </c>
      <c r="AE8" s="1">
        <v>0</v>
      </c>
      <c r="AF8" s="1">
        <v>0</v>
      </c>
      <c r="AG8" s="1">
        <v>0</v>
      </c>
      <c r="AH8" s="1">
        <v>23731</v>
      </c>
      <c r="AI8" s="1">
        <v>0</v>
      </c>
      <c r="AJ8" s="1">
        <v>76008</v>
      </c>
      <c r="AK8" s="1"/>
      <c r="AL8" s="1"/>
      <c r="AM8" s="1">
        <v>0</v>
      </c>
      <c r="AN8" s="1">
        <v>76008</v>
      </c>
      <c r="AO8" s="1">
        <v>1415671</v>
      </c>
      <c r="AP8" s="25">
        <v>17225</v>
      </c>
      <c r="AQ8" s="25">
        <v>0</v>
      </c>
      <c r="AR8" s="25">
        <v>29634</v>
      </c>
      <c r="AS8" s="25">
        <v>0</v>
      </c>
      <c r="AT8" s="25">
        <v>14817</v>
      </c>
      <c r="AU8" s="25">
        <v>0</v>
      </c>
      <c r="AV8" s="25">
        <v>32968</v>
      </c>
      <c r="AW8" s="1">
        <v>0</v>
      </c>
      <c r="AX8" s="1">
        <v>1946771</v>
      </c>
    </row>
    <row r="9" spans="1:50" x14ac:dyDescent="0.25">
      <c r="A9" t="s">
        <v>50</v>
      </c>
      <c r="B9" t="s">
        <v>51</v>
      </c>
      <c r="C9" t="s">
        <v>114</v>
      </c>
      <c r="D9" t="s">
        <v>115</v>
      </c>
      <c r="E9" t="s">
        <v>116</v>
      </c>
      <c r="F9" t="s">
        <v>117</v>
      </c>
      <c r="G9" t="s">
        <v>118</v>
      </c>
      <c r="I9" t="s">
        <v>108</v>
      </c>
      <c r="J9" t="s">
        <v>58</v>
      </c>
      <c r="K9">
        <v>6.86</v>
      </c>
      <c r="L9" s="3">
        <v>4715000</v>
      </c>
      <c r="M9" s="48" t="s">
        <v>137</v>
      </c>
      <c r="N9">
        <v>30</v>
      </c>
      <c r="O9">
        <v>0</v>
      </c>
      <c r="P9">
        <v>0</v>
      </c>
      <c r="Q9" s="18">
        <v>4715000</v>
      </c>
      <c r="R9" s="18">
        <v>202127</v>
      </c>
      <c r="S9" s="39">
        <v>150000</v>
      </c>
      <c r="T9" s="41">
        <v>0</v>
      </c>
      <c r="U9" s="24">
        <v>0</v>
      </c>
      <c r="V9" s="14">
        <v>5067127</v>
      </c>
      <c r="W9" s="18">
        <v>0</v>
      </c>
      <c r="X9" s="1">
        <v>0</v>
      </c>
      <c r="Y9" s="1">
        <v>382880</v>
      </c>
      <c r="Z9" s="1">
        <v>0</v>
      </c>
      <c r="AA9" s="1">
        <v>30403</v>
      </c>
      <c r="AB9" s="1">
        <v>0</v>
      </c>
      <c r="AC9" s="1">
        <v>0</v>
      </c>
      <c r="AD9" s="1">
        <v>240157</v>
      </c>
      <c r="AE9" s="1">
        <v>27705</v>
      </c>
      <c r="AF9" s="1">
        <v>0</v>
      </c>
      <c r="AG9" s="1">
        <v>0</v>
      </c>
      <c r="AH9" s="1">
        <v>289154</v>
      </c>
      <c r="AI9" s="1">
        <v>0</v>
      </c>
      <c r="AJ9" s="1">
        <v>0</v>
      </c>
      <c r="AK9" s="1"/>
      <c r="AL9" s="1"/>
      <c r="AM9" s="1">
        <v>0</v>
      </c>
      <c r="AN9" s="1">
        <v>0</v>
      </c>
      <c r="AO9" s="1">
        <v>4096828</v>
      </c>
      <c r="AP9" s="25">
        <v>31907</v>
      </c>
      <c r="AQ9" s="25">
        <v>0</v>
      </c>
      <c r="AR9" s="25">
        <v>81074</v>
      </c>
      <c r="AS9" s="25">
        <v>0</v>
      </c>
      <c r="AT9" s="25">
        <v>40537</v>
      </c>
      <c r="AU9" s="25">
        <v>0</v>
      </c>
      <c r="AV9" s="25">
        <v>61069</v>
      </c>
      <c r="AW9" s="1">
        <v>0</v>
      </c>
      <c r="AX9" s="1">
        <v>5281714</v>
      </c>
    </row>
    <row r="10" spans="1:50" s="16" customFormat="1" x14ac:dyDescent="0.25">
      <c r="A10" s="16" t="s">
        <v>50</v>
      </c>
      <c r="B10" s="16" t="s">
        <v>51</v>
      </c>
      <c r="C10" s="16" t="s">
        <v>124</v>
      </c>
      <c r="D10" s="16" t="s">
        <v>125</v>
      </c>
      <c r="E10" s="16" t="s">
        <v>126</v>
      </c>
      <c r="F10" s="16" t="s">
        <v>127</v>
      </c>
      <c r="G10" s="16" t="s">
        <v>128</v>
      </c>
      <c r="I10" s="16" t="s">
        <v>82</v>
      </c>
      <c r="J10" s="16" t="s">
        <v>83</v>
      </c>
      <c r="L10" s="17">
        <v>17840732</v>
      </c>
      <c r="M10" s="7" t="s">
        <v>141</v>
      </c>
      <c r="N10" s="16">
        <v>30</v>
      </c>
      <c r="O10" s="16">
        <v>0</v>
      </c>
      <c r="P10" s="16">
        <v>0</v>
      </c>
      <c r="Q10" s="18">
        <v>17840732</v>
      </c>
      <c r="R10" s="18">
        <v>202127</v>
      </c>
      <c r="S10" s="39">
        <v>150000</v>
      </c>
      <c r="T10" s="41">
        <v>0</v>
      </c>
      <c r="U10" s="24">
        <v>0</v>
      </c>
      <c r="V10" s="18">
        <v>18192859</v>
      </c>
      <c r="W10" s="18">
        <v>0</v>
      </c>
      <c r="X10" s="18">
        <v>0</v>
      </c>
      <c r="Y10" s="18">
        <v>362981</v>
      </c>
      <c r="Z10" s="18">
        <v>0</v>
      </c>
      <c r="AA10" s="18">
        <v>30924</v>
      </c>
      <c r="AB10" s="18">
        <v>0</v>
      </c>
      <c r="AC10" s="18">
        <v>240157</v>
      </c>
      <c r="AD10" s="18">
        <v>0</v>
      </c>
      <c r="AE10" s="18">
        <v>0</v>
      </c>
      <c r="AF10" s="18">
        <v>0</v>
      </c>
      <c r="AG10" s="18">
        <v>0</v>
      </c>
      <c r="AH10" s="18">
        <v>4552683</v>
      </c>
      <c r="AI10" s="18">
        <v>0</v>
      </c>
      <c r="AJ10" s="18">
        <v>0</v>
      </c>
      <c r="AK10" s="18"/>
      <c r="AL10" s="18"/>
      <c r="AM10" s="18">
        <v>0</v>
      </c>
      <c r="AN10" s="18">
        <v>0</v>
      </c>
      <c r="AO10" s="18">
        <v>13006114</v>
      </c>
      <c r="AP10" s="25">
        <v>31907</v>
      </c>
      <c r="AQ10" s="25">
        <v>0</v>
      </c>
      <c r="AR10" s="25">
        <v>82465</v>
      </c>
      <c r="AS10" s="25">
        <v>0</v>
      </c>
      <c r="AT10" s="25">
        <v>41232</v>
      </c>
      <c r="AU10" s="25">
        <v>0</v>
      </c>
      <c r="AV10" s="25">
        <v>61069</v>
      </c>
      <c r="AW10" s="18">
        <v>0</v>
      </c>
      <c r="AX10" s="18">
        <v>18409532</v>
      </c>
    </row>
    <row r="11" spans="1:50" x14ac:dyDescent="0.25">
      <c r="A11" t="s">
        <v>50</v>
      </c>
      <c r="B11" t="s">
        <v>51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I11" t="s">
        <v>89</v>
      </c>
      <c r="J11" t="s">
        <v>90</v>
      </c>
      <c r="K11">
        <v>11.96</v>
      </c>
      <c r="L11" s="3">
        <v>6562600</v>
      </c>
      <c r="M11" s="48" t="s">
        <v>137</v>
      </c>
      <c r="N11">
        <v>30</v>
      </c>
      <c r="O11">
        <v>2</v>
      </c>
      <c r="P11">
        <v>0</v>
      </c>
      <c r="Q11" s="18">
        <v>6562600</v>
      </c>
      <c r="R11" s="18">
        <v>202127</v>
      </c>
      <c r="S11" s="39">
        <v>150000</v>
      </c>
      <c r="T11" s="41">
        <v>0</v>
      </c>
      <c r="U11" s="24">
        <v>400000</v>
      </c>
      <c r="V11" s="14">
        <v>7314727</v>
      </c>
      <c r="W11" s="18">
        <v>0</v>
      </c>
      <c r="X11" s="1">
        <v>0</v>
      </c>
      <c r="Y11" s="1">
        <v>386654</v>
      </c>
      <c r="Z11" s="1">
        <v>0</v>
      </c>
      <c r="AA11" s="1">
        <v>30924</v>
      </c>
      <c r="AB11" s="1">
        <v>0</v>
      </c>
      <c r="AC11" s="1">
        <v>0</v>
      </c>
      <c r="AD11" s="1">
        <v>240157</v>
      </c>
      <c r="AE11" s="1">
        <v>227341</v>
      </c>
      <c r="AF11" s="1">
        <v>0</v>
      </c>
      <c r="AG11" s="1">
        <v>156302</v>
      </c>
      <c r="AH11" s="1">
        <v>807879</v>
      </c>
      <c r="AI11" s="1">
        <v>0</v>
      </c>
      <c r="AJ11" s="1">
        <v>76008</v>
      </c>
      <c r="AK11" s="1"/>
      <c r="AL11" s="1"/>
      <c r="AM11" s="1">
        <v>0</v>
      </c>
      <c r="AN11" s="1">
        <v>76008</v>
      </c>
      <c r="AO11" s="1">
        <v>5389462</v>
      </c>
      <c r="AP11" s="25">
        <v>31907</v>
      </c>
      <c r="AQ11" s="25">
        <v>0</v>
      </c>
      <c r="AR11" s="25">
        <v>82465</v>
      </c>
      <c r="AS11" s="25">
        <v>0</v>
      </c>
      <c r="AT11" s="25">
        <v>41232</v>
      </c>
      <c r="AU11" s="25">
        <v>0</v>
      </c>
      <c r="AV11" s="25">
        <v>61069</v>
      </c>
      <c r="AW11" s="1">
        <v>0</v>
      </c>
      <c r="AX11" s="1">
        <v>7531400</v>
      </c>
    </row>
    <row r="12" spans="1:50" x14ac:dyDescent="0.25">
      <c r="A12" t="s">
        <v>50</v>
      </c>
      <c r="B12" t="s">
        <v>51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I12" t="s">
        <v>64</v>
      </c>
      <c r="J12" t="s">
        <v>76</v>
      </c>
      <c r="K12">
        <v>7.17</v>
      </c>
      <c r="L12" s="3">
        <v>7500000</v>
      </c>
      <c r="M12" s="48" t="s">
        <v>137</v>
      </c>
      <c r="N12">
        <v>30</v>
      </c>
      <c r="O12">
        <v>0</v>
      </c>
      <c r="P12">
        <v>0</v>
      </c>
      <c r="Q12" s="18">
        <v>7500000</v>
      </c>
      <c r="R12" s="18">
        <v>202127</v>
      </c>
      <c r="S12" s="39">
        <v>150000</v>
      </c>
      <c r="T12" s="41">
        <v>0</v>
      </c>
      <c r="U12" s="24">
        <v>0</v>
      </c>
      <c r="V12" s="14">
        <v>7852127</v>
      </c>
      <c r="W12" s="18">
        <v>0</v>
      </c>
      <c r="X12" s="1">
        <v>0</v>
      </c>
      <c r="Y12" s="1">
        <v>392486</v>
      </c>
      <c r="Z12" s="1">
        <v>0</v>
      </c>
      <c r="AA12" s="1">
        <v>30924</v>
      </c>
      <c r="AB12" s="1">
        <v>0</v>
      </c>
      <c r="AC12" s="1">
        <v>0</v>
      </c>
      <c r="AD12" s="1">
        <v>240157</v>
      </c>
      <c r="AE12" s="1">
        <v>40053</v>
      </c>
      <c r="AF12" s="1">
        <v>0</v>
      </c>
      <c r="AG12" s="1">
        <v>0</v>
      </c>
      <c r="AH12" s="1">
        <v>969475</v>
      </c>
      <c r="AI12" s="1">
        <v>0</v>
      </c>
      <c r="AJ12" s="1">
        <v>76008</v>
      </c>
      <c r="AK12" s="1"/>
      <c r="AL12" s="1"/>
      <c r="AM12" s="1">
        <v>0</v>
      </c>
      <c r="AN12" s="1">
        <v>76008</v>
      </c>
      <c r="AO12" s="1">
        <v>6103024</v>
      </c>
      <c r="AP12" s="25">
        <v>31907</v>
      </c>
      <c r="AQ12" s="25">
        <v>0</v>
      </c>
      <c r="AR12" s="25">
        <v>82465</v>
      </c>
      <c r="AS12" s="25">
        <v>0</v>
      </c>
      <c r="AT12" s="25">
        <v>41232</v>
      </c>
      <c r="AU12" s="25">
        <v>0</v>
      </c>
      <c r="AV12" s="25">
        <v>61069</v>
      </c>
      <c r="AW12" s="1">
        <v>0</v>
      </c>
      <c r="AX12" s="1">
        <v>8068800</v>
      </c>
    </row>
    <row r="13" spans="1:50" s="45" customFormat="1" x14ac:dyDescent="0.25">
      <c r="A13" s="45" t="s">
        <v>50</v>
      </c>
      <c r="B13" s="45" t="s">
        <v>51</v>
      </c>
      <c r="C13" s="45" t="s">
        <v>119</v>
      </c>
      <c r="D13" s="45" t="s">
        <v>120</v>
      </c>
      <c r="E13" s="45" t="s">
        <v>121</v>
      </c>
      <c r="F13" s="45" t="s">
        <v>122</v>
      </c>
      <c r="G13" s="45" t="s">
        <v>112</v>
      </c>
      <c r="I13" s="45" t="s">
        <v>82</v>
      </c>
      <c r="J13" s="45" t="s">
        <v>123</v>
      </c>
      <c r="K13" s="45">
        <v>11.67</v>
      </c>
      <c r="L13" s="46">
        <v>11188600</v>
      </c>
      <c r="M13" s="50" t="s">
        <v>142</v>
      </c>
      <c r="N13" s="45">
        <v>30</v>
      </c>
      <c r="O13" s="45">
        <v>0</v>
      </c>
      <c r="P13" s="45">
        <v>0</v>
      </c>
      <c r="Q13" s="47">
        <v>11188600</v>
      </c>
      <c r="R13" s="47">
        <v>202127</v>
      </c>
      <c r="S13" s="24">
        <v>150000</v>
      </c>
      <c r="T13" s="24">
        <v>94106132</v>
      </c>
      <c r="U13" s="24">
        <v>0</v>
      </c>
      <c r="V13" s="47">
        <v>105646859</v>
      </c>
      <c r="W13" s="47">
        <v>0</v>
      </c>
      <c r="X13" s="47">
        <v>0</v>
      </c>
      <c r="Y13" s="47">
        <v>362981</v>
      </c>
      <c r="Z13" s="47">
        <v>0</v>
      </c>
      <c r="AA13" s="47">
        <v>30924</v>
      </c>
      <c r="AB13" s="47">
        <v>0</v>
      </c>
      <c r="AC13" s="47">
        <v>0</v>
      </c>
      <c r="AD13" s="47">
        <v>240157</v>
      </c>
      <c r="AE13" s="47">
        <v>215853</v>
      </c>
      <c r="AF13" s="47">
        <v>0</v>
      </c>
      <c r="AG13" s="47">
        <v>0</v>
      </c>
      <c r="AH13" s="47">
        <v>39353480</v>
      </c>
      <c r="AI13" s="47">
        <v>0</v>
      </c>
      <c r="AJ13" s="47">
        <v>58520</v>
      </c>
      <c r="AK13" s="47">
        <v>56978357</v>
      </c>
      <c r="AL13" s="47"/>
      <c r="AM13" s="47">
        <v>0</v>
      </c>
      <c r="AN13" s="47">
        <v>57036877</v>
      </c>
      <c r="AO13" s="47">
        <v>8406587</v>
      </c>
      <c r="AP13" s="47">
        <v>31907</v>
      </c>
      <c r="AQ13" s="47">
        <v>0</v>
      </c>
      <c r="AR13" s="47">
        <v>82465</v>
      </c>
      <c r="AS13" s="47">
        <v>0</v>
      </c>
      <c r="AT13" s="47">
        <v>41232</v>
      </c>
      <c r="AU13" s="47">
        <v>0</v>
      </c>
      <c r="AV13" s="47">
        <v>61069</v>
      </c>
      <c r="AW13" s="47">
        <v>0</v>
      </c>
      <c r="AX13" s="47">
        <v>105863532</v>
      </c>
    </row>
    <row r="14" spans="1:50" x14ac:dyDescent="0.25">
      <c r="A14" t="s">
        <v>50</v>
      </c>
      <c r="B14" t="s">
        <v>51</v>
      </c>
      <c r="C14" t="s">
        <v>109</v>
      </c>
      <c r="D14" t="s">
        <v>110</v>
      </c>
      <c r="E14" t="s">
        <v>111</v>
      </c>
      <c r="F14" t="s">
        <v>105</v>
      </c>
      <c r="G14" t="s">
        <v>112</v>
      </c>
      <c r="I14" t="s">
        <v>108</v>
      </c>
      <c r="J14" t="s">
        <v>113</v>
      </c>
      <c r="K14">
        <v>5.89</v>
      </c>
      <c r="L14" s="3">
        <v>2706000</v>
      </c>
      <c r="M14" s="16" t="s">
        <v>140</v>
      </c>
      <c r="N14">
        <v>30</v>
      </c>
      <c r="O14">
        <v>1</v>
      </c>
      <c r="P14">
        <v>0</v>
      </c>
      <c r="Q14" s="18">
        <v>2706000</v>
      </c>
      <c r="R14" s="18">
        <v>202127</v>
      </c>
      <c r="S14" s="39">
        <v>150000</v>
      </c>
      <c r="T14" s="41">
        <v>0</v>
      </c>
      <c r="U14" s="24">
        <v>0</v>
      </c>
      <c r="V14" s="14">
        <v>3058127</v>
      </c>
      <c r="W14" s="18">
        <v>50000</v>
      </c>
      <c r="X14" s="1">
        <v>50000</v>
      </c>
      <c r="Y14" s="1">
        <v>341287</v>
      </c>
      <c r="Z14" s="1">
        <v>0</v>
      </c>
      <c r="AA14" s="1">
        <v>18349</v>
      </c>
      <c r="AB14" s="1">
        <v>0</v>
      </c>
      <c r="AC14" s="1">
        <v>0</v>
      </c>
      <c r="AD14" s="1">
        <v>214069</v>
      </c>
      <c r="AE14" s="1">
        <v>15968</v>
      </c>
      <c r="AF14" s="1">
        <v>0</v>
      </c>
      <c r="AG14" s="1">
        <v>0</v>
      </c>
      <c r="AH14" s="1">
        <v>78624</v>
      </c>
      <c r="AI14" s="1">
        <v>0</v>
      </c>
      <c r="AJ14" s="1">
        <v>76008</v>
      </c>
      <c r="AK14" s="1"/>
      <c r="AL14" s="1"/>
      <c r="AM14" s="1">
        <v>0</v>
      </c>
      <c r="AN14" s="1">
        <v>76008</v>
      </c>
      <c r="AO14" s="1">
        <v>2363822</v>
      </c>
      <c r="AP14" s="25">
        <v>28441</v>
      </c>
      <c r="AQ14" s="25">
        <v>0</v>
      </c>
      <c r="AR14" s="25">
        <v>48930</v>
      </c>
      <c r="AS14" s="25">
        <v>0</v>
      </c>
      <c r="AT14" s="25">
        <v>24465</v>
      </c>
      <c r="AU14" s="25">
        <v>0</v>
      </c>
      <c r="AV14" s="25">
        <v>54435</v>
      </c>
      <c r="AW14" s="1">
        <v>0</v>
      </c>
      <c r="AX14" s="1">
        <v>3264398</v>
      </c>
    </row>
    <row r="15" spans="1:50" x14ac:dyDescent="0.25">
      <c r="A15" t="s">
        <v>50</v>
      </c>
      <c r="B15" t="s">
        <v>51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90</v>
      </c>
      <c r="K15">
        <v>6.28</v>
      </c>
      <c r="L15" s="3">
        <v>5500000</v>
      </c>
      <c r="M15" s="48" t="s">
        <v>137</v>
      </c>
      <c r="N15">
        <v>30</v>
      </c>
      <c r="O15">
        <v>0</v>
      </c>
      <c r="P15">
        <v>0</v>
      </c>
      <c r="Q15" s="18">
        <v>5500000</v>
      </c>
      <c r="R15" s="18">
        <v>202127</v>
      </c>
      <c r="S15" s="39">
        <v>150000</v>
      </c>
      <c r="T15" s="41">
        <v>0</v>
      </c>
      <c r="U15" s="24">
        <v>0</v>
      </c>
      <c r="V15" s="14">
        <v>5852127</v>
      </c>
      <c r="W15" s="18">
        <v>0</v>
      </c>
      <c r="X15" s="1">
        <v>0</v>
      </c>
      <c r="Y15" s="1">
        <v>382880</v>
      </c>
      <c r="Z15" s="1">
        <v>0</v>
      </c>
      <c r="AA15" s="1">
        <v>0</v>
      </c>
      <c r="AB15" s="1">
        <v>0</v>
      </c>
      <c r="AC15" s="1">
        <v>0</v>
      </c>
      <c r="AD15" s="1">
        <v>240157</v>
      </c>
      <c r="AE15" s="1">
        <v>5354</v>
      </c>
      <c r="AF15" s="1">
        <v>0</v>
      </c>
      <c r="AG15" s="1">
        <v>0</v>
      </c>
      <c r="AH15" s="1">
        <v>441762</v>
      </c>
      <c r="AI15" s="1">
        <v>0</v>
      </c>
      <c r="AJ15" s="1">
        <v>0</v>
      </c>
      <c r="AK15" s="1"/>
      <c r="AL15" s="1"/>
      <c r="AM15" s="1">
        <v>0</v>
      </c>
      <c r="AN15" s="1">
        <v>0</v>
      </c>
      <c r="AO15" s="1">
        <v>4781974</v>
      </c>
      <c r="AP15" s="25">
        <v>31907</v>
      </c>
      <c r="AQ15" s="25">
        <v>0</v>
      </c>
      <c r="AR15" s="25">
        <v>144313</v>
      </c>
      <c r="AS15" s="25">
        <v>0</v>
      </c>
      <c r="AT15" s="25">
        <v>10308</v>
      </c>
      <c r="AU15" s="25">
        <v>0</v>
      </c>
      <c r="AV15" s="25">
        <v>61069</v>
      </c>
      <c r="AW15" s="1">
        <v>0</v>
      </c>
      <c r="AX15" s="1">
        <v>6099724</v>
      </c>
    </row>
    <row r="16" spans="1:50" x14ac:dyDescent="0.25">
      <c r="Q16" s="1"/>
      <c r="R16" s="1"/>
      <c r="S16" s="1"/>
      <c r="T16" s="1"/>
      <c r="U16" s="1"/>
      <c r="V16" s="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t="s">
        <v>134</v>
      </c>
      <c r="B17" t="s">
        <v>134</v>
      </c>
      <c r="C17" t="s">
        <v>134</v>
      </c>
      <c r="D17" t="s">
        <v>134</v>
      </c>
      <c r="E17" t="s">
        <v>134</v>
      </c>
      <c r="F17" t="s">
        <v>134</v>
      </c>
      <c r="G17" t="s">
        <v>134</v>
      </c>
      <c r="H17" t="s">
        <v>134</v>
      </c>
      <c r="I17" t="s">
        <v>134</v>
      </c>
      <c r="J17" t="s">
        <v>134</v>
      </c>
      <c r="K17" t="s">
        <v>134</v>
      </c>
      <c r="L17" t="s">
        <v>134</v>
      </c>
      <c r="M17" t="s">
        <v>134</v>
      </c>
      <c r="N17" t="s">
        <v>134</v>
      </c>
      <c r="O17" t="s">
        <v>134</v>
      </c>
      <c r="P17" t="s">
        <v>134</v>
      </c>
      <c r="Q17" s="2">
        <f>SUM(Q2:Q16)</f>
        <v>86556515</v>
      </c>
      <c r="R17" s="2">
        <f>SUM(R2:R16)</f>
        <v>2829778</v>
      </c>
      <c r="S17" s="2">
        <f>SUM(S2:S16)</f>
        <v>2100000</v>
      </c>
      <c r="T17" s="2">
        <f>SUM(T2:T16)</f>
        <v>94106132</v>
      </c>
      <c r="U17" s="2">
        <f>SUM(U2:U16)</f>
        <v>400000</v>
      </c>
      <c r="V17" s="15">
        <f>SUM(V2:V16)</f>
        <v>185992425</v>
      </c>
      <c r="W17" s="2">
        <f>SUM(W2:W16)</f>
        <v>50000</v>
      </c>
      <c r="X17" s="2">
        <f>SUM(X2:X16)</f>
        <v>50000</v>
      </c>
      <c r="Y17" s="2">
        <f>SUM(Y2:Y16)</f>
        <v>4928905</v>
      </c>
      <c r="Z17" s="2">
        <f>SUM(Z2:Z16)</f>
        <v>0</v>
      </c>
      <c r="AA17" s="2">
        <f>SUM(AA2:AA16)</f>
        <v>340219</v>
      </c>
      <c r="AB17" s="2">
        <f>SUM(AB2:AB16)</f>
        <v>0</v>
      </c>
      <c r="AC17" s="2">
        <f>SUM(AC2:AC16)</f>
        <v>516955</v>
      </c>
      <c r="AD17" s="2">
        <f>SUM(AD2:AD16)</f>
        <v>2615381</v>
      </c>
      <c r="AE17" s="2">
        <f>SUM(AE2:AE16)</f>
        <v>773746</v>
      </c>
      <c r="AF17" s="2">
        <f>SUM(AF2:AF16)</f>
        <v>0</v>
      </c>
      <c r="AG17" s="2">
        <f>SUM(AG2:AG16)</f>
        <v>156302</v>
      </c>
      <c r="AH17" s="31">
        <f>SUM(AH2:AH16)</f>
        <v>48961544</v>
      </c>
      <c r="AI17" s="2">
        <f>SUM(AI2:AI16)</f>
        <v>0</v>
      </c>
      <c r="AJ17" s="36">
        <f>SUM(AJ2:AJ16)</f>
        <v>476834</v>
      </c>
      <c r="AK17" s="34">
        <f>SUM(AK2:AK16)</f>
        <v>56978357</v>
      </c>
      <c r="AL17" s="2">
        <f>SUM(AL2:AL16)</f>
        <v>0</v>
      </c>
      <c r="AM17" s="30">
        <f>SUM(AM2:AM16)</f>
        <v>177592</v>
      </c>
      <c r="AN17" s="2">
        <f>SUM(AN2:AN16)</f>
        <v>57632783</v>
      </c>
      <c r="AO17" s="27">
        <f>SUM(AO2:AO16)</f>
        <v>70116590</v>
      </c>
      <c r="AP17" s="2">
        <f>SUM(AP2:AP16)</f>
        <v>416158</v>
      </c>
      <c r="AQ17" s="2">
        <f>SUM(AQ2:AQ16)</f>
        <v>0</v>
      </c>
      <c r="AR17" s="2">
        <f>SUM(AR2:AR16)</f>
        <v>1051568</v>
      </c>
      <c r="AS17" s="2">
        <f>SUM(AS2:AS16)</f>
        <v>0</v>
      </c>
      <c r="AT17" s="2">
        <f>SUM(AT2:AT16)</f>
        <v>463932</v>
      </c>
      <c r="AU17" s="2">
        <f>SUM(AU2:AU16)</f>
        <v>0</v>
      </c>
      <c r="AV17" s="2">
        <f>SUM(AV2:AV16)</f>
        <v>796514</v>
      </c>
      <c r="AW17" s="2">
        <f>SUM(AW2:AW16)</f>
        <v>0</v>
      </c>
      <c r="AX17" s="2">
        <f>SUM(AX2:AX16)</f>
        <v>188770597</v>
      </c>
    </row>
    <row r="18" spans="1:50" x14ac:dyDescent="0.25">
      <c r="A18" t="s">
        <v>134</v>
      </c>
      <c r="B18" t="s">
        <v>134</v>
      </c>
      <c r="C18" t="s">
        <v>134</v>
      </c>
      <c r="D18" t="s">
        <v>134</v>
      </c>
      <c r="E18" t="s">
        <v>134</v>
      </c>
      <c r="F18" t="s">
        <v>134</v>
      </c>
      <c r="G18" t="s">
        <v>134</v>
      </c>
      <c r="H18" t="s">
        <v>134</v>
      </c>
      <c r="I18" t="s">
        <v>134</v>
      </c>
      <c r="J18" t="s">
        <v>134</v>
      </c>
      <c r="K18" t="s">
        <v>134</v>
      </c>
      <c r="L18" t="s">
        <v>134</v>
      </c>
      <c r="M18" t="s">
        <v>134</v>
      </c>
      <c r="N18" t="s">
        <v>134</v>
      </c>
      <c r="O18" t="s">
        <v>134</v>
      </c>
      <c r="P18" t="s">
        <v>134</v>
      </c>
      <c r="Q18" s="16" t="s">
        <v>154</v>
      </c>
      <c r="R18" s="16" t="s">
        <v>154</v>
      </c>
      <c r="S18" s="16" t="s">
        <v>154</v>
      </c>
      <c r="T18" t="s">
        <v>156</v>
      </c>
      <c r="U18" t="s">
        <v>156</v>
      </c>
      <c r="V18" t="s">
        <v>134</v>
      </c>
      <c r="W18" t="s">
        <v>134</v>
      </c>
      <c r="X18" t="s">
        <v>134</v>
      </c>
      <c r="Y18" t="s">
        <v>134</v>
      </c>
      <c r="Z18" t="s">
        <v>134</v>
      </c>
      <c r="AA18" t="s">
        <v>134</v>
      </c>
      <c r="AB18" t="s">
        <v>134</v>
      </c>
      <c r="AC18" t="s">
        <v>134</v>
      </c>
      <c r="AD18" t="s">
        <v>134</v>
      </c>
      <c r="AE18" t="s">
        <v>134</v>
      </c>
      <c r="AF18" t="s">
        <v>134</v>
      </c>
      <c r="AG18" t="s">
        <v>134</v>
      </c>
      <c r="AH18" t="s">
        <v>134</v>
      </c>
      <c r="AI18" t="s">
        <v>134</v>
      </c>
      <c r="AJ18" t="s">
        <v>134</v>
      </c>
      <c r="AK18" t="s">
        <v>134</v>
      </c>
      <c r="AL18" t="s">
        <v>134</v>
      </c>
      <c r="AM18" t="s">
        <v>134</v>
      </c>
      <c r="AN18" t="s">
        <v>134</v>
      </c>
      <c r="AO18" t="s">
        <v>134</v>
      </c>
      <c r="AP18" t="s">
        <v>134</v>
      </c>
      <c r="AQ18" t="s">
        <v>134</v>
      </c>
      <c r="AR18" t="s">
        <v>134</v>
      </c>
      <c r="AS18" t="s">
        <v>134</v>
      </c>
      <c r="AT18" t="s">
        <v>134</v>
      </c>
      <c r="AU18" t="s">
        <v>134</v>
      </c>
      <c r="AV18" t="s">
        <v>134</v>
      </c>
      <c r="AW18" t="s">
        <v>134</v>
      </c>
      <c r="AX18" t="s">
        <v>134</v>
      </c>
    </row>
    <row r="19" spans="1:50" x14ac:dyDescent="0.25">
      <c r="F19" s="5">
        <f>F21-AX17</f>
        <v>0</v>
      </c>
      <c r="T19" t="s">
        <v>155</v>
      </c>
      <c r="U19" t="s">
        <v>157</v>
      </c>
      <c r="W19" s="16" t="s">
        <v>154</v>
      </c>
      <c r="Y19">
        <v>2414</v>
      </c>
      <c r="AA19">
        <v>2414</v>
      </c>
      <c r="AC19">
        <v>2414</v>
      </c>
      <c r="AD19">
        <v>2414</v>
      </c>
      <c r="AE19">
        <v>2414</v>
      </c>
      <c r="AG19">
        <v>2414</v>
      </c>
      <c r="AH19">
        <v>2554</v>
      </c>
      <c r="AJ19">
        <v>2414</v>
      </c>
      <c r="AK19">
        <v>2411</v>
      </c>
      <c r="AM19">
        <v>2554</v>
      </c>
      <c r="AO19">
        <v>2411</v>
      </c>
      <c r="AP19">
        <v>6308</v>
      </c>
      <c r="AQ19" t="s">
        <v>159</v>
      </c>
    </row>
    <row r="20" spans="1:50" x14ac:dyDescent="0.25">
      <c r="B20" s="38" t="s">
        <v>152</v>
      </c>
      <c r="C20" s="37" t="s">
        <v>151</v>
      </c>
      <c r="E20" s="37" t="s">
        <v>153</v>
      </c>
      <c r="AJ20" t="s">
        <v>158</v>
      </c>
      <c r="AP20">
        <v>5213</v>
      </c>
      <c r="AQ20" t="s">
        <v>160</v>
      </c>
    </row>
    <row r="21" spans="1:50" x14ac:dyDescent="0.25">
      <c r="C21" s="4"/>
      <c r="D21" s="4"/>
      <c r="E21" s="4"/>
      <c r="F21" s="11">
        <f>SUM(F22:F46)</f>
        <v>188770597</v>
      </c>
      <c r="G21" s="11">
        <f>SUM(G22:G47)</f>
        <v>188770597</v>
      </c>
      <c r="H21" s="5">
        <f>F21-G21</f>
        <v>0</v>
      </c>
      <c r="I21" s="4"/>
      <c r="J21" s="4"/>
      <c r="K21" s="4"/>
      <c r="L21" s="4">
        <v>20</v>
      </c>
      <c r="M21" s="44" t="s">
        <v>135</v>
      </c>
      <c r="N21" s="44"/>
      <c r="O21" s="4"/>
      <c r="P21" s="4"/>
      <c r="Q21" s="4"/>
      <c r="R21" s="4"/>
      <c r="S21" s="4"/>
      <c r="T21" s="4"/>
      <c r="U21" s="4"/>
      <c r="V21" s="5">
        <f>+V2/30*$L$22</f>
        <v>365757.05562870699</v>
      </c>
      <c r="AP21">
        <v>5013</v>
      </c>
      <c r="AQ21" t="s">
        <v>161</v>
      </c>
    </row>
    <row r="22" spans="1:50" x14ac:dyDescent="0.25">
      <c r="B22">
        <v>5011</v>
      </c>
      <c r="C22" s="4" t="s">
        <v>136</v>
      </c>
      <c r="D22" s="6" t="s">
        <v>137</v>
      </c>
      <c r="E22" s="4">
        <v>7020201</v>
      </c>
      <c r="F22" s="19">
        <f>SUMIF($M$2:$M$15,D22,$Q$2:$Q$15)+SUMIF($M$2:$M$15,D22,$S$2:$S$15)+SUMIF($M$2:$M$15,D22,$R$2:$R$15)+SUMIF($M$2:$M$15,D22,$W$2:$W$15)</f>
        <v>43038322</v>
      </c>
      <c r="G22" s="20"/>
      <c r="H22" s="4"/>
      <c r="I22" s="4"/>
      <c r="J22" s="4"/>
      <c r="K22" s="4"/>
      <c r="L22" s="4">
        <v>1.6666666670000001</v>
      </c>
      <c r="M22" s="44" t="s">
        <v>138</v>
      </c>
      <c r="N22" s="44"/>
      <c r="O22" s="4"/>
      <c r="P22" s="4"/>
      <c r="Q22" s="4"/>
      <c r="R22" s="4"/>
      <c r="S22" s="4"/>
      <c r="T22" s="4"/>
      <c r="U22" s="4"/>
      <c r="V22" s="5">
        <f>+V3/30*$L$22</f>
        <v>374886.66674164403</v>
      </c>
      <c r="AP22">
        <v>6303</v>
      </c>
      <c r="AQ22" t="s">
        <v>162</v>
      </c>
    </row>
    <row r="23" spans="1:50" x14ac:dyDescent="0.25">
      <c r="B23">
        <v>5012</v>
      </c>
      <c r="C23" s="4" t="s">
        <v>19</v>
      </c>
      <c r="D23" s="6" t="s">
        <v>137</v>
      </c>
      <c r="E23" s="4">
        <v>7020202</v>
      </c>
      <c r="F23" s="23">
        <f>SUMIF($M$2:$M$15,D23,$T$2:$T$15)+SUMIF($M$2:$M$15,D23,$U$2:$U$15)</f>
        <v>400000</v>
      </c>
      <c r="G23" s="2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>
        <f>+V4/30*$L$22</f>
        <v>284354.27783464867</v>
      </c>
    </row>
    <row r="24" spans="1:50" x14ac:dyDescent="0.25">
      <c r="B24">
        <v>5013</v>
      </c>
      <c r="C24" s="4" t="s">
        <v>24</v>
      </c>
      <c r="D24" s="6" t="s">
        <v>137</v>
      </c>
      <c r="E24" s="4">
        <v>7020203</v>
      </c>
      <c r="F24" s="26">
        <f>SUMIF($M$2:$M$15,D24,$AR$2:$AR$15)+SUMIF($M$2:$M$15,D24,$AP$2:$AP$15)+SUMIF($M$2:$M$15,D24,$AV$2:$AV$15)+SUMIF($M$2:$M$15,D24,$AT$2:$AT$15)</f>
        <v>1504002</v>
      </c>
      <c r="G24" s="2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5">
        <f>+V12/30*$L$22</f>
        <v>436229.2778650237</v>
      </c>
    </row>
    <row r="25" spans="1:50" x14ac:dyDescent="0.25">
      <c r="B25">
        <v>5015</v>
      </c>
      <c r="C25" s="4" t="s">
        <v>139</v>
      </c>
      <c r="D25" s="6" t="s">
        <v>137</v>
      </c>
      <c r="E25" s="4">
        <v>7020204</v>
      </c>
      <c r="F25" s="21"/>
      <c r="G25" s="20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5">
        <f>+V8/30*$L$22</f>
        <v>102895.94446502364</v>
      </c>
    </row>
    <row r="26" spans="1:50" x14ac:dyDescent="0.25">
      <c r="B26">
        <v>6306</v>
      </c>
      <c r="C26" s="4" t="s">
        <v>136</v>
      </c>
      <c r="D26" s="7" t="s">
        <v>140</v>
      </c>
      <c r="E26" s="4">
        <v>8050117</v>
      </c>
      <c r="F26" s="19">
        <f>SUMIF($M$2:$M$15,D26,$Q$2:$Q$15)+SUMIF($M$2:$M$15,D26,$S$2:$S$15)+SUMIF($M$2:$M$15,D26,$R$2:$R$15)+SUMIF($M$2:$M$15,D26,$W$2:$W$15)</f>
        <v>11543881</v>
      </c>
      <c r="G26" s="2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>
        <f>+V11/30*$L$22</f>
        <v>406373.72230349702</v>
      </c>
    </row>
    <row r="27" spans="1:50" x14ac:dyDescent="0.25">
      <c r="B27">
        <v>6307</v>
      </c>
      <c r="C27" s="4" t="s">
        <v>19</v>
      </c>
      <c r="D27" s="7" t="s">
        <v>140</v>
      </c>
      <c r="E27" s="4">
        <v>8050118</v>
      </c>
      <c r="F27" s="23">
        <f>SUMIF($M$2:$M$15,D27,$T$2:$T$15)+SUMIF($M$2:$M$15,D27,$U$2:$U$15)</f>
        <v>0</v>
      </c>
      <c r="G27" s="2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>
        <f>+V6/30*$L$22</f>
        <v>398729.2778575237</v>
      </c>
    </row>
    <row r="28" spans="1:50" x14ac:dyDescent="0.25">
      <c r="B28">
        <v>8018</v>
      </c>
      <c r="C28" s="4" t="s">
        <v>163</v>
      </c>
      <c r="D28" s="7" t="s">
        <v>140</v>
      </c>
      <c r="E28" s="4">
        <v>8050122</v>
      </c>
      <c r="F28" s="42">
        <f>SUMIF($M$2:$M$15,D28,$T$2:$T$15)</f>
        <v>0</v>
      </c>
      <c r="G28" s="2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/>
    </row>
    <row r="29" spans="1:50" x14ac:dyDescent="0.25">
      <c r="B29">
        <v>6308</v>
      </c>
      <c r="C29" s="4" t="s">
        <v>24</v>
      </c>
      <c r="D29" s="7" t="s">
        <v>140</v>
      </c>
      <c r="E29" s="4">
        <v>8050119</v>
      </c>
      <c r="F29" s="26">
        <f>SUMIF($M$2:$M$15,D29,$AR$2:$AR$15)+SUMIF($M$2:$M$15,D29,$AP$2:$AP$15)+SUMIF($M$2:$M$15,D29,$AV$2:$AV$15)+SUMIF($M$2:$M$15,D29,$AT$2:$AT$15)</f>
        <v>467588</v>
      </c>
      <c r="G29" s="2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>
        <f>+V7/30*$L$22</f>
        <v>116784.8333566903</v>
      </c>
    </row>
    <row r="30" spans="1:50" x14ac:dyDescent="0.25">
      <c r="B30">
        <v>6326</v>
      </c>
      <c r="C30" s="4" t="s">
        <v>139</v>
      </c>
      <c r="D30" s="7" t="s">
        <v>140</v>
      </c>
      <c r="E30" s="4">
        <v>8050121</v>
      </c>
      <c r="F30" s="21"/>
      <c r="G30" s="2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5">
        <f>+V15/30*$L$22</f>
        <v>325118.16673169029</v>
      </c>
    </row>
    <row r="31" spans="1:50" x14ac:dyDescent="0.25">
      <c r="C31" s="4"/>
      <c r="D31" s="8" t="s">
        <v>141</v>
      </c>
      <c r="E31" s="4"/>
      <c r="F31" s="19">
        <f>SUMIF($M$2:$M$15,D31,$Q$2:$Q$15)+SUMIF($M$2:$M$15,D31,$S$2:$S$15)+SUMIF($M$2:$M$15,D31,$R$2:$R$15)+SUMIF($M$2:$M$15,D31,$W$2:$W$15)</f>
        <v>18192859</v>
      </c>
      <c r="G31" s="2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5">
        <f>+V14/30*$L$22</f>
        <v>169895.94447842365</v>
      </c>
    </row>
    <row r="32" spans="1:50" x14ac:dyDescent="0.25">
      <c r="C32" s="4"/>
      <c r="D32" s="8" t="s">
        <v>141</v>
      </c>
      <c r="E32" s="4"/>
      <c r="F32" s="23">
        <f>SUMIF($M$2:$M$15,D32,$T$2:$T$15)+SUMIF($M$2:$M$15,D32,$U$2:$U$15)</f>
        <v>0</v>
      </c>
      <c r="G32" s="2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>
        <f>+V9/30*$L$22</f>
        <v>281507.05561185698</v>
      </c>
    </row>
    <row r="33" spans="2:22" x14ac:dyDescent="0.25">
      <c r="C33" s="4"/>
      <c r="D33" s="8" t="s">
        <v>141</v>
      </c>
      <c r="E33" s="4"/>
      <c r="F33" s="26">
        <f>SUMIF($M$2:$M$15,D33,$AR$2:$AR$15)+SUMIF($M$2:$M$15,D33,$AP$2:$AP$15)+SUMIF($M$2:$M$15,D33,$AV$2:$AV$15)+SUMIF($M$2:$M$15,D33,$AT$2:$AT$15)</f>
        <v>216673</v>
      </c>
      <c r="G33" s="2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>
        <f>+V13/30*$L$22</f>
        <v>5869269.9456182988</v>
      </c>
    </row>
    <row r="34" spans="2:22" x14ac:dyDescent="0.25">
      <c r="B34">
        <v>6301</v>
      </c>
      <c r="C34" s="4" t="s">
        <v>136</v>
      </c>
      <c r="D34" s="9" t="s">
        <v>142</v>
      </c>
      <c r="E34" s="4">
        <v>8050101</v>
      </c>
      <c r="F34" s="19">
        <f>SUMIF($M$2:$M$15,D34,$Q$2:$Q$15)+SUMIF($M$2:$M$15,D34,$S$2:$S$15)+SUMIF($M$2:$M$15,D34,$R$2:$R$15)+SUMIF($M$2:$M$15,D34,$W$2:$W$15)</f>
        <v>16659104</v>
      </c>
      <c r="G34" s="2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5">
        <f>+V5/30*$L$22</f>
        <v>190395.94448252366</v>
      </c>
    </row>
    <row r="35" spans="2:22" x14ac:dyDescent="0.25">
      <c r="B35">
        <v>6302</v>
      </c>
      <c r="C35" s="4" t="s">
        <v>19</v>
      </c>
      <c r="D35" s="9" t="s">
        <v>142</v>
      </c>
      <c r="E35" s="4">
        <v>8050102</v>
      </c>
      <c r="F35" s="23">
        <f>SUMIF($M$2:$M$15,D35,$T$2:$T$15)+SUMIF($M$2:$M$15,D35,$U$2:$U$15)</f>
        <v>94106132</v>
      </c>
      <c r="G35" s="2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10" t="s">
        <v>143</v>
      </c>
      <c r="V35" s="11">
        <f>SUM(V21:V34)</f>
        <v>9322198.1129755527</v>
      </c>
    </row>
    <row r="36" spans="2:22" x14ac:dyDescent="0.25">
      <c r="B36">
        <v>6303</v>
      </c>
      <c r="C36" s="4" t="s">
        <v>24</v>
      </c>
      <c r="D36" s="9" t="s">
        <v>142</v>
      </c>
      <c r="E36" s="4">
        <v>8050106</v>
      </c>
      <c r="F36" s="26">
        <f>SUMIF($M$2:$M$15,D36,$AR$2:$AR$15)+SUMIF($M$2:$M$15,D36,$AP$2:$AP$15)+SUMIF($M$2:$M$15,D36,$AV$2:$AV$15)+SUMIF($M$2:$M$15,D36,$AT$2:$AT$15)</f>
        <v>432490</v>
      </c>
      <c r="G36" s="2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2:22" x14ac:dyDescent="0.25">
      <c r="B37">
        <v>6327</v>
      </c>
      <c r="C37" s="4" t="s">
        <v>139</v>
      </c>
      <c r="D37" s="9" t="s">
        <v>142</v>
      </c>
      <c r="E37" s="4">
        <v>8050120</v>
      </c>
      <c r="F37" s="20"/>
      <c r="G37" s="2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2:22" x14ac:dyDescent="0.25">
      <c r="B38">
        <v>5211</v>
      </c>
      <c r="C38" s="4" t="s">
        <v>136</v>
      </c>
      <c r="D38" s="12" t="s">
        <v>144</v>
      </c>
      <c r="E38" s="4">
        <v>7020205</v>
      </c>
      <c r="F38" s="19">
        <f>SUMIF($M$2:$M$15,D38,$Q$2:$Q$15)+SUMIF($M$2:$M$15,D38,$S$2:$S$15)+SUMIF($M$2:$M$15,D38,$R$2:$R$15)+SUMIF($M$2:$M$15,D38,$W$2:$W$15)</f>
        <v>2102127</v>
      </c>
      <c r="G38" s="2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2:22" x14ac:dyDescent="0.25">
      <c r="B39">
        <v>5211</v>
      </c>
      <c r="C39" s="4" t="s">
        <v>19</v>
      </c>
      <c r="D39" s="12" t="s">
        <v>144</v>
      </c>
      <c r="E39" s="4">
        <v>7020206</v>
      </c>
      <c r="F39" s="23">
        <f>SUMIF($M$2:$M$15,D39,$U$2:$U$15)</f>
        <v>0</v>
      </c>
      <c r="G39" s="20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2:22" x14ac:dyDescent="0.25">
      <c r="B40">
        <v>5213</v>
      </c>
      <c r="C40" s="4" t="s">
        <v>24</v>
      </c>
      <c r="D40" s="12" t="s">
        <v>144</v>
      </c>
      <c r="E40" s="4">
        <v>7020207</v>
      </c>
      <c r="F40" s="26">
        <f>SUMIF($M$2:$M$15,D40,$AR$2:$AR$15)+SUMIF($M$2:$M$15,D40,$AP$2:$AP$15)+SUMIF($M$2:$M$15,D40,$AV$2:$AV$15)+SUMIF($M$2:$M$15,D40,$AT$2:$AT$15)</f>
        <v>107419</v>
      </c>
      <c r="G40" s="20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2:22" x14ac:dyDescent="0.25">
      <c r="B41">
        <v>5215</v>
      </c>
      <c r="C41" s="4" t="s">
        <v>139</v>
      </c>
      <c r="D41" s="12" t="s">
        <v>144</v>
      </c>
      <c r="E41" s="4">
        <v>7020208</v>
      </c>
      <c r="F41" s="20"/>
      <c r="G41" s="20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2:22" x14ac:dyDescent="0.25">
      <c r="B42">
        <v>2414</v>
      </c>
      <c r="C42" s="4" t="s">
        <v>145</v>
      </c>
      <c r="D42" s="4"/>
      <c r="E42" s="4">
        <v>3031302</v>
      </c>
      <c r="F42" s="20"/>
      <c r="G42" s="21">
        <f>SUM(Y17:AG17,AZ16:BG16)+SUM(AP17:AV17)</f>
        <v>12059680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2:22" x14ac:dyDescent="0.25">
      <c r="B43">
        <v>2414</v>
      </c>
      <c r="C43" s="4" t="s">
        <v>150</v>
      </c>
      <c r="D43" s="4"/>
      <c r="E43" s="4">
        <v>8050305</v>
      </c>
      <c r="F43" s="20"/>
      <c r="G43" s="35">
        <f>+AJ17</f>
        <v>476834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2:22" x14ac:dyDescent="0.25">
      <c r="B44">
        <v>2411</v>
      </c>
      <c r="C44" s="4" t="s">
        <v>146</v>
      </c>
      <c r="D44" s="4"/>
      <c r="E44" s="4">
        <v>3031204</v>
      </c>
      <c r="F44" s="20"/>
      <c r="G44" s="28">
        <f>+AO17</f>
        <v>70116590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2:22" x14ac:dyDescent="0.25">
      <c r="B45" s="43">
        <v>2554</v>
      </c>
      <c r="C45" s="4" t="s">
        <v>147</v>
      </c>
      <c r="D45" s="4"/>
      <c r="E45" s="4">
        <v>3031505</v>
      </c>
      <c r="F45" s="20"/>
      <c r="G45" s="29">
        <f>+AM17</f>
        <v>177592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2:22" x14ac:dyDescent="0.25">
      <c r="B46" s="43">
        <v>2554</v>
      </c>
      <c r="C46" s="4" t="s">
        <v>148</v>
      </c>
      <c r="D46" s="4"/>
      <c r="E46" s="4">
        <v>3031501</v>
      </c>
      <c r="F46" s="20"/>
      <c r="G46" s="32">
        <f>+AH17</f>
        <v>48961544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2:22" x14ac:dyDescent="0.25">
      <c r="B47">
        <v>2411</v>
      </c>
      <c r="C47" s="4" t="s">
        <v>149</v>
      </c>
      <c r="E47" s="4">
        <v>3031204</v>
      </c>
      <c r="F47" s="22"/>
      <c r="G47" s="33">
        <f>+AK17</f>
        <v>56978357</v>
      </c>
    </row>
  </sheetData>
  <mergeCells count="2">
    <mergeCell ref="M21:N21"/>
    <mergeCell ref="M22:N22"/>
  </mergeCells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AE3EE2-15F4-4153-B960-D4C3E10AC8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DFC9A6-5671-4F33-B9CB-09906F5E6AA9}"/>
</file>

<file path=customXml/itemProps3.xml><?xml version="1.0" encoding="utf-8"?>
<ds:datastoreItem xmlns:ds="http://schemas.openxmlformats.org/officeDocument/2006/customXml" ds:itemID="{8B6D972D-5625-4992-AE72-C9C705440D2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2025-04-22T22:31:07Z</dcterms:created>
  <dcterms:modified xsi:type="dcterms:W3CDTF">2025-07-01T22:38:42Z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