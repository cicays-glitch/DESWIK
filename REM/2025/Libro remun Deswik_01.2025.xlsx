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REM/"/>
    </mc:Choice>
  </mc:AlternateContent>
  <xr:revisionPtr revIDLastSave="3" documentId="8_{33010930-FAD0-4112-BEFE-5AE56E575028}" xr6:coauthVersionLast="47" xr6:coauthVersionMax="47" xr10:uidLastSave="{EB044CE0-F0F4-45F7-9A42-3EDCA51C7263}"/>
  <bookViews>
    <workbookView minimized="1" xWindow="-25515" yWindow="4410" windowWidth="25545" windowHeight="9990" xr2:uid="{00000000-000D-0000-FFFF-FFFF00000000}"/>
  </bookViews>
  <sheets>
    <sheet name="01.2025" sheetId="1" r:id="rId1"/>
  </sheets>
  <definedNames>
    <definedName name="_xlnm._FilterDatabase" localSheetId="0" hidden="1">'01.2025'!$A$1:$AM$15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29" i="1"/>
  <c r="F25" i="1"/>
  <c r="F21" i="1"/>
  <c r="L28" i="1" l="1"/>
  <c r="K28" i="1"/>
  <c r="J28" i="1"/>
  <c r="I28" i="1"/>
  <c r="L27" i="1"/>
  <c r="K27" i="1"/>
  <c r="J27" i="1"/>
  <c r="I27" i="1"/>
  <c r="L26" i="1"/>
  <c r="K26" i="1"/>
  <c r="J26" i="1"/>
  <c r="L25" i="1"/>
  <c r="K25" i="1"/>
  <c r="J25" i="1"/>
  <c r="I25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L21" i="1"/>
  <c r="F39" i="1"/>
  <c r="F38" i="1"/>
  <c r="F37" i="1"/>
  <c r="F35" i="1"/>
  <c r="F31" i="1"/>
  <c r="F27" i="1"/>
  <c r="F23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G44" i="1" s="1"/>
  <c r="AF17" i="1"/>
  <c r="G43" i="1" s="1"/>
  <c r="AG17" i="1"/>
  <c r="AH17" i="1"/>
  <c r="G42" i="1" s="1"/>
  <c r="AI17" i="1"/>
  <c r="AJ17" i="1"/>
  <c r="AK17" i="1"/>
  <c r="AL17" i="1"/>
  <c r="AM17" i="1"/>
  <c r="Q17" i="1"/>
  <c r="AE22" i="1" l="1"/>
  <c r="G41" i="1"/>
  <c r="G20" i="1" s="1"/>
  <c r="V37" i="1"/>
  <c r="F20" i="1"/>
  <c r="H20" i="1" l="1"/>
</calcChain>
</file>

<file path=xl/sharedStrings.xml><?xml version="1.0" encoding="utf-8"?>
<sst xmlns="http://schemas.openxmlformats.org/spreadsheetml/2006/main" count="282" uniqueCount="139">
  <si>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</si>
  <si>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</si>
  <si>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</si>
  <si>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</si>
  <si>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</si>
  <si>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</si>
  <si>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</si>
  <si>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</si>
  <si>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</si>
  <si>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</si>
  <si>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</si>
  <si>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</si>
  <si>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</si>
  <si>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</si>
  <si>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</si>
  <si>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</si>
  <si>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</si>
  <si>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</si>
  <si>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</si>
  <si>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</si>
  <si>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Bono Desempeño</t>
  </si>
  <si>
    <t>Suma de Haberes Afectos</t>
  </si>
  <si>
    <t>Asignacion teletrabajo</t>
  </si>
  <si>
    <t>Suma de Haberes Exentos</t>
  </si>
  <si>
    <t>AFP</t>
  </si>
  <si>
    <t>Seguro Cesantia Trabajador</t>
  </si>
  <si>
    <t>Salud 7% (Fonasa)</t>
  </si>
  <si>
    <t>Isapre</t>
  </si>
  <si>
    <t>Isapre sobre 7%</t>
  </si>
  <si>
    <t>APV (Régimen A)</t>
  </si>
  <si>
    <t>Impuestos</t>
  </si>
  <si>
    <t>Retención Préstamo Solidario SII</t>
  </si>
  <si>
    <t>Suma de Descuentos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</si>
  <si>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</si>
  <si>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</si>
  <si>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</si>
  <si>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</si>
  <si>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</si>
  <si>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</si>
  <si>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</si>
  <si>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</si>
  <si>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</si>
  <si>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</si>
  <si>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</si>
  <si>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</si>
  <si>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</si>
  <si>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</si>
  <si>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</si>
  <si>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</si>
  <si>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</si>
  <si>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</si>
  <si>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</si>
  <si>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</si>
  <si>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</si>
  <si>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</si>
  <si>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</si>
  <si>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Consulting</t>
  </si>
  <si>
    <t>15460999-7</t>
  </si>
  <si>
    <t>KATHERINE MARLENE</t>
  </si>
  <si>
    <t>BOLLMANN</t>
  </si>
  <si>
    <t>NILIAN</t>
  </si>
  <si>
    <t>01/04/2020</t>
  </si>
  <si>
    <t>Mkt</t>
  </si>
  <si>
    <t>48226199-K</t>
  </si>
  <si>
    <t>Lucas Guilherme</t>
  </si>
  <si>
    <t>Cardoso</t>
  </si>
  <si>
    <t>Bittencourt</t>
  </si>
  <si>
    <t>01/11/2024</t>
  </si>
  <si>
    <t>Uno</t>
  </si>
  <si>
    <t>Fonasa</t>
  </si>
  <si>
    <t>17533327-4</t>
  </si>
  <si>
    <t>JUAN SEBASTIAN</t>
  </si>
  <si>
    <t>CARVALLO</t>
  </si>
  <si>
    <t>JIMÉNEZ</t>
  </si>
  <si>
    <t>01/06/2017</t>
  </si>
  <si>
    <t>Modelo</t>
  </si>
  <si>
    <t>VidaTres</t>
  </si>
  <si>
    <t>16475670-K</t>
  </si>
  <si>
    <t>CAROL TATIANA</t>
  </si>
  <si>
    <t>CONTRERAS</t>
  </si>
  <si>
    <t>MUÑOZ</t>
  </si>
  <si>
    <t>01/12/2023</t>
  </si>
  <si>
    <t>26047681-5</t>
  </si>
  <si>
    <t>ANTONIETA</t>
  </si>
  <si>
    <t>GONZALEZ</t>
  </si>
  <si>
    <t>OLIVEROS</t>
  </si>
  <si>
    <t>31/07/2017</t>
  </si>
  <si>
    <t>Planvital</t>
  </si>
  <si>
    <t>33694292-6</t>
  </si>
  <si>
    <t>CESAR FELIPE</t>
  </si>
  <si>
    <t>MACHADO</t>
  </si>
  <si>
    <t>RIBEIRO LOPES</t>
  </si>
  <si>
    <t>14/07/2023</t>
  </si>
  <si>
    <t>Admin/Sales</t>
  </si>
  <si>
    <t>17308225-8</t>
  </si>
  <si>
    <t>FRANCISCO</t>
  </si>
  <si>
    <t>MIRANDA</t>
  </si>
  <si>
    <t>RIADI</t>
  </si>
  <si>
    <t>14/09/2017</t>
  </si>
  <si>
    <t>Habitat</t>
  </si>
  <si>
    <t>Banmedica</t>
  </si>
  <si>
    <t>15633296-8</t>
  </si>
  <si>
    <t>JORGE</t>
  </si>
  <si>
    <t>MORIS</t>
  </si>
  <si>
    <t>JORDÁN</t>
  </si>
  <si>
    <t>15/05/2017</t>
  </si>
  <si>
    <t>28095040-8</t>
  </si>
  <si>
    <t>MARCELO</t>
  </si>
  <si>
    <t>PENNA</t>
  </si>
  <si>
    <t>SANTOS</t>
  </si>
  <si>
    <t>01/01/2023</t>
  </si>
  <si>
    <t>Esencial</t>
  </si>
  <si>
    <t>17919634-4</t>
  </si>
  <si>
    <t>SIRONVALLE</t>
  </si>
  <si>
    <t>NAVARRETE</t>
  </si>
  <si>
    <t>02/12/2019</t>
  </si>
  <si>
    <t>25221995-1</t>
  </si>
  <si>
    <t>CAITLIN JOY</t>
  </si>
  <si>
    <t>WHEAT</t>
  </si>
  <si>
    <t>.</t>
  </si>
  <si>
    <t>Consalud</t>
  </si>
  <si>
    <t>25111494-3</t>
  </si>
  <si>
    <t>Caroline</t>
  </si>
  <si>
    <t>Zorzi</t>
  </si>
  <si>
    <t>04/11/2024</t>
  </si>
  <si>
    <t>04/05/2025</t>
  </si>
  <si>
    <t xml:space="preserve"> </t>
  </si>
  <si>
    <t>Dias de vacaciones</t>
  </si>
  <si>
    <t>Salario</t>
  </si>
  <si>
    <t>Provisión Mensual</t>
  </si>
  <si>
    <t>Bono</t>
  </si>
  <si>
    <t>ISAPRE</t>
  </si>
  <si>
    <t>Admin - Admin/Sales</t>
  </si>
  <si>
    <t>Support</t>
  </si>
  <si>
    <t>Total</t>
  </si>
  <si>
    <t>Previred por pagar</t>
  </si>
  <si>
    <t>Remuneraciones por pagar</t>
  </si>
  <si>
    <t>Impuesto adicional prestamo</t>
  </si>
  <si>
    <t>Impuesto unico 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</si>
</sst>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545454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/>
    <xf numFmtId="42" fontId="0" fillId="0" borderId="0" xfId="1" applyFont="1"/>
    <xf numFmtId="42" fontId="2" fillId="0" borderId="0" xfId="1" applyFont="1"/>
    <xf numFmtId="42" fontId="0" fillId="0" borderId="0" xfId="0" applyNumberFormat="1"/>
    <xf numFmtId="3" fontId="3" fillId="0" borderId="0" xfId="0" applyNumberFormat="1" applyFont="1"/>
    <xf numFmtId="41" fontId="0" fillId="0" borderId="0" xfId="2" applyFont="1"/>
    <xf numFmtId="4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41" fontId="2" fillId="0" borderId="0" xfId="0" applyNumberFormat="1" applyFont="1"/>
    <xf numFmtId="42" fontId="0" fillId="7" borderId="0" xfId="1" applyFont="1" applyFill="1"/>
    <xf numFmtId="0" fontId="0" fillId="0" borderId="1" xfId="0" applyBorder="1"/>
    <xf numFmtId="0" fontId="0" fillId="0" borderId="0" xfId="0" applyAlignment="1">
      <alignment horizontal="center"/>
    </xf>
    <xf numFmtId="0" fontId="0" fillId="7" borderId="0" xfId="0" applyFill="1"/>
  </cellXfs>
  <cellStyles count="3">
    <cellStyle name="Millares [0]" xfId="2" builtinId="6"/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4"/>
  <sheetViews>
    <sheetView showGridLines="0" tabSelected="1" zoomScale="90" zoomScaleNormal="90" workbookViewId="0">
      <pane xSplit="7" ySplit="19" topLeftCell="H20" activePane="bottomRight" state="frozen"/>
      <selection pane="topRight" activeCell="H1" sqref="H1"/>
      <selection pane="bottomLeft" activeCell="A20" sqref="A20"/>
      <selection pane="bottomRight" activeCell="E18" sqref="E18"/>
    </sheetView>
  </sheetViews>
  <sheetFormatPr baseColWidth="10" defaultColWidth="8.85546875" defaultRowHeight="15" x14ac:dyDescent="0.25"/>
  <cols>
    <col min="1" max="1" width="12.42578125" customWidth="1"/>
    <col min="2" max="2" width="18.7109375" customWidth="1"/>
    <col min="3" max="3" width="10.85546875" customWidth="1"/>
    <col min="4" max="4" width="16.28515625" customWidth="1"/>
    <col min="5" max="5" width="13.28515625" customWidth="1"/>
    <col min="6" max="6" width="12.42578125" customWidth="1"/>
    <col min="7" max="7" width="14.7109375" customWidth="1"/>
    <col min="9" max="9" width="17.7109375" bestFit="1" customWidth="1"/>
    <col min="12" max="12" width="11" customWidth="1"/>
    <col min="17" max="17" width="16.7109375" bestFit="1" customWidth="1"/>
    <col min="18" max="19" width="15.5703125" bestFit="1" customWidth="1"/>
    <col min="20" max="21" width="9.42578125" bestFit="1" customWidth="1"/>
    <col min="22" max="22" width="16.7109375" bestFit="1" customWidth="1"/>
    <col min="23" max="24" width="14" bestFit="1" customWidth="1"/>
    <col min="25" max="25" width="15.5703125" bestFit="1" customWidth="1"/>
    <col min="26" max="27" width="14" bestFit="1" customWidth="1"/>
    <col min="28" max="28" width="15.5703125" bestFit="1" customWidth="1"/>
    <col min="29" max="30" width="14" bestFit="1" customWidth="1"/>
    <col min="31" max="31" width="16.7109375" bestFit="1" customWidth="1"/>
    <col min="32" max="33" width="14" bestFit="1" customWidth="1"/>
    <col min="34" max="34" width="16.7109375" bestFit="1" customWidth="1"/>
    <col min="35" max="35" width="14" bestFit="1" customWidth="1"/>
    <col min="36" max="36" width="15.5703125" bestFit="1" customWidth="1"/>
    <col min="37" max="38" width="14" bestFit="1" customWidth="1"/>
    <col min="39" max="39" width="16.71093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I2" t="s">
        <v>46</v>
      </c>
      <c r="J2" t="s">
        <v>47</v>
      </c>
      <c r="K2">
        <v>6.33</v>
      </c>
      <c r="L2">
        <v>5665000</v>
      </c>
      <c r="M2" s="7" t="s">
        <v>48</v>
      </c>
      <c r="N2">
        <v>30</v>
      </c>
      <c r="O2">
        <v>0</v>
      </c>
      <c r="P2">
        <v>0</v>
      </c>
      <c r="Q2" s="1">
        <v>5665000</v>
      </c>
      <c r="R2" s="1">
        <v>202073</v>
      </c>
      <c r="S2" s="1">
        <v>150000</v>
      </c>
      <c r="T2" s="1">
        <v>0</v>
      </c>
      <c r="U2" s="1">
        <v>0</v>
      </c>
      <c r="V2" s="1">
        <v>6017073</v>
      </c>
      <c r="W2" s="1">
        <v>0</v>
      </c>
      <c r="X2" s="1">
        <v>0</v>
      </c>
      <c r="Y2" s="1">
        <v>385882</v>
      </c>
      <c r="Z2" s="1">
        <v>30354</v>
      </c>
      <c r="AA2" s="1">
        <v>0</v>
      </c>
      <c r="AB2" s="1">
        <v>235911</v>
      </c>
      <c r="AC2" s="1">
        <v>7139</v>
      </c>
      <c r="AD2" s="1">
        <v>0</v>
      </c>
      <c r="AE2" s="1">
        <v>482774</v>
      </c>
      <c r="AF2" s="1">
        <v>160948</v>
      </c>
      <c r="AG2" s="1">
        <v>160948</v>
      </c>
      <c r="AH2" s="14">
        <v>4714065</v>
      </c>
      <c r="AI2" s="1">
        <v>31342</v>
      </c>
      <c r="AJ2" s="1">
        <v>80945</v>
      </c>
      <c r="AK2" s="1">
        <v>40473</v>
      </c>
      <c r="AL2" s="1">
        <v>46508</v>
      </c>
      <c r="AM2" s="1">
        <v>6216341</v>
      </c>
    </row>
    <row r="3" spans="1:39" x14ac:dyDescent="0.25">
      <c r="A3" t="s">
        <v>39</v>
      </c>
      <c r="B3" t="s">
        <v>40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I3" t="s">
        <v>54</v>
      </c>
      <c r="J3" t="s">
        <v>55</v>
      </c>
      <c r="K3">
        <v>11.54</v>
      </c>
      <c r="L3">
        <v>6250000</v>
      </c>
      <c r="M3" s="7" t="s">
        <v>56</v>
      </c>
      <c r="N3">
        <v>30</v>
      </c>
      <c r="O3">
        <v>0</v>
      </c>
      <c r="P3">
        <v>0</v>
      </c>
      <c r="Q3" s="1">
        <v>6250000</v>
      </c>
      <c r="R3" s="1">
        <v>202073</v>
      </c>
      <c r="S3" s="1">
        <v>150000</v>
      </c>
      <c r="T3" s="1">
        <v>0</v>
      </c>
      <c r="U3" s="1">
        <v>0</v>
      </c>
      <c r="V3" s="1">
        <v>6602073</v>
      </c>
      <c r="W3" s="1">
        <v>0</v>
      </c>
      <c r="X3" s="1">
        <v>0</v>
      </c>
      <c r="Y3" s="1">
        <v>385545</v>
      </c>
      <c r="Z3" s="1">
        <v>30354</v>
      </c>
      <c r="AA3" s="1">
        <v>0</v>
      </c>
      <c r="AB3" s="1">
        <v>235911</v>
      </c>
      <c r="AC3" s="1">
        <v>206892</v>
      </c>
      <c r="AD3" s="1">
        <v>0</v>
      </c>
      <c r="AE3" s="1">
        <v>617401</v>
      </c>
      <c r="AF3" s="1">
        <v>0</v>
      </c>
      <c r="AG3" s="1">
        <v>0</v>
      </c>
      <c r="AH3" s="14">
        <v>5125970</v>
      </c>
      <c r="AI3" s="1">
        <v>31342</v>
      </c>
      <c r="AJ3" s="1">
        <v>80945</v>
      </c>
      <c r="AK3" s="1">
        <v>40473</v>
      </c>
      <c r="AL3" s="1">
        <v>46508</v>
      </c>
      <c r="AM3" s="1">
        <v>6801341</v>
      </c>
    </row>
    <row r="4" spans="1:39" x14ac:dyDescent="0.25">
      <c r="A4" t="s">
        <v>39</v>
      </c>
      <c r="B4" t="s">
        <v>40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I4" t="s">
        <v>54</v>
      </c>
      <c r="J4" t="s">
        <v>55</v>
      </c>
      <c r="K4">
        <v>6.14</v>
      </c>
      <c r="L4">
        <v>4650000</v>
      </c>
      <c r="M4" s="7" t="s">
        <v>62</v>
      </c>
      <c r="N4">
        <v>30</v>
      </c>
      <c r="O4">
        <v>0.5</v>
      </c>
      <c r="P4">
        <v>0</v>
      </c>
      <c r="Q4" s="1">
        <v>4650000</v>
      </c>
      <c r="R4" s="1">
        <v>202073</v>
      </c>
      <c r="S4" s="1">
        <v>150000</v>
      </c>
      <c r="T4" s="1">
        <v>0</v>
      </c>
      <c r="U4" s="1">
        <v>0</v>
      </c>
      <c r="V4" s="1">
        <v>5002073</v>
      </c>
      <c r="W4" s="1">
        <v>0</v>
      </c>
      <c r="X4" s="1">
        <v>0</v>
      </c>
      <c r="Y4" s="1">
        <v>385545</v>
      </c>
      <c r="Z4" s="1">
        <v>30012</v>
      </c>
      <c r="AA4" s="1">
        <v>0</v>
      </c>
      <c r="AB4" s="1">
        <v>235911</v>
      </c>
      <c r="AC4" s="1">
        <v>0</v>
      </c>
      <c r="AD4" s="1">
        <v>0</v>
      </c>
      <c r="AE4" s="1">
        <v>284575</v>
      </c>
      <c r="AF4" s="1">
        <v>0</v>
      </c>
      <c r="AG4" s="1">
        <v>0</v>
      </c>
      <c r="AH4" s="14">
        <v>4066030</v>
      </c>
      <c r="AI4" s="1">
        <v>31342</v>
      </c>
      <c r="AJ4" s="1">
        <v>80033</v>
      </c>
      <c r="AK4" s="1">
        <v>40017</v>
      </c>
      <c r="AL4" s="1">
        <v>46508</v>
      </c>
      <c r="AM4" s="1">
        <v>5199973</v>
      </c>
    </row>
    <row r="5" spans="1:39" x14ac:dyDescent="0.25">
      <c r="A5" t="s">
        <v>39</v>
      </c>
      <c r="B5" t="s">
        <v>40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I5" t="s">
        <v>68</v>
      </c>
      <c r="J5" t="s">
        <v>69</v>
      </c>
      <c r="L5">
        <v>3000000</v>
      </c>
      <c r="M5" s="7" t="s">
        <v>56</v>
      </c>
      <c r="N5">
        <v>30</v>
      </c>
      <c r="O5">
        <v>2</v>
      </c>
      <c r="P5">
        <v>0</v>
      </c>
      <c r="Q5" s="1">
        <v>3000000</v>
      </c>
      <c r="R5" s="1">
        <v>202073</v>
      </c>
      <c r="S5" s="1">
        <v>150000</v>
      </c>
      <c r="T5" s="1">
        <v>0</v>
      </c>
      <c r="U5" s="1">
        <v>0</v>
      </c>
      <c r="V5" s="1">
        <v>3352073</v>
      </c>
      <c r="W5" s="1">
        <v>0</v>
      </c>
      <c r="X5" s="1">
        <v>0</v>
      </c>
      <c r="Y5" s="1">
        <v>351632</v>
      </c>
      <c r="Z5" s="1">
        <v>20112</v>
      </c>
      <c r="AA5" s="1">
        <v>234645</v>
      </c>
      <c r="AB5" s="1">
        <v>0</v>
      </c>
      <c r="AC5" s="1">
        <v>0</v>
      </c>
      <c r="AD5" s="1">
        <v>0</v>
      </c>
      <c r="AE5" s="1">
        <v>102328</v>
      </c>
      <c r="AF5" s="1">
        <v>0</v>
      </c>
      <c r="AG5" s="1">
        <v>0</v>
      </c>
      <c r="AH5" s="1">
        <v>2643356</v>
      </c>
      <c r="AI5" s="1">
        <v>31174</v>
      </c>
      <c r="AJ5" s="1">
        <v>53633</v>
      </c>
      <c r="AK5" s="1">
        <v>26817</v>
      </c>
      <c r="AL5" s="1">
        <v>46259</v>
      </c>
      <c r="AM5" s="1">
        <v>3509956</v>
      </c>
    </row>
    <row r="6" spans="1:39" x14ac:dyDescent="0.25">
      <c r="A6" t="s">
        <v>39</v>
      </c>
      <c r="B6" t="s">
        <v>40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I6" t="s">
        <v>75</v>
      </c>
      <c r="J6" t="s">
        <v>76</v>
      </c>
      <c r="K6">
        <v>6.73</v>
      </c>
      <c r="L6">
        <v>6500000</v>
      </c>
      <c r="M6" s="7" t="s">
        <v>56</v>
      </c>
      <c r="N6">
        <v>30</v>
      </c>
      <c r="O6">
        <v>3</v>
      </c>
      <c r="P6">
        <v>0</v>
      </c>
      <c r="Q6" s="1">
        <v>6500000</v>
      </c>
      <c r="R6" s="1">
        <v>202073</v>
      </c>
      <c r="S6" s="1">
        <v>150000</v>
      </c>
      <c r="T6" s="1">
        <v>0</v>
      </c>
      <c r="U6" s="1">
        <v>0</v>
      </c>
      <c r="V6" s="1">
        <v>6852073</v>
      </c>
      <c r="W6" s="1">
        <v>0</v>
      </c>
      <c r="X6" s="1">
        <v>0</v>
      </c>
      <c r="Y6" s="1">
        <v>356562</v>
      </c>
      <c r="Z6" s="1">
        <v>30354</v>
      </c>
      <c r="AA6" s="1">
        <v>0</v>
      </c>
      <c r="AB6" s="1">
        <v>235911</v>
      </c>
      <c r="AC6" s="1">
        <v>22378</v>
      </c>
      <c r="AD6" s="1">
        <v>0</v>
      </c>
      <c r="AE6" s="1">
        <v>693455</v>
      </c>
      <c r="AF6" s="1">
        <v>0</v>
      </c>
      <c r="AG6" s="1">
        <v>0</v>
      </c>
      <c r="AH6" s="14">
        <v>5513413</v>
      </c>
      <c r="AI6" s="1">
        <v>31342</v>
      </c>
      <c r="AJ6" s="1">
        <v>80945</v>
      </c>
      <c r="AK6" s="1">
        <v>40473</v>
      </c>
      <c r="AL6" s="1">
        <v>46508</v>
      </c>
      <c r="AM6" s="1">
        <v>7051341</v>
      </c>
    </row>
    <row r="7" spans="1:39" x14ac:dyDescent="0.25">
      <c r="A7" t="s">
        <v>39</v>
      </c>
      <c r="B7" t="s">
        <v>40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I7" t="s">
        <v>75</v>
      </c>
      <c r="J7" t="s">
        <v>69</v>
      </c>
      <c r="L7">
        <v>1374000</v>
      </c>
      <c r="M7" s="7" t="s">
        <v>48</v>
      </c>
      <c r="N7">
        <v>30</v>
      </c>
      <c r="O7">
        <v>0</v>
      </c>
      <c r="P7">
        <v>0</v>
      </c>
      <c r="Q7" s="1">
        <v>1374000</v>
      </c>
      <c r="R7" s="1">
        <v>202073</v>
      </c>
      <c r="S7" s="1">
        <v>150000</v>
      </c>
      <c r="T7" s="1">
        <v>0</v>
      </c>
      <c r="U7" s="1">
        <v>0</v>
      </c>
      <c r="V7" s="1">
        <v>1726073</v>
      </c>
      <c r="W7" s="1">
        <v>0</v>
      </c>
      <c r="X7" s="1">
        <v>0</v>
      </c>
      <c r="Y7" s="1">
        <v>182619</v>
      </c>
      <c r="Z7" s="1">
        <v>10356</v>
      </c>
      <c r="AA7" s="1">
        <v>120825</v>
      </c>
      <c r="AB7" s="1">
        <v>0</v>
      </c>
      <c r="AC7" s="1">
        <v>0</v>
      </c>
      <c r="AD7" s="1">
        <v>0</v>
      </c>
      <c r="AE7" s="1">
        <v>20079</v>
      </c>
      <c r="AF7" s="1">
        <v>0</v>
      </c>
      <c r="AG7" s="1">
        <v>0</v>
      </c>
      <c r="AH7" s="14">
        <v>1392194</v>
      </c>
      <c r="AI7" s="1">
        <v>16052</v>
      </c>
      <c r="AJ7" s="1">
        <v>27617</v>
      </c>
      <c r="AK7" s="1">
        <v>13809</v>
      </c>
      <c r="AL7" s="1">
        <v>23820</v>
      </c>
      <c r="AM7" s="1">
        <v>1807371</v>
      </c>
    </row>
    <row r="8" spans="1:39" x14ac:dyDescent="0.25">
      <c r="A8" t="s">
        <v>39</v>
      </c>
      <c r="B8" t="s">
        <v>40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I8" t="s">
        <v>87</v>
      </c>
      <c r="J8" t="s">
        <v>47</v>
      </c>
      <c r="K8">
        <v>6.86</v>
      </c>
      <c r="L8">
        <v>4600000</v>
      </c>
      <c r="M8" s="7" t="s">
        <v>56</v>
      </c>
      <c r="N8">
        <v>30</v>
      </c>
      <c r="O8">
        <v>14</v>
      </c>
      <c r="P8">
        <v>0</v>
      </c>
      <c r="Q8" s="1">
        <v>4600000</v>
      </c>
      <c r="R8" s="1">
        <v>202073</v>
      </c>
      <c r="S8" s="1">
        <v>150000</v>
      </c>
      <c r="T8" s="1">
        <v>0</v>
      </c>
      <c r="U8" s="1">
        <v>0</v>
      </c>
      <c r="V8" s="1">
        <v>4952073</v>
      </c>
      <c r="W8" s="1">
        <v>0</v>
      </c>
      <c r="X8" s="1">
        <v>0</v>
      </c>
      <c r="Y8" s="1">
        <v>376109</v>
      </c>
      <c r="Z8" s="1">
        <v>29712</v>
      </c>
      <c r="AA8" s="1">
        <v>0</v>
      </c>
      <c r="AB8" s="1">
        <v>235911</v>
      </c>
      <c r="AC8" s="1">
        <v>27214</v>
      </c>
      <c r="AD8" s="1">
        <v>0</v>
      </c>
      <c r="AE8" s="1">
        <v>279140</v>
      </c>
      <c r="AF8" s="1">
        <v>0</v>
      </c>
      <c r="AG8" s="1">
        <v>0</v>
      </c>
      <c r="AH8" s="14">
        <v>4003987</v>
      </c>
      <c r="AI8" s="1">
        <v>31342</v>
      </c>
      <c r="AJ8" s="1">
        <v>79233</v>
      </c>
      <c r="AK8" s="1">
        <v>39617</v>
      </c>
      <c r="AL8" s="1">
        <v>46508</v>
      </c>
      <c r="AM8" s="1">
        <v>5148773</v>
      </c>
    </row>
    <row r="9" spans="1:39" x14ac:dyDescent="0.25">
      <c r="A9" t="s">
        <v>39</v>
      </c>
      <c r="B9" t="s">
        <v>40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I9" t="s">
        <v>75</v>
      </c>
      <c r="J9" t="s">
        <v>69</v>
      </c>
      <c r="L9">
        <v>18456082</v>
      </c>
      <c r="M9" s="7" t="s">
        <v>93</v>
      </c>
      <c r="N9">
        <v>30</v>
      </c>
      <c r="O9">
        <v>0</v>
      </c>
      <c r="P9">
        <v>0</v>
      </c>
      <c r="Q9" s="1">
        <v>18456082</v>
      </c>
      <c r="R9" s="1">
        <v>202073</v>
      </c>
      <c r="S9" s="1">
        <v>150000</v>
      </c>
      <c r="T9" s="1">
        <v>0</v>
      </c>
      <c r="U9" s="1">
        <v>0</v>
      </c>
      <c r="V9" s="1">
        <v>18808155</v>
      </c>
      <c r="W9" s="1">
        <v>0</v>
      </c>
      <c r="X9" s="1">
        <v>0</v>
      </c>
      <c r="Y9" s="1">
        <v>356562</v>
      </c>
      <c r="Z9" s="1">
        <v>30354</v>
      </c>
      <c r="AA9" s="1">
        <v>235911</v>
      </c>
      <c r="AB9" s="1">
        <v>0</v>
      </c>
      <c r="AC9" s="1">
        <v>0</v>
      </c>
      <c r="AD9" s="1">
        <v>0</v>
      </c>
      <c r="AE9" s="1">
        <v>4792421</v>
      </c>
      <c r="AF9" s="1">
        <v>0</v>
      </c>
      <c r="AG9" s="1">
        <v>0</v>
      </c>
      <c r="AH9" s="1">
        <v>13392907</v>
      </c>
      <c r="AI9" s="1">
        <v>31342</v>
      </c>
      <c r="AJ9" s="1">
        <v>80945</v>
      </c>
      <c r="AK9" s="1">
        <v>40473</v>
      </c>
      <c r="AL9" s="1">
        <v>46508</v>
      </c>
      <c r="AM9" s="1">
        <v>19007423</v>
      </c>
    </row>
    <row r="10" spans="1:39" x14ac:dyDescent="0.25">
      <c r="A10" t="s">
        <v>39</v>
      </c>
      <c r="B10" t="s">
        <v>40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I10" t="s">
        <v>99</v>
      </c>
      <c r="J10" t="s">
        <v>100</v>
      </c>
      <c r="K10">
        <v>11.96</v>
      </c>
      <c r="L10">
        <v>6250000</v>
      </c>
      <c r="M10" s="7" t="s">
        <v>56</v>
      </c>
      <c r="N10">
        <v>30</v>
      </c>
      <c r="O10">
        <v>0</v>
      </c>
      <c r="P10">
        <v>0</v>
      </c>
      <c r="Q10" s="1">
        <v>6250000</v>
      </c>
      <c r="R10" s="1">
        <v>202073</v>
      </c>
      <c r="S10" s="1">
        <v>150000</v>
      </c>
      <c r="T10" s="1">
        <v>0</v>
      </c>
      <c r="U10" s="1">
        <v>0</v>
      </c>
      <c r="V10" s="1">
        <v>6602073</v>
      </c>
      <c r="W10" s="1">
        <v>0</v>
      </c>
      <c r="X10" s="1">
        <v>0</v>
      </c>
      <c r="Y10" s="1">
        <v>379816</v>
      </c>
      <c r="Z10" s="1">
        <v>30354</v>
      </c>
      <c r="AA10" s="1">
        <v>0</v>
      </c>
      <c r="AB10" s="1">
        <v>235911</v>
      </c>
      <c r="AC10" s="1">
        <v>223320</v>
      </c>
      <c r="AD10" s="1">
        <v>153538</v>
      </c>
      <c r="AE10" s="1">
        <v>618719</v>
      </c>
      <c r="AF10" s="1">
        <v>0</v>
      </c>
      <c r="AG10" s="1">
        <v>0</v>
      </c>
      <c r="AH10" s="14">
        <v>4960415</v>
      </c>
      <c r="AI10" s="1">
        <v>31342</v>
      </c>
      <c r="AJ10" s="1">
        <v>80945</v>
      </c>
      <c r="AK10" s="1">
        <v>40473</v>
      </c>
      <c r="AL10" s="1">
        <v>46508</v>
      </c>
      <c r="AM10" s="1">
        <v>6801341</v>
      </c>
    </row>
    <row r="11" spans="1:39" x14ac:dyDescent="0.25">
      <c r="A11" t="s">
        <v>39</v>
      </c>
      <c r="B11" t="s">
        <v>40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I11" t="s">
        <v>54</v>
      </c>
      <c r="J11" t="s">
        <v>76</v>
      </c>
      <c r="K11">
        <v>7.17</v>
      </c>
      <c r="L11">
        <v>7500000</v>
      </c>
      <c r="M11" s="7" t="s">
        <v>56</v>
      </c>
      <c r="N11">
        <v>30</v>
      </c>
      <c r="O11">
        <v>0</v>
      </c>
      <c r="P11">
        <v>0</v>
      </c>
      <c r="Q11" s="1">
        <v>7500000</v>
      </c>
      <c r="R11" s="1">
        <v>202073</v>
      </c>
      <c r="S11" s="1">
        <v>150000</v>
      </c>
      <c r="T11" s="1">
        <v>0</v>
      </c>
      <c r="U11" s="1">
        <v>0</v>
      </c>
      <c r="V11" s="1">
        <v>7852073</v>
      </c>
      <c r="W11" s="1">
        <v>0</v>
      </c>
      <c r="X11" s="1">
        <v>0</v>
      </c>
      <c r="Y11" s="1">
        <v>385545</v>
      </c>
      <c r="Z11" s="1">
        <v>30354</v>
      </c>
      <c r="AA11" s="1">
        <v>0</v>
      </c>
      <c r="AB11" s="1">
        <v>235911</v>
      </c>
      <c r="AC11" s="1">
        <v>39344</v>
      </c>
      <c r="AD11" s="1">
        <v>0</v>
      </c>
      <c r="AE11" s="1">
        <v>988644</v>
      </c>
      <c r="AF11" s="1">
        <v>0</v>
      </c>
      <c r="AG11" s="1">
        <v>0</v>
      </c>
      <c r="AH11" s="14">
        <v>6172275</v>
      </c>
      <c r="AI11" s="1">
        <v>31342</v>
      </c>
      <c r="AJ11" s="1">
        <v>80945</v>
      </c>
      <c r="AK11" s="1">
        <v>40473</v>
      </c>
      <c r="AL11" s="1">
        <v>46508</v>
      </c>
      <c r="AM11" s="1">
        <v>8051341</v>
      </c>
    </row>
    <row r="12" spans="1:39" s="17" customFormat="1" x14ac:dyDescent="0.25">
      <c r="A12" s="17" t="s">
        <v>39</v>
      </c>
      <c r="B12" s="17" t="s">
        <v>40</v>
      </c>
      <c r="C12" s="17" t="s">
        <v>106</v>
      </c>
      <c r="D12" s="17" t="s">
        <v>107</v>
      </c>
      <c r="E12" s="17" t="s">
        <v>108</v>
      </c>
      <c r="F12" s="17" t="s">
        <v>109</v>
      </c>
      <c r="G12" s="17" t="s">
        <v>110</v>
      </c>
      <c r="I12" s="17" t="s">
        <v>75</v>
      </c>
      <c r="J12" s="17" t="s">
        <v>111</v>
      </c>
      <c r="K12" s="17">
        <v>11.67</v>
      </c>
      <c r="L12" s="17">
        <v>11023540</v>
      </c>
      <c r="M12" s="17" t="s">
        <v>62</v>
      </c>
      <c r="N12" s="17">
        <v>30</v>
      </c>
      <c r="O12" s="17">
        <v>2</v>
      </c>
      <c r="P12" s="17">
        <v>0</v>
      </c>
      <c r="Q12" s="14">
        <v>11023540</v>
      </c>
      <c r="R12" s="14">
        <v>202073</v>
      </c>
      <c r="S12" s="14">
        <v>150000</v>
      </c>
      <c r="T12" s="14">
        <v>0</v>
      </c>
      <c r="U12" s="14">
        <v>0</v>
      </c>
      <c r="V12" s="14">
        <v>11375613</v>
      </c>
      <c r="W12" s="14">
        <v>0</v>
      </c>
      <c r="X12" s="14">
        <v>0</v>
      </c>
      <c r="Y12" s="14">
        <v>356562</v>
      </c>
      <c r="Z12" s="14">
        <v>30354</v>
      </c>
      <c r="AA12" s="14">
        <v>0</v>
      </c>
      <c r="AB12" s="14">
        <v>235911</v>
      </c>
      <c r="AC12" s="14">
        <v>212035</v>
      </c>
      <c r="AD12" s="14">
        <v>0</v>
      </c>
      <c r="AE12" s="14">
        <v>2191031</v>
      </c>
      <c r="AF12" s="14">
        <v>0</v>
      </c>
      <c r="AG12" s="14">
        <v>0</v>
      </c>
      <c r="AH12" s="14">
        <v>8349720</v>
      </c>
      <c r="AI12" s="14">
        <v>31342</v>
      </c>
      <c r="AJ12" s="14">
        <v>80945</v>
      </c>
      <c r="AK12" s="14">
        <v>40473</v>
      </c>
      <c r="AL12" s="14">
        <v>46508</v>
      </c>
      <c r="AM12" s="14">
        <v>11574881</v>
      </c>
    </row>
    <row r="13" spans="1:39" x14ac:dyDescent="0.25">
      <c r="A13" t="s">
        <v>39</v>
      </c>
      <c r="B13" t="s">
        <v>40</v>
      </c>
      <c r="C13" t="s">
        <v>112</v>
      </c>
      <c r="D13" t="s">
        <v>107</v>
      </c>
      <c r="E13" t="s">
        <v>113</v>
      </c>
      <c r="F13" t="s">
        <v>114</v>
      </c>
      <c r="G13" t="s">
        <v>115</v>
      </c>
      <c r="I13" t="s">
        <v>75</v>
      </c>
      <c r="J13" t="s">
        <v>100</v>
      </c>
      <c r="K13">
        <v>7.7</v>
      </c>
      <c r="L13">
        <v>3500000</v>
      </c>
      <c r="M13" t="s">
        <v>56</v>
      </c>
      <c r="N13">
        <v>30</v>
      </c>
      <c r="O13">
        <v>2.5</v>
      </c>
      <c r="P13">
        <v>0</v>
      </c>
      <c r="Q13" s="1">
        <v>3500000</v>
      </c>
      <c r="R13" s="1">
        <v>202073</v>
      </c>
      <c r="S13" s="1">
        <v>150000</v>
      </c>
      <c r="T13" s="1">
        <v>0</v>
      </c>
      <c r="U13" s="1">
        <v>0</v>
      </c>
      <c r="V13" s="1">
        <v>3852073</v>
      </c>
      <c r="W13" s="1">
        <v>0</v>
      </c>
      <c r="X13" s="1">
        <v>0</v>
      </c>
      <c r="Y13" s="1">
        <v>356562</v>
      </c>
      <c r="Z13" s="1">
        <v>23112</v>
      </c>
      <c r="AA13" s="1">
        <v>0</v>
      </c>
      <c r="AB13" s="1">
        <v>235911</v>
      </c>
      <c r="AC13" s="1">
        <v>59457</v>
      </c>
      <c r="AD13" s="1">
        <v>0</v>
      </c>
      <c r="AE13" s="1">
        <v>141593</v>
      </c>
      <c r="AF13" s="1">
        <v>0</v>
      </c>
      <c r="AG13" s="1">
        <v>0</v>
      </c>
      <c r="AH13" s="14">
        <v>3035438</v>
      </c>
      <c r="AI13" s="1">
        <v>31342</v>
      </c>
      <c r="AJ13" s="1">
        <v>61633</v>
      </c>
      <c r="AK13" s="1">
        <v>30817</v>
      </c>
      <c r="AL13" s="1">
        <v>46508</v>
      </c>
      <c r="AM13" s="1">
        <v>4022373</v>
      </c>
    </row>
    <row r="14" spans="1:39" x14ac:dyDescent="0.25">
      <c r="A14" t="s">
        <v>39</v>
      </c>
      <c r="B14" t="s">
        <v>40</v>
      </c>
      <c r="C14" t="s">
        <v>116</v>
      </c>
      <c r="D14" t="s">
        <v>117</v>
      </c>
      <c r="E14" t="s">
        <v>118</v>
      </c>
      <c r="F14" t="s">
        <v>119</v>
      </c>
      <c r="G14" t="s">
        <v>110</v>
      </c>
      <c r="I14" t="s">
        <v>87</v>
      </c>
      <c r="J14" t="s">
        <v>120</v>
      </c>
      <c r="K14">
        <v>5.89</v>
      </c>
      <c r="L14">
        <v>2640000</v>
      </c>
      <c r="M14" s="7" t="s">
        <v>48</v>
      </c>
      <c r="N14">
        <v>30</v>
      </c>
      <c r="O14">
        <v>1</v>
      </c>
      <c r="P14">
        <v>0</v>
      </c>
      <c r="Q14" s="1">
        <v>2640000</v>
      </c>
      <c r="R14" s="1">
        <v>202073</v>
      </c>
      <c r="S14" s="1">
        <v>150000</v>
      </c>
      <c r="T14" s="1">
        <v>0</v>
      </c>
      <c r="U14" s="1">
        <v>0</v>
      </c>
      <c r="V14" s="1">
        <v>2992073</v>
      </c>
      <c r="W14" s="1">
        <v>200000</v>
      </c>
      <c r="X14" s="1">
        <v>200000</v>
      </c>
      <c r="Y14" s="1">
        <v>333915</v>
      </c>
      <c r="Z14" s="1">
        <v>17952</v>
      </c>
      <c r="AA14" s="1">
        <v>0</v>
      </c>
      <c r="AB14" s="1">
        <v>209445</v>
      </c>
      <c r="AC14" s="1">
        <v>16524</v>
      </c>
      <c r="AD14" s="1">
        <v>0</v>
      </c>
      <c r="AE14" s="1">
        <v>75813</v>
      </c>
      <c r="AF14" s="1">
        <v>0</v>
      </c>
      <c r="AG14" s="1">
        <v>0</v>
      </c>
      <c r="AH14" s="14">
        <v>2538424</v>
      </c>
      <c r="AI14" s="1">
        <v>27826</v>
      </c>
      <c r="AJ14" s="1">
        <v>47873</v>
      </c>
      <c r="AK14" s="1">
        <v>23937</v>
      </c>
      <c r="AL14" s="1">
        <v>41291</v>
      </c>
      <c r="AM14" s="1">
        <v>3333000</v>
      </c>
    </row>
    <row r="15" spans="1:39" x14ac:dyDescent="0.25">
      <c r="A15" t="s">
        <v>39</v>
      </c>
      <c r="B15" t="s">
        <v>40</v>
      </c>
      <c r="C15" t="s">
        <v>121</v>
      </c>
      <c r="D15" t="s">
        <v>122</v>
      </c>
      <c r="E15" t="s">
        <v>123</v>
      </c>
      <c r="F15" t="s">
        <v>119</v>
      </c>
      <c r="G15" t="s">
        <v>124</v>
      </c>
      <c r="H15" t="s">
        <v>125</v>
      </c>
      <c r="I15" t="s">
        <v>87</v>
      </c>
      <c r="J15" t="s">
        <v>100</v>
      </c>
      <c r="K15">
        <v>6.28</v>
      </c>
      <c r="L15">
        <v>5500000</v>
      </c>
      <c r="M15" s="7" t="s">
        <v>56</v>
      </c>
      <c r="N15">
        <v>30</v>
      </c>
      <c r="O15">
        <v>0</v>
      </c>
      <c r="P15">
        <v>0</v>
      </c>
      <c r="Q15" s="1">
        <v>5500000</v>
      </c>
      <c r="R15" s="1">
        <v>202073</v>
      </c>
      <c r="S15" s="1">
        <v>150000</v>
      </c>
      <c r="T15" s="1">
        <v>0</v>
      </c>
      <c r="U15" s="1">
        <v>0</v>
      </c>
      <c r="V15" s="1">
        <v>5852073</v>
      </c>
      <c r="W15" s="1">
        <v>0</v>
      </c>
      <c r="X15" s="1">
        <v>0</v>
      </c>
      <c r="Y15" s="1">
        <v>376109</v>
      </c>
      <c r="Z15" s="1">
        <v>0</v>
      </c>
      <c r="AA15" s="1">
        <v>0</v>
      </c>
      <c r="AB15" s="1">
        <v>235911</v>
      </c>
      <c r="AC15" s="1">
        <v>5258</v>
      </c>
      <c r="AD15" s="1">
        <v>0</v>
      </c>
      <c r="AE15" s="1">
        <v>454053</v>
      </c>
      <c r="AF15" s="1">
        <v>0</v>
      </c>
      <c r="AG15" s="1">
        <v>0</v>
      </c>
      <c r="AH15" s="14">
        <v>4780742</v>
      </c>
      <c r="AI15" s="1">
        <v>31342</v>
      </c>
      <c r="AJ15" s="1">
        <v>141654</v>
      </c>
      <c r="AK15" s="1">
        <v>10118</v>
      </c>
      <c r="AL15" s="1">
        <v>46508</v>
      </c>
      <c r="AM15" s="1">
        <v>6081695</v>
      </c>
    </row>
    <row r="16" spans="1:39" x14ac:dyDescent="0.25"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25">
      <c r="A17" t="s">
        <v>126</v>
      </c>
      <c r="B17" t="s">
        <v>126</v>
      </c>
      <c r="C17" t="s">
        <v>126</v>
      </c>
      <c r="D17" t="s">
        <v>126</v>
      </c>
      <c r="E17" t="s">
        <v>126</v>
      </c>
      <c r="F17" t="s">
        <v>126</v>
      </c>
      <c r="G17" t="s">
        <v>126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126</v>
      </c>
      <c r="P17" t="s">
        <v>126</v>
      </c>
      <c r="Q17" s="2">
        <f>+SUM(Q2:Q15)</f>
        <v>86908622</v>
      </c>
      <c r="R17" s="2">
        <f t="shared" ref="R17:AM17" si="0">+SUM(R2:R15)</f>
        <v>2829022</v>
      </c>
      <c r="S17" s="2">
        <f t="shared" si="0"/>
        <v>2100000</v>
      </c>
      <c r="T17" s="2">
        <f t="shared" si="0"/>
        <v>0</v>
      </c>
      <c r="U17" s="2">
        <f t="shared" si="0"/>
        <v>0</v>
      </c>
      <c r="V17" s="2">
        <f t="shared" si="0"/>
        <v>91837644</v>
      </c>
      <c r="W17" s="2">
        <f t="shared" si="0"/>
        <v>200000</v>
      </c>
      <c r="X17" s="2">
        <f t="shared" si="0"/>
        <v>200000</v>
      </c>
      <c r="Y17" s="2">
        <f t="shared" si="0"/>
        <v>4968965</v>
      </c>
      <c r="Z17" s="2">
        <f t="shared" si="0"/>
        <v>343734</v>
      </c>
      <c r="AA17" s="2">
        <f t="shared" si="0"/>
        <v>591381</v>
      </c>
      <c r="AB17" s="2">
        <f t="shared" si="0"/>
        <v>2568555</v>
      </c>
      <c r="AC17" s="2">
        <f t="shared" si="0"/>
        <v>819561</v>
      </c>
      <c r="AD17" s="2">
        <f t="shared" si="0"/>
        <v>153538</v>
      </c>
      <c r="AE17" s="2">
        <f t="shared" si="0"/>
        <v>11742026</v>
      </c>
      <c r="AF17" s="2">
        <f t="shared" si="0"/>
        <v>160948</v>
      </c>
      <c r="AG17" s="2">
        <f t="shared" si="0"/>
        <v>160948</v>
      </c>
      <c r="AH17" s="2">
        <f t="shared" si="0"/>
        <v>70688936</v>
      </c>
      <c r="AI17" s="2">
        <f t="shared" si="0"/>
        <v>419814</v>
      </c>
      <c r="AJ17" s="2">
        <f t="shared" si="0"/>
        <v>1058291</v>
      </c>
      <c r="AK17" s="2">
        <f t="shared" si="0"/>
        <v>468443</v>
      </c>
      <c r="AL17" s="2">
        <f t="shared" si="0"/>
        <v>622958</v>
      </c>
      <c r="AM17" s="2">
        <f t="shared" si="0"/>
        <v>94607150</v>
      </c>
    </row>
    <row r="18" spans="1:39" x14ac:dyDescent="0.25">
      <c r="A18" t="s">
        <v>126</v>
      </c>
      <c r="B18" t="s">
        <v>126</v>
      </c>
      <c r="C18" t="s">
        <v>126</v>
      </c>
      <c r="D18" t="s">
        <v>126</v>
      </c>
      <c r="E18" t="s">
        <v>126</v>
      </c>
      <c r="F18" t="s">
        <v>126</v>
      </c>
      <c r="G18" t="s">
        <v>126</v>
      </c>
      <c r="H18" t="s">
        <v>126</v>
      </c>
      <c r="I18" t="s">
        <v>126</v>
      </c>
      <c r="J18" t="s">
        <v>126</v>
      </c>
      <c r="K18" t="s">
        <v>126</v>
      </c>
      <c r="L18" t="s">
        <v>126</v>
      </c>
      <c r="M18" t="s">
        <v>126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126</v>
      </c>
      <c r="U18" t="s">
        <v>126</v>
      </c>
      <c r="V18" t="s">
        <v>126</v>
      </c>
      <c r="W18" t="s">
        <v>126</v>
      </c>
      <c r="X18" t="s">
        <v>126</v>
      </c>
      <c r="Y18" t="s">
        <v>126</v>
      </c>
      <c r="Z18" t="s">
        <v>126</v>
      </c>
      <c r="AA18" t="s">
        <v>126</v>
      </c>
      <c r="AB18" t="s">
        <v>126</v>
      </c>
      <c r="AC18" t="s">
        <v>126</v>
      </c>
      <c r="AD18" t="s">
        <v>126</v>
      </c>
      <c r="AE18" t="s">
        <v>126</v>
      </c>
      <c r="AF18" t="s">
        <v>126</v>
      </c>
      <c r="AG18" t="s">
        <v>126</v>
      </c>
      <c r="AH18" t="s">
        <v>126</v>
      </c>
      <c r="AI18" t="s">
        <v>126</v>
      </c>
      <c r="AJ18" t="s">
        <v>126</v>
      </c>
      <c r="AK18" t="s">
        <v>126</v>
      </c>
      <c r="AL18" t="s">
        <v>126</v>
      </c>
      <c r="AM18" t="s">
        <v>126</v>
      </c>
    </row>
    <row r="20" spans="1:39" x14ac:dyDescent="0.25">
      <c r="F20" s="5">
        <f>SUM(F21:F44)</f>
        <v>94607150</v>
      </c>
      <c r="G20" s="5">
        <f>SUM(G21:G44)</f>
        <v>94607150</v>
      </c>
      <c r="H20" s="6">
        <f>+F20-G20</f>
        <v>0</v>
      </c>
      <c r="L20">
        <v>20</v>
      </c>
      <c r="M20" s="16" t="s">
        <v>127</v>
      </c>
      <c r="N20" s="16"/>
    </row>
    <row r="21" spans="1:39" x14ac:dyDescent="0.25">
      <c r="C21" t="s">
        <v>128</v>
      </c>
      <c r="D21" s="7" t="s">
        <v>56</v>
      </c>
      <c r="E21">
        <v>7020201</v>
      </c>
      <c r="F21" s="5">
        <f>SUMIF($M$2:$M$16,D21,$Q$2:$Q$16)+SUMIF($M$2:$M$16,D21,$S$2:$S$16)+SUMIF($M$2:$M$16,D21,$W$2:$W$16)+SUMIF($M$2:$M$16,D21,$R$2:$R$16)</f>
        <v>45916584</v>
      </c>
      <c r="G21" s="5"/>
      <c r="L21">
        <f>+L20/12</f>
        <v>1.6666666666666667</v>
      </c>
      <c r="M21" s="16" t="s">
        <v>129</v>
      </c>
      <c r="N21" s="16"/>
      <c r="V21" s="5">
        <f>+V2/30*$L$21</f>
        <v>334281.83333333337</v>
      </c>
    </row>
    <row r="22" spans="1:39" x14ac:dyDescent="0.25">
      <c r="C22" t="s">
        <v>130</v>
      </c>
      <c r="D22" s="7" t="s">
        <v>56</v>
      </c>
      <c r="E22">
        <v>7020202</v>
      </c>
      <c r="F22" s="5">
        <v>0</v>
      </c>
      <c r="G22" s="5"/>
      <c r="V22" s="5">
        <f t="shared" ref="V22:V35" si="1">+V3/30*$L$21</f>
        <v>366781.83333333337</v>
      </c>
      <c r="AE22" s="3">
        <f>+AI17+AJ17+AK17+AL17+Y17+Z17+AA17+AB17+AC17+AD17</f>
        <v>12015240</v>
      </c>
    </row>
    <row r="23" spans="1:39" x14ac:dyDescent="0.25">
      <c r="C23" t="s">
        <v>24</v>
      </c>
      <c r="D23" s="7" t="s">
        <v>56</v>
      </c>
      <c r="E23">
        <v>7020203</v>
      </c>
      <c r="F23" s="5">
        <f>SUMIF($M$2:$M$16,D23,$AK$2:$AK$16)+SUMIF($M$2:$M$16,D23,$AL$2:$AL$16)+SUMIF($M$2:$M$16,D23,$AI$2:$AI$16)+SUMIF($M$2:$M$16,D23,$AJ$2:$AJ$16)</f>
        <v>1551577</v>
      </c>
      <c r="G23" s="5"/>
      <c r="V23" s="5">
        <f t="shared" si="1"/>
        <v>277892.94444444444</v>
      </c>
      <c r="AE23" s="4">
        <v>12015240</v>
      </c>
    </row>
    <row r="24" spans="1:39" x14ac:dyDescent="0.25">
      <c r="C24" t="s">
        <v>131</v>
      </c>
      <c r="D24" s="7" t="s">
        <v>56</v>
      </c>
      <c r="E24">
        <v>7020204</v>
      </c>
      <c r="F24" s="5"/>
      <c r="G24" s="5"/>
      <c r="J24" s="15" t="s">
        <v>128</v>
      </c>
      <c r="K24" s="15" t="s">
        <v>130</v>
      </c>
      <c r="L24" s="15" t="s">
        <v>24</v>
      </c>
      <c r="V24" s="5">
        <f t="shared" si="1"/>
        <v>186226.27777777778</v>
      </c>
    </row>
    <row r="25" spans="1:39" x14ac:dyDescent="0.25">
      <c r="C25" t="s">
        <v>128</v>
      </c>
      <c r="D25" s="8" t="s">
        <v>48</v>
      </c>
      <c r="E25">
        <v>8050117</v>
      </c>
      <c r="F25" s="5">
        <f>SUMIF($M$2:$M$16,D25,$Q$2:$Q$16)+SUMIF($M$2:$M$16,D25,$S$2:$S$16)+SUMIF($M$2:$M$16,D25,$W$2:$W$16)+SUMIF($M$2:$M$16,D25,$R$2:$R$16)</f>
        <v>10935219</v>
      </c>
      <c r="G25" s="5"/>
      <c r="I25" s="15" t="str">
        <f>+D21</f>
        <v>Consulting</v>
      </c>
      <c r="J25" s="15">
        <f>+E21</f>
        <v>7020201</v>
      </c>
      <c r="K25" s="15">
        <f>+E22</f>
        <v>7020202</v>
      </c>
      <c r="L25" s="15">
        <f>+E23</f>
        <v>7020203</v>
      </c>
      <c r="V25" s="5">
        <f t="shared" si="1"/>
        <v>380670.72222222219</v>
      </c>
    </row>
    <row r="26" spans="1:39" x14ac:dyDescent="0.25">
      <c r="C26" t="s">
        <v>130</v>
      </c>
      <c r="D26" s="8" t="s">
        <v>48</v>
      </c>
      <c r="E26">
        <v>8050118</v>
      </c>
      <c r="F26" s="5">
        <v>0</v>
      </c>
      <c r="G26" s="5"/>
      <c r="I26" s="15" t="s">
        <v>132</v>
      </c>
      <c r="J26" s="15">
        <f>+E25</f>
        <v>8050117</v>
      </c>
      <c r="K26" s="15">
        <f>+E26</f>
        <v>8050118</v>
      </c>
      <c r="L26" s="15">
        <f>+E27</f>
        <v>8050119</v>
      </c>
      <c r="V26" s="5">
        <f t="shared" si="1"/>
        <v>95892.944444444453</v>
      </c>
    </row>
    <row r="27" spans="1:39" x14ac:dyDescent="0.25">
      <c r="C27" t="s">
        <v>24</v>
      </c>
      <c r="D27" s="8" t="s">
        <v>48</v>
      </c>
      <c r="E27">
        <v>8050119</v>
      </c>
      <c r="F27" s="5">
        <f>SUMIF($M$2:$M$16,D27,$AK$2:$AK$16)+SUMIF($M$2:$M$16,D27,$AL$2:$AL$16)+SUMIF($M$2:$M$16,D27,$AI$2:$AI$16)+SUMIF($M$2:$M$16,D27,$AJ$2:$AJ$16)</f>
        <v>421493</v>
      </c>
      <c r="G27" s="5"/>
      <c r="I27" s="15" t="str">
        <f>+D33</f>
        <v>Mkt</v>
      </c>
      <c r="J27" s="15">
        <f>+E33</f>
        <v>8050101</v>
      </c>
      <c r="K27" s="15">
        <f>+E34</f>
        <v>8050102</v>
      </c>
      <c r="L27" s="15">
        <f>+E35</f>
        <v>8050106</v>
      </c>
      <c r="V27" s="5">
        <f t="shared" si="1"/>
        <v>275115.16666666669</v>
      </c>
    </row>
    <row r="28" spans="1:39" x14ac:dyDescent="0.25">
      <c r="C28" t="s">
        <v>131</v>
      </c>
      <c r="D28" s="8" t="s">
        <v>48</v>
      </c>
      <c r="E28">
        <v>8050121</v>
      </c>
      <c r="F28" s="5"/>
      <c r="G28" s="5"/>
      <c r="I28" s="15" t="str">
        <f>+D37</f>
        <v>Support</v>
      </c>
      <c r="J28" s="15">
        <f>+E37</f>
        <v>7020205</v>
      </c>
      <c r="K28" s="15">
        <f>+E38</f>
        <v>7020206</v>
      </c>
      <c r="L28" s="15">
        <f>+E40</f>
        <v>7020208</v>
      </c>
      <c r="V28" s="5">
        <f t="shared" si="1"/>
        <v>1044897.5</v>
      </c>
    </row>
    <row r="29" spans="1:39" x14ac:dyDescent="0.25">
      <c r="D29" s="9" t="s">
        <v>93</v>
      </c>
      <c r="F29" s="5">
        <f>SUMIF($M$2:$M$16,D29,$Q$2:$Q$16)+SUMIF($M$2:$M$16,D29,$S$2:$S$16)+SUMIF($M$2:$M$16,D29,$W$2:$W$16)+SUMIF($M$2:$M$16,D29,$R$2:$R$16)</f>
        <v>18808155</v>
      </c>
      <c r="G29" s="5"/>
      <c r="V29" s="5">
        <f t="shared" si="1"/>
        <v>366781.83333333337</v>
      </c>
    </row>
    <row r="30" spans="1:39" x14ac:dyDescent="0.25">
      <c r="D30" s="9" t="s">
        <v>93</v>
      </c>
      <c r="F30" s="5">
        <v>0</v>
      </c>
      <c r="G30" s="5"/>
      <c r="V30" s="5">
        <f t="shared" si="1"/>
        <v>436226.27777777781</v>
      </c>
    </row>
    <row r="31" spans="1:39" x14ac:dyDescent="0.25">
      <c r="D31" s="9" t="s">
        <v>93</v>
      </c>
      <c r="F31" s="5">
        <f>SUMIF($M$2:$M$16,D31,$AK$2:$AK$16)+SUMIF($M$2:$M$16,D31,$AL$2:$AL$16)+SUMIF($M$2:$M$16,D31,$AI$2:$AI$16)+SUMIF($M$2:$M$16,D31,$AJ$2:$AJ$16)</f>
        <v>199268</v>
      </c>
      <c r="G31" s="5"/>
      <c r="V31" s="5">
        <f t="shared" si="1"/>
        <v>631978.5</v>
      </c>
    </row>
    <row r="32" spans="1:39" x14ac:dyDescent="0.25">
      <c r="D32" s="9" t="s">
        <v>93</v>
      </c>
      <c r="F32" s="5"/>
      <c r="G32" s="5"/>
      <c r="V32" s="5">
        <f t="shared" si="1"/>
        <v>214004.05555555556</v>
      </c>
    </row>
    <row r="33" spans="3:22" x14ac:dyDescent="0.25">
      <c r="C33" t="s">
        <v>128</v>
      </c>
      <c r="D33" s="10" t="s">
        <v>62</v>
      </c>
      <c r="E33">
        <v>8050101</v>
      </c>
      <c r="F33" s="5">
        <f>SUMIF($M$2:$M$16,D33,$Q$2:$Q$16)+SUMIF($M$2:$M$16,D33,$S$2:$S$16)+SUMIF($M$2:$M$16,D33,$W$2:$W$16)+SUMIF($M$2:$M$16,D33,$R$2:$R$16)</f>
        <v>16377686</v>
      </c>
      <c r="G33" s="5"/>
      <c r="V33" s="5">
        <f t="shared" si="1"/>
        <v>166226.27777777778</v>
      </c>
    </row>
    <row r="34" spans="3:22" x14ac:dyDescent="0.25">
      <c r="C34" t="s">
        <v>130</v>
      </c>
      <c r="D34" s="10" t="s">
        <v>62</v>
      </c>
      <c r="E34">
        <v>8050102</v>
      </c>
      <c r="F34" s="5">
        <v>0</v>
      </c>
      <c r="G34" s="5"/>
      <c r="V34" s="5">
        <f t="shared" si="1"/>
        <v>325115.16666666669</v>
      </c>
    </row>
    <row r="35" spans="3:22" x14ac:dyDescent="0.25">
      <c r="C35" t="s">
        <v>24</v>
      </c>
      <c r="D35" s="10" t="s">
        <v>62</v>
      </c>
      <c r="E35">
        <v>8050106</v>
      </c>
      <c r="F35" s="5">
        <f>SUMIF($M$2:$M$16,D35,$AK$2:$AK$16)+SUMIF($M$2:$M$16,D35,$AL$2:$AL$16)+SUMIF($M$2:$M$16,D35,$AI$2:$AI$16)+SUMIF($M$2:$M$16,D35,$AJ$2:$AJ$16)</f>
        <v>397168</v>
      </c>
      <c r="G35" s="5"/>
      <c r="V35" s="5">
        <f t="shared" si="1"/>
        <v>0</v>
      </c>
    </row>
    <row r="36" spans="3:22" x14ac:dyDescent="0.25">
      <c r="C36" t="s">
        <v>131</v>
      </c>
      <c r="D36" s="10" t="s">
        <v>62</v>
      </c>
      <c r="E36">
        <v>8050120</v>
      </c>
      <c r="F36" s="5"/>
      <c r="G36" s="5"/>
      <c r="V36" s="5"/>
    </row>
    <row r="37" spans="3:22" x14ac:dyDescent="0.25">
      <c r="C37" t="s">
        <v>128</v>
      </c>
      <c r="D37" s="11" t="s">
        <v>133</v>
      </c>
      <c r="E37">
        <v>7020205</v>
      </c>
      <c r="F37" s="5">
        <f>SUMIF($M$2:$M$16,D37,$Q$2:$Q$16)+SUMIF($M$2:$M$16,D37,$R$2:$R$16)</f>
        <v>0</v>
      </c>
      <c r="G37" s="5"/>
      <c r="U37" s="12" t="s">
        <v>134</v>
      </c>
      <c r="V37" s="13">
        <f>SUM(V21:V36)</f>
        <v>5102091.3333333349</v>
      </c>
    </row>
    <row r="38" spans="3:22" x14ac:dyDescent="0.25">
      <c r="C38" t="s">
        <v>130</v>
      </c>
      <c r="D38" s="11" t="s">
        <v>133</v>
      </c>
      <c r="E38">
        <v>7020206</v>
      </c>
      <c r="F38" s="5">
        <f>SUMIF($M$2:$M$16,D38,$T$2:$T$16)+SUMIF($M$2:$M$16,D38,$U$2:$U$16)+SUMIF($M$2:$M$16,D38,$S$2:$S$16)</f>
        <v>0</v>
      </c>
      <c r="G38" s="5"/>
    </row>
    <row r="39" spans="3:22" x14ac:dyDescent="0.25">
      <c r="C39" t="s">
        <v>24</v>
      </c>
      <c r="D39" s="11" t="s">
        <v>133</v>
      </c>
      <c r="E39">
        <v>7020207</v>
      </c>
      <c r="F39" s="5">
        <f>SUMIF($M$2:$M$16,D39,$AK$2:$AK$16)+SUMIF($M$2:$M$16,D39,$AL$2:$AL$16)+SUMIF($M$2:$M$16,D39,$AI$2:$AI$16)+SUMIF($M$2:$M$16,D39,$AJ$2:$AJ$16)</f>
        <v>0</v>
      </c>
      <c r="G39" s="5"/>
    </row>
    <row r="40" spans="3:22" x14ac:dyDescent="0.25">
      <c r="C40" t="s">
        <v>131</v>
      </c>
      <c r="D40" s="11" t="s">
        <v>133</v>
      </c>
      <c r="E40">
        <v>7020208</v>
      </c>
      <c r="F40" s="5"/>
      <c r="G40" s="5"/>
    </row>
    <row r="41" spans="3:22" x14ac:dyDescent="0.25">
      <c r="C41" t="s">
        <v>135</v>
      </c>
      <c r="E41">
        <v>3031302</v>
      </c>
      <c r="F41" s="5"/>
      <c r="G41" s="5">
        <f>SUM(Y17:AD17,AI17:AL17)</f>
        <v>12015240</v>
      </c>
    </row>
    <row r="42" spans="3:22" x14ac:dyDescent="0.25">
      <c r="C42" t="s">
        <v>136</v>
      </c>
      <c r="E42">
        <v>3031204</v>
      </c>
      <c r="F42" s="5"/>
      <c r="G42" s="5">
        <f>+AH17</f>
        <v>70688936</v>
      </c>
    </row>
    <row r="43" spans="3:22" x14ac:dyDescent="0.25">
      <c r="C43" t="s">
        <v>137</v>
      </c>
      <c r="E43">
        <v>3031505</v>
      </c>
      <c r="F43" s="5"/>
      <c r="G43" s="5">
        <f>+AF17</f>
        <v>160948</v>
      </c>
    </row>
    <row r="44" spans="3:22" x14ac:dyDescent="0.25">
      <c r="C44" t="s">
        <v>138</v>
      </c>
      <c r="E44">
        <v>3031501</v>
      </c>
      <c r="F44" s="5"/>
      <c r="G44" s="5">
        <f>+AE17</f>
        <v>11742026</v>
      </c>
    </row>
  </sheetData>
  <autoFilter ref="A1:AM15" xr:uid="{00000000-0001-0000-0000-000000000000}"/>
  <sortState xmlns:xlrd2="http://schemas.microsoft.com/office/spreadsheetml/2017/richdata2" ref="A2:AM15">
    <sortCondition ref="E1:E15"/>
  </sortState>
  <mergeCells count="2">
    <mergeCell ref="M20:N20"/>
    <mergeCell ref="M21:N21"/>
  </mergeCells>
  <pageMargins left="0.75" right="0.75" top="1" bottom="1" header="0.5" footer="0.5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1329E1-2A5B-4532-A973-B5BDCEE3542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82952134-EFE3-4F4B-AC13-98B39DE292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0F8279-12FF-49CD-B94C-FF80F1618B77}"/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Carolina Cabrera</cp:lastModifiedBy>
  <cp:revision/>
  <dcterms:created xsi:type="dcterms:W3CDTF">2025-01-22T11:35:27Z</dcterms:created>
  <dcterms:modified xsi:type="dcterms:W3CDTF">2025-07-01T22:20:52Z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