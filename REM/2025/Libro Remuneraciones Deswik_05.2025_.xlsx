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8" documentId="13_ncr:1_{1E6477B4-7910-4D5E-B193-5BF146D9EEEC}" xr6:coauthVersionLast="47" xr6:coauthVersionMax="47" xr10:uidLastSave="{F6B90505-B407-402B-89C8-8FA9C65AFB1A}"/>
  <bookViews>
    <workbookView xWindow="-20565" yWindow="5700" windowWidth="20760" windowHeight="8655" xr2:uid="{00000000-000D-0000-FFFF-FFFF00000000}"/>
  </bookViews>
  <sheets>
    <sheet name="05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2" i="1" l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Q17" i="1"/>
</calcChain>
</file>

<file path=xl/sharedStrings.xml><?xml version="1.0" encoding="utf-8"?>
<sst xmlns="http://schemas.openxmlformats.org/spreadsheetml/2006/main" count="240" uniqueCount="130">
  <si>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</si>
  <si>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</si>
  <si>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</si>
  <si>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</si>
  <si>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</si>
  <si>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</si>
  <si>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</si>
  <si>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</si>
  <si>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</si>
  <si>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</si>
  <si>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</si>
  <si>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</si>
  <si>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</si>
  <si>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</si>
  <si>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</si>
  <si>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</si>
  <si>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</si>
  <si>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</si>
  <si>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</si>
  <si>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</si>
  <si>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</si>
  <si>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Asignacion teletrabajo</t>
  </si>
  <si>
    <t>Suma de Haberes Exentos</t>
  </si>
  <si>
    <t>AFP</t>
  </si>
  <si>
    <t>Seguro Cesantia Trabajador</t>
  </si>
  <si>
    <t>Seguro Cesantia Trabajador Reliquidado</t>
  </si>
  <si>
    <t>Salud 7% (Fonasa)</t>
  </si>
  <si>
    <t>Isapre</t>
  </si>
  <si>
    <t>Isapre sobre 7%</t>
  </si>
  <si>
    <t>APV (Régimen A)</t>
  </si>
  <si>
    <t>Impuestos</t>
  </si>
  <si>
    <t>Impuestos Reliquidado</t>
  </si>
  <si>
    <t>Seguro Complementario</t>
  </si>
  <si>
    <t>Retención Préstamo Solidario SII</t>
  </si>
  <si>
    <t>Remuneración Pagada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</si>
  <si>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</si>
  <si>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</si>
  <si>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</si>
  <si>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</si>
  <si>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</si>
  <si>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</si>
  <si>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</si>
  <si>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</si>
  <si>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</si>
  <si>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</si>
  <si>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</si>
  <si>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</si>
  <si>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</si>
  <si>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</si>
  <si>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</si>
  <si>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</si>
  <si>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 y Gerencia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</si>
  <si>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</si>
  <si>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</si>
  <si>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</si>
  <si>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</si>
  <si>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</si>
  <si>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</si>
  <si>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</si>
  <si>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</si>
  <si>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15460999-7</t>
  </si>
  <si>
    <t>KATHERINE MARLENE</t>
  </si>
  <si>
    <t>BOLLMANN</t>
  </si>
  <si>
    <t>NILIAN</t>
  </si>
  <si>
    <t>01/04/2020</t>
  </si>
  <si>
    <t>Ventas y marketing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</si>
  <si>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</si>
  <si>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</si>
  <si>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</si>
  <si>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</si>
  <si>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</si>
  <si>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</si>
  <si>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</si>
  <si>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</si>
  <si>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</si>
  <si>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</si>
  <si>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</si>
  <si>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</si>
  <si>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</si>
  <si>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</si>
  <si>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</si>
  <si>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</si>
  <si>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</si>
  <si>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</si>
  <si>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</si>
  <si>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Banmedica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</si>
  <si>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</si>
  <si>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</si>
  <si>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</si>
  <si>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</si>
  <si>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</si>
  <si>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</si>
  <si>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</si>
  <si>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</si>
  <si>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</si>
  <si>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</si>
  <si>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</si>
  <si>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</si>
  <si>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</si>
  <si>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</si>
  <si>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</si>
  <si>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</si>
  <si>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</si>
  <si>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</si>
  <si>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</si>
  <si>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</si>
  <si>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</si>
  <si>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</si>
  <si>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</si>
  <si>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</si>
  <si>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</si>
  <si>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</si>
  <si>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</si>
  <si>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</si>
  <si>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</si>
  <si>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</si>
  <si>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</si>
  <si>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</si>
  <si>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</si>
  <si>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33694292-6</t>
  </si>
  <si>
    <t>CESAR FELIPE</t>
  </si>
  <si>
    <t>MACHADO</t>
  </si>
  <si>
    <t>RIBEIRO LOPES</t>
  </si>
  <si>
    <t>14/07/2023</t>
  </si>
  <si>
    <t>44429617-8</t>
  </si>
  <si>
    <t>Lucas Guilherme</t>
  </si>
  <si>
    <t>Cardoso</t>
  </si>
  <si>
    <t>Bittencourt</t>
  </si>
  <si>
    <t>01/11/2024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</si>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</sst>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54545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164" fontId="0" fillId="0" borderId="0" xfId="0" applyNumberFormat="1"/>
    <xf numFmtId="3" fontId="3" fillId="0" borderId="0" xfId="0" applyNumberFormat="1" applyFont="1"/>
    <xf numFmtId="164" fontId="2" fillId="2" borderId="0" xfId="1" applyNumberFormat="1" applyFont="1" applyFill="1"/>
    <xf numFmtId="164" fontId="0" fillId="3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showGridLines="0" tabSelected="1" topLeftCell="AA1" workbookViewId="0">
      <selection activeCell="AK6" activeCellId="1" sqref="AK4 AK6"/>
    </sheetView>
  </sheetViews>
  <sheetFormatPr baseColWidth="10" defaultColWidth="8.85546875" defaultRowHeight="15" x14ac:dyDescent="0.25"/>
  <cols>
    <col min="1" max="1" width="14" bestFit="1" customWidth="1"/>
    <col min="2" max="2" width="18.42578125" bestFit="1" customWidth="1"/>
    <col min="3" max="3" width="10.7109375" bestFit="1" customWidth="1"/>
    <col min="4" max="6" width="19.140625" customWidth="1"/>
    <col min="17" max="17" width="15.140625" bestFit="1" customWidth="1"/>
    <col min="18" max="19" width="14.140625" bestFit="1" customWidth="1"/>
    <col min="20" max="20" width="12.42578125" bestFit="1" customWidth="1"/>
    <col min="21" max="21" width="15.140625" bestFit="1" customWidth="1"/>
    <col min="22" max="23" width="11.42578125" bestFit="1" customWidth="1"/>
    <col min="24" max="24" width="14.140625" bestFit="1" customWidth="1"/>
    <col min="25" max="25" width="12.42578125" bestFit="1" customWidth="1"/>
    <col min="26" max="26" width="9.140625" bestFit="1" customWidth="1"/>
    <col min="27" max="27" width="12.42578125" bestFit="1" customWidth="1"/>
    <col min="28" max="28" width="14.140625" bestFit="1" customWidth="1"/>
    <col min="29" max="30" width="12.42578125" bestFit="1" customWidth="1"/>
    <col min="31" max="31" width="15.140625" bestFit="1" customWidth="1"/>
    <col min="32" max="32" width="9.140625" bestFit="1" customWidth="1"/>
    <col min="33" max="33" width="12.42578125" hidden="1" customWidth="1"/>
    <col min="34" max="34" width="12.42578125" bestFit="1" customWidth="1"/>
    <col min="35" max="35" width="9.140625" bestFit="1" customWidth="1"/>
    <col min="36" max="36" width="12.42578125" bestFit="1" customWidth="1"/>
    <col min="37" max="37" width="15.140625" bestFit="1" customWidth="1"/>
    <col min="38" max="41" width="12.42578125" bestFit="1" customWidth="1"/>
    <col min="42" max="42" width="15.140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I2" t="s">
        <v>49</v>
      </c>
      <c r="J2" t="s">
        <v>50</v>
      </c>
      <c r="K2">
        <v>6.33</v>
      </c>
      <c r="L2">
        <v>6231500</v>
      </c>
      <c r="M2" t="s">
        <v>51</v>
      </c>
      <c r="N2">
        <v>30</v>
      </c>
      <c r="O2">
        <v>0</v>
      </c>
      <c r="P2">
        <v>0</v>
      </c>
      <c r="Q2" s="1">
        <v>6231500</v>
      </c>
      <c r="R2" s="1">
        <v>202127</v>
      </c>
      <c r="S2" s="1">
        <v>150000</v>
      </c>
      <c r="T2" s="1">
        <v>0</v>
      </c>
      <c r="U2" s="1">
        <v>6583627</v>
      </c>
      <c r="V2" s="1">
        <v>0</v>
      </c>
      <c r="W2" s="1">
        <v>0</v>
      </c>
      <c r="X2" s="1">
        <v>393975</v>
      </c>
      <c r="Y2" s="1">
        <v>31015</v>
      </c>
      <c r="Z2" s="1">
        <v>0</v>
      </c>
      <c r="AA2" s="1">
        <v>0</v>
      </c>
      <c r="AB2" s="1">
        <v>240858</v>
      </c>
      <c r="AC2" s="1">
        <v>7290</v>
      </c>
      <c r="AD2" s="1">
        <v>0</v>
      </c>
      <c r="AE2" s="1">
        <v>596350</v>
      </c>
      <c r="AF2" s="1">
        <v>0</v>
      </c>
      <c r="AG2" s="1">
        <v>0</v>
      </c>
      <c r="AH2" s="1">
        <v>177533</v>
      </c>
      <c r="AI2" s="1">
        <v>0</v>
      </c>
      <c r="AJ2" s="1">
        <v>177533</v>
      </c>
      <c r="AK2" s="6">
        <v>5136606</v>
      </c>
      <c r="AL2" s="1">
        <v>32000</v>
      </c>
      <c r="AM2" s="1">
        <v>82705</v>
      </c>
      <c r="AN2" s="1">
        <v>41353</v>
      </c>
      <c r="AO2" s="1">
        <v>61247</v>
      </c>
      <c r="AP2" s="1">
        <v>6800932</v>
      </c>
    </row>
    <row r="3" spans="1:42" x14ac:dyDescent="0.25">
      <c r="A3" t="s">
        <v>42</v>
      </c>
      <c r="B3" t="s">
        <v>43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I3" t="s">
        <v>57</v>
      </c>
      <c r="J3" t="s">
        <v>58</v>
      </c>
      <c r="K3">
        <v>11.54</v>
      </c>
      <c r="L3">
        <v>6395833</v>
      </c>
      <c r="M3" t="s">
        <v>59</v>
      </c>
      <c r="N3">
        <v>30</v>
      </c>
      <c r="O3">
        <v>1</v>
      </c>
      <c r="P3">
        <v>0</v>
      </c>
      <c r="Q3" s="1">
        <v>6395833</v>
      </c>
      <c r="R3" s="1">
        <v>202127</v>
      </c>
      <c r="S3" s="1">
        <v>150000</v>
      </c>
      <c r="T3" s="1">
        <v>300000</v>
      </c>
      <c r="U3" s="1">
        <v>7047960</v>
      </c>
      <c r="V3" s="1">
        <v>0</v>
      </c>
      <c r="W3" s="1">
        <v>0</v>
      </c>
      <c r="X3" s="1">
        <v>393631</v>
      </c>
      <c r="Y3" s="1">
        <v>31015</v>
      </c>
      <c r="Z3" s="1">
        <v>0</v>
      </c>
      <c r="AA3" s="1">
        <v>0</v>
      </c>
      <c r="AB3" s="1">
        <v>240858</v>
      </c>
      <c r="AC3" s="1">
        <v>211231</v>
      </c>
      <c r="AD3" s="1">
        <v>0</v>
      </c>
      <c r="AE3" s="1">
        <v>718332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6">
        <v>5452893</v>
      </c>
      <c r="AL3" s="1">
        <v>32000</v>
      </c>
      <c r="AM3" s="1">
        <v>82705</v>
      </c>
      <c r="AN3" s="1">
        <v>41353</v>
      </c>
      <c r="AO3" s="1">
        <v>61247</v>
      </c>
      <c r="AP3" s="1">
        <v>7265265</v>
      </c>
    </row>
    <row r="4" spans="1:42" x14ac:dyDescent="0.25">
      <c r="A4" t="s">
        <v>42</v>
      </c>
      <c r="B4" t="s">
        <v>43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I4" t="s">
        <v>57</v>
      </c>
      <c r="J4" t="s">
        <v>58</v>
      </c>
      <c r="K4">
        <v>6.14</v>
      </c>
      <c r="L4">
        <v>4766250</v>
      </c>
      <c r="M4" t="s">
        <v>65</v>
      </c>
      <c r="N4">
        <v>30</v>
      </c>
      <c r="O4">
        <v>0</v>
      </c>
      <c r="P4">
        <v>0</v>
      </c>
      <c r="Q4" s="1">
        <v>4766250</v>
      </c>
      <c r="R4" s="1">
        <v>202127</v>
      </c>
      <c r="S4" s="1">
        <v>150000</v>
      </c>
      <c r="T4" s="1">
        <v>0</v>
      </c>
      <c r="U4" s="1">
        <v>5118377</v>
      </c>
      <c r="V4" s="1">
        <v>0</v>
      </c>
      <c r="W4" s="1">
        <v>0</v>
      </c>
      <c r="X4" s="1">
        <v>393631</v>
      </c>
      <c r="Y4" s="1">
        <v>30710</v>
      </c>
      <c r="Z4" s="1">
        <v>0</v>
      </c>
      <c r="AA4" s="1">
        <v>0</v>
      </c>
      <c r="AB4" s="1">
        <v>240858</v>
      </c>
      <c r="AC4" s="1">
        <v>0</v>
      </c>
      <c r="AD4" s="1">
        <v>0</v>
      </c>
      <c r="AE4" s="1">
        <v>292950</v>
      </c>
      <c r="AF4" s="1">
        <v>0</v>
      </c>
      <c r="AG4" s="1">
        <v>73999</v>
      </c>
      <c r="AH4" s="1">
        <v>0</v>
      </c>
      <c r="AI4" s="1">
        <v>0</v>
      </c>
      <c r="AJ4" s="1">
        <v>73999</v>
      </c>
      <c r="AK4" s="6">
        <v>4086229</v>
      </c>
      <c r="AL4" s="1">
        <v>32000</v>
      </c>
      <c r="AM4" s="1">
        <v>81894</v>
      </c>
      <c r="AN4" s="1">
        <v>40947</v>
      </c>
      <c r="AO4" s="1">
        <v>61247</v>
      </c>
      <c r="AP4" s="1">
        <v>5334465</v>
      </c>
    </row>
    <row r="5" spans="1:42" x14ac:dyDescent="0.25">
      <c r="A5" t="s">
        <v>42</v>
      </c>
      <c r="B5" t="s">
        <v>43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I5" t="s">
        <v>57</v>
      </c>
      <c r="J5" t="s">
        <v>71</v>
      </c>
      <c r="K5">
        <v>7.17</v>
      </c>
      <c r="L5">
        <v>7500000</v>
      </c>
      <c r="M5" t="s">
        <v>59</v>
      </c>
      <c r="N5">
        <v>30</v>
      </c>
      <c r="O5">
        <v>1</v>
      </c>
      <c r="P5">
        <v>0</v>
      </c>
      <c r="Q5" s="1">
        <v>7500000</v>
      </c>
      <c r="R5" s="1">
        <v>202127</v>
      </c>
      <c r="S5" s="1">
        <v>150000</v>
      </c>
      <c r="T5" s="1">
        <v>0</v>
      </c>
      <c r="U5" s="1">
        <v>7852127</v>
      </c>
      <c r="V5" s="1">
        <v>0</v>
      </c>
      <c r="W5" s="1">
        <v>0</v>
      </c>
      <c r="X5" s="1">
        <v>393631</v>
      </c>
      <c r="Y5" s="1">
        <v>31015</v>
      </c>
      <c r="Z5" s="1">
        <v>0</v>
      </c>
      <c r="AA5" s="1">
        <v>0</v>
      </c>
      <c r="AB5" s="1">
        <v>240858</v>
      </c>
      <c r="AC5" s="1">
        <v>40170</v>
      </c>
      <c r="AD5" s="1">
        <v>0</v>
      </c>
      <c r="AE5" s="1">
        <v>962799</v>
      </c>
      <c r="AF5" s="1">
        <v>0</v>
      </c>
      <c r="AG5" s="1">
        <v>73999</v>
      </c>
      <c r="AH5" s="1">
        <v>0</v>
      </c>
      <c r="AI5" s="1">
        <v>0</v>
      </c>
      <c r="AJ5" s="1">
        <v>73999</v>
      </c>
      <c r="AK5" s="6">
        <v>6109655</v>
      </c>
      <c r="AL5" s="1">
        <v>32000</v>
      </c>
      <c r="AM5" s="1">
        <v>82705</v>
      </c>
      <c r="AN5" s="1">
        <v>41353</v>
      </c>
      <c r="AO5" s="1">
        <v>61247</v>
      </c>
      <c r="AP5" s="1">
        <v>8069432</v>
      </c>
    </row>
    <row r="6" spans="1:42" x14ac:dyDescent="0.25">
      <c r="A6" t="s">
        <v>42</v>
      </c>
      <c r="B6" t="s">
        <v>43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I6" t="s">
        <v>77</v>
      </c>
      <c r="J6" t="s">
        <v>78</v>
      </c>
      <c r="L6">
        <v>1500000</v>
      </c>
      <c r="M6" t="s">
        <v>51</v>
      </c>
      <c r="N6">
        <v>30</v>
      </c>
      <c r="O6">
        <v>0</v>
      </c>
      <c r="P6">
        <v>0</v>
      </c>
      <c r="Q6" s="1">
        <v>1500000</v>
      </c>
      <c r="R6" s="1">
        <v>202127</v>
      </c>
      <c r="S6" s="1">
        <v>150000</v>
      </c>
      <c r="T6" s="1">
        <v>0</v>
      </c>
      <c r="U6" s="1">
        <v>1852127</v>
      </c>
      <c r="V6" s="1">
        <v>0</v>
      </c>
      <c r="W6" s="1">
        <v>0</v>
      </c>
      <c r="X6" s="1">
        <v>195955</v>
      </c>
      <c r="Y6" s="1">
        <v>11113</v>
      </c>
      <c r="Z6" s="1">
        <v>0</v>
      </c>
      <c r="AA6" s="1">
        <v>129649</v>
      </c>
      <c r="AB6" s="1">
        <v>0</v>
      </c>
      <c r="AC6" s="1">
        <v>0</v>
      </c>
      <c r="AD6" s="1">
        <v>0</v>
      </c>
      <c r="AE6" s="1">
        <v>23546</v>
      </c>
      <c r="AF6" s="1">
        <v>0</v>
      </c>
      <c r="AG6" s="1">
        <v>73999</v>
      </c>
      <c r="AH6" s="1">
        <v>0</v>
      </c>
      <c r="AI6" s="1">
        <v>0</v>
      </c>
      <c r="AJ6" s="1">
        <v>73999</v>
      </c>
      <c r="AK6" s="6">
        <v>1417865</v>
      </c>
      <c r="AL6" s="1">
        <v>17225</v>
      </c>
      <c r="AM6" s="1">
        <v>29634</v>
      </c>
      <c r="AN6" s="1">
        <v>14817</v>
      </c>
      <c r="AO6" s="1">
        <v>32968</v>
      </c>
      <c r="AP6" s="1">
        <v>1946771</v>
      </c>
    </row>
    <row r="7" spans="1:42" x14ac:dyDescent="0.25">
      <c r="A7" t="s">
        <v>42</v>
      </c>
      <c r="B7" t="s">
        <v>43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I7" t="s">
        <v>84</v>
      </c>
      <c r="J7" t="s">
        <v>85</v>
      </c>
      <c r="K7">
        <v>11.96</v>
      </c>
      <c r="L7">
        <v>6562600</v>
      </c>
      <c r="M7" t="s">
        <v>59</v>
      </c>
      <c r="N7">
        <v>30</v>
      </c>
      <c r="O7">
        <v>2</v>
      </c>
      <c r="P7">
        <v>0</v>
      </c>
      <c r="Q7" s="1">
        <v>6562600</v>
      </c>
      <c r="R7" s="1">
        <v>202127</v>
      </c>
      <c r="S7" s="1">
        <v>150000</v>
      </c>
      <c r="T7" s="1">
        <v>0</v>
      </c>
      <c r="U7" s="1">
        <v>6914727</v>
      </c>
      <c r="V7" s="1">
        <v>0</v>
      </c>
      <c r="W7" s="1">
        <v>0</v>
      </c>
      <c r="X7" s="1">
        <v>387782</v>
      </c>
      <c r="Y7" s="1">
        <v>31015</v>
      </c>
      <c r="Z7" s="1">
        <v>0</v>
      </c>
      <c r="AA7" s="1">
        <v>0</v>
      </c>
      <c r="AB7" s="1">
        <v>240858</v>
      </c>
      <c r="AC7" s="1">
        <v>228005</v>
      </c>
      <c r="AD7" s="1">
        <v>156758</v>
      </c>
      <c r="AE7" s="1">
        <v>679607</v>
      </c>
      <c r="AF7" s="1">
        <v>0</v>
      </c>
      <c r="AG7" s="1">
        <v>72795</v>
      </c>
      <c r="AH7" s="1">
        <v>0</v>
      </c>
      <c r="AI7" s="1">
        <v>0</v>
      </c>
      <c r="AJ7" s="1">
        <v>72795</v>
      </c>
      <c r="AK7" s="6">
        <v>5117907</v>
      </c>
      <c r="AL7" s="1">
        <v>32000</v>
      </c>
      <c r="AM7" s="1">
        <v>82705</v>
      </c>
      <c r="AN7" s="1">
        <v>41353</v>
      </c>
      <c r="AO7" s="1">
        <v>61247</v>
      </c>
      <c r="AP7" s="1">
        <v>7132032</v>
      </c>
    </row>
    <row r="8" spans="1:42" x14ac:dyDescent="0.25">
      <c r="A8" t="s">
        <v>42</v>
      </c>
      <c r="B8" t="s">
        <v>43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I8" t="s">
        <v>77</v>
      </c>
      <c r="J8" t="s">
        <v>71</v>
      </c>
      <c r="K8">
        <v>6.73</v>
      </c>
      <c r="L8">
        <v>6825000</v>
      </c>
      <c r="M8" t="s">
        <v>59</v>
      </c>
      <c r="N8">
        <v>30</v>
      </c>
      <c r="O8">
        <v>0</v>
      </c>
      <c r="P8">
        <v>0</v>
      </c>
      <c r="Q8" s="1">
        <v>6825000</v>
      </c>
      <c r="R8" s="1">
        <v>202127</v>
      </c>
      <c r="S8" s="1">
        <v>150000</v>
      </c>
      <c r="T8" s="1">
        <v>0</v>
      </c>
      <c r="U8" s="1">
        <v>7177127</v>
      </c>
      <c r="V8" s="1">
        <v>0</v>
      </c>
      <c r="W8" s="1">
        <v>0</v>
      </c>
      <c r="X8" s="1">
        <v>364040</v>
      </c>
      <c r="Y8" s="1">
        <v>31015</v>
      </c>
      <c r="Z8" s="1">
        <v>0</v>
      </c>
      <c r="AA8" s="1">
        <v>0</v>
      </c>
      <c r="AB8" s="1">
        <v>240858</v>
      </c>
      <c r="AC8" s="1">
        <v>22848</v>
      </c>
      <c r="AD8" s="1">
        <v>0</v>
      </c>
      <c r="AE8" s="1">
        <v>766595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6">
        <v>5751771</v>
      </c>
      <c r="AL8" s="1">
        <v>32000</v>
      </c>
      <c r="AM8" s="1">
        <v>82705</v>
      </c>
      <c r="AN8" s="1">
        <v>41353</v>
      </c>
      <c r="AO8" s="1">
        <v>61247</v>
      </c>
      <c r="AP8" s="1">
        <v>7394432</v>
      </c>
    </row>
    <row r="9" spans="1:42" x14ac:dyDescent="0.25">
      <c r="A9" t="s">
        <v>42</v>
      </c>
      <c r="B9" t="s">
        <v>43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I9" t="s">
        <v>96</v>
      </c>
      <c r="J9" t="s">
        <v>78</v>
      </c>
      <c r="L9">
        <v>1750000</v>
      </c>
      <c r="M9" t="s">
        <v>97</v>
      </c>
      <c r="N9">
        <v>30</v>
      </c>
      <c r="O9">
        <v>0</v>
      </c>
      <c r="P9">
        <v>0</v>
      </c>
      <c r="Q9" s="1">
        <v>1750000</v>
      </c>
      <c r="R9" s="1">
        <v>202127</v>
      </c>
      <c r="S9" s="1">
        <v>150000</v>
      </c>
      <c r="T9" s="1">
        <v>0</v>
      </c>
      <c r="U9" s="1">
        <v>2102127</v>
      </c>
      <c r="V9" s="1">
        <v>0</v>
      </c>
      <c r="W9" s="1">
        <v>0</v>
      </c>
      <c r="X9" s="1">
        <v>220513</v>
      </c>
      <c r="Y9" s="1">
        <v>12613</v>
      </c>
      <c r="Z9" s="1">
        <v>0</v>
      </c>
      <c r="AA9" s="1">
        <v>147149</v>
      </c>
      <c r="AB9" s="1">
        <v>0</v>
      </c>
      <c r="AC9" s="1">
        <v>0</v>
      </c>
      <c r="AD9" s="1">
        <v>0</v>
      </c>
      <c r="AE9" s="1">
        <v>31804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6">
        <v>1690048</v>
      </c>
      <c r="AL9" s="1">
        <v>19550</v>
      </c>
      <c r="AM9" s="1">
        <v>33634</v>
      </c>
      <c r="AN9" s="1">
        <v>16817</v>
      </c>
      <c r="AO9" s="1">
        <v>37418</v>
      </c>
      <c r="AP9" s="1">
        <v>2209546</v>
      </c>
    </row>
    <row r="10" spans="1:42" x14ac:dyDescent="0.25">
      <c r="A10" t="s">
        <v>42</v>
      </c>
      <c r="B10" t="s">
        <v>43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I10" t="s">
        <v>103</v>
      </c>
      <c r="J10" t="s">
        <v>85</v>
      </c>
      <c r="K10">
        <v>6.28</v>
      </c>
      <c r="L10">
        <v>5500000</v>
      </c>
      <c r="M10" t="s">
        <v>59</v>
      </c>
      <c r="N10">
        <v>30</v>
      </c>
      <c r="O10">
        <v>0</v>
      </c>
      <c r="P10">
        <v>0</v>
      </c>
      <c r="Q10" s="1">
        <v>5500000</v>
      </c>
      <c r="R10" s="1">
        <v>202127</v>
      </c>
      <c r="S10" s="1">
        <v>150000</v>
      </c>
      <c r="T10" s="1">
        <v>300000</v>
      </c>
      <c r="U10" s="1">
        <v>6152127</v>
      </c>
      <c r="V10" s="1">
        <v>0</v>
      </c>
      <c r="W10" s="1">
        <v>0</v>
      </c>
      <c r="X10" s="1">
        <v>383997</v>
      </c>
      <c r="Y10" s="1">
        <v>27913</v>
      </c>
      <c r="Z10" s="1">
        <v>0</v>
      </c>
      <c r="AA10" s="1">
        <v>0</v>
      </c>
      <c r="AB10" s="1">
        <v>240858</v>
      </c>
      <c r="AC10" s="1">
        <v>5369</v>
      </c>
      <c r="AD10" s="1">
        <v>0</v>
      </c>
      <c r="AE10" s="1">
        <v>500114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6">
        <v>4993876</v>
      </c>
      <c r="AL10" s="1">
        <v>32000</v>
      </c>
      <c r="AM10" s="1">
        <v>88908</v>
      </c>
      <c r="AN10" s="1">
        <v>38251</v>
      </c>
      <c r="AO10" s="1">
        <v>61247</v>
      </c>
      <c r="AP10" s="1">
        <v>6372533</v>
      </c>
    </row>
    <row r="11" spans="1:42" x14ac:dyDescent="0.25">
      <c r="A11" t="s">
        <v>42</v>
      </c>
      <c r="B11" t="s">
        <v>43</v>
      </c>
      <c r="C11" t="s">
        <v>104</v>
      </c>
      <c r="D11" t="s">
        <v>105</v>
      </c>
      <c r="E11" t="s">
        <v>106</v>
      </c>
      <c r="F11" t="s">
        <v>101</v>
      </c>
      <c r="G11" t="s">
        <v>107</v>
      </c>
      <c r="I11" t="s">
        <v>103</v>
      </c>
      <c r="J11" t="s">
        <v>108</v>
      </c>
      <c r="K11">
        <v>5.89</v>
      </c>
      <c r="L11">
        <v>2706000</v>
      </c>
      <c r="M11" t="s">
        <v>51</v>
      </c>
      <c r="N11">
        <v>30</v>
      </c>
      <c r="O11">
        <v>0</v>
      </c>
      <c r="P11">
        <v>0</v>
      </c>
      <c r="Q11" s="1">
        <v>2706000</v>
      </c>
      <c r="R11" s="1">
        <v>202127</v>
      </c>
      <c r="S11" s="1">
        <v>150000</v>
      </c>
      <c r="T11" s="1">
        <v>0</v>
      </c>
      <c r="U11" s="1">
        <v>3058127</v>
      </c>
      <c r="V11" s="1">
        <v>50000</v>
      </c>
      <c r="W11" s="1">
        <v>50000</v>
      </c>
      <c r="X11" s="1">
        <v>341287</v>
      </c>
      <c r="Y11" s="1">
        <v>18349</v>
      </c>
      <c r="Z11" s="1">
        <v>0</v>
      </c>
      <c r="AA11" s="1">
        <v>0</v>
      </c>
      <c r="AB11" s="1">
        <v>214069</v>
      </c>
      <c r="AC11" s="1">
        <v>16639</v>
      </c>
      <c r="AD11" s="1">
        <v>0</v>
      </c>
      <c r="AE11" s="1">
        <v>77975</v>
      </c>
      <c r="AF11" s="1">
        <v>0</v>
      </c>
      <c r="AG11" s="1">
        <v>73999</v>
      </c>
      <c r="AH11" s="1">
        <v>0</v>
      </c>
      <c r="AI11" s="1">
        <v>0</v>
      </c>
      <c r="AJ11" s="1">
        <v>73999</v>
      </c>
      <c r="AK11" s="6">
        <v>2365809</v>
      </c>
      <c r="AL11" s="1">
        <v>28441</v>
      </c>
      <c r="AM11" s="1">
        <v>48930</v>
      </c>
      <c r="AN11" s="1">
        <v>24465</v>
      </c>
      <c r="AO11" s="1">
        <v>54435</v>
      </c>
      <c r="AP11" s="1">
        <v>3264398</v>
      </c>
    </row>
    <row r="12" spans="1:42" x14ac:dyDescent="0.25">
      <c r="A12" t="s">
        <v>42</v>
      </c>
      <c r="B12" t="s">
        <v>43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I12" t="s">
        <v>103</v>
      </c>
      <c r="J12" t="s">
        <v>50</v>
      </c>
      <c r="K12">
        <v>6.86</v>
      </c>
      <c r="L12">
        <v>4715000</v>
      </c>
      <c r="M12" t="s">
        <v>59</v>
      </c>
      <c r="N12">
        <v>30</v>
      </c>
      <c r="O12">
        <v>0</v>
      </c>
      <c r="P12">
        <v>0</v>
      </c>
      <c r="Q12" s="1">
        <v>4715000</v>
      </c>
      <c r="R12" s="1">
        <v>202127</v>
      </c>
      <c r="S12" s="1">
        <v>150000</v>
      </c>
      <c r="T12" s="1">
        <v>0</v>
      </c>
      <c r="U12" s="1">
        <v>5067127</v>
      </c>
      <c r="V12" s="1">
        <v>0</v>
      </c>
      <c r="W12" s="1">
        <v>0</v>
      </c>
      <c r="X12" s="1">
        <v>383997</v>
      </c>
      <c r="Y12" s="1">
        <v>30403</v>
      </c>
      <c r="Z12" s="1">
        <v>0</v>
      </c>
      <c r="AA12" s="1">
        <v>0</v>
      </c>
      <c r="AB12" s="1">
        <v>240858</v>
      </c>
      <c r="AC12" s="1">
        <v>27786</v>
      </c>
      <c r="AD12" s="1">
        <v>0</v>
      </c>
      <c r="AE12" s="1">
        <v>287373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6">
        <v>4096710</v>
      </c>
      <c r="AL12" s="1">
        <v>32000</v>
      </c>
      <c r="AM12" s="1">
        <v>81074</v>
      </c>
      <c r="AN12" s="1">
        <v>40537</v>
      </c>
      <c r="AO12" s="1">
        <v>61247</v>
      </c>
      <c r="AP12" s="1">
        <v>5281985</v>
      </c>
    </row>
    <row r="13" spans="1:42" x14ac:dyDescent="0.25">
      <c r="A13" t="s">
        <v>42</v>
      </c>
      <c r="B13" t="s">
        <v>43</v>
      </c>
      <c r="C13" t="s">
        <v>114</v>
      </c>
      <c r="D13" t="s">
        <v>115</v>
      </c>
      <c r="E13" t="s">
        <v>116</v>
      </c>
      <c r="F13" t="s">
        <v>117</v>
      </c>
      <c r="G13" t="s">
        <v>107</v>
      </c>
      <c r="I13" t="s">
        <v>77</v>
      </c>
      <c r="J13" t="s">
        <v>118</v>
      </c>
      <c r="K13">
        <v>11.67</v>
      </c>
      <c r="L13">
        <v>10882526</v>
      </c>
      <c r="M13" t="s">
        <v>51</v>
      </c>
      <c r="N13">
        <v>30</v>
      </c>
      <c r="O13">
        <v>1</v>
      </c>
      <c r="P13">
        <v>0</v>
      </c>
      <c r="Q13" s="1">
        <v>10882526</v>
      </c>
      <c r="R13" s="1">
        <v>202127</v>
      </c>
      <c r="S13" s="1">
        <v>150000</v>
      </c>
      <c r="T13" s="1">
        <v>0</v>
      </c>
      <c r="U13" s="1">
        <v>11234653</v>
      </c>
      <c r="V13" s="1">
        <v>0</v>
      </c>
      <c r="W13" s="1">
        <v>0</v>
      </c>
      <c r="X13" s="1">
        <v>364040</v>
      </c>
      <c r="Y13" s="1">
        <v>31015</v>
      </c>
      <c r="Z13" s="1">
        <v>0</v>
      </c>
      <c r="AA13" s="1">
        <v>0</v>
      </c>
      <c r="AB13" s="1">
        <v>240858</v>
      </c>
      <c r="AC13" s="1">
        <v>216483</v>
      </c>
      <c r="AD13" s="1">
        <v>0</v>
      </c>
      <c r="AE13" s="1">
        <v>2108688</v>
      </c>
      <c r="AF13" s="1">
        <v>0</v>
      </c>
      <c r="AG13" s="1">
        <v>56460</v>
      </c>
      <c r="AH13" s="1">
        <v>0</v>
      </c>
      <c r="AI13" s="1">
        <v>0</v>
      </c>
      <c r="AJ13" s="1">
        <v>56460</v>
      </c>
      <c r="AK13" s="6">
        <v>8217109</v>
      </c>
      <c r="AL13" s="1">
        <v>32000</v>
      </c>
      <c r="AM13" s="1">
        <v>82705</v>
      </c>
      <c r="AN13" s="1">
        <v>41353</v>
      </c>
      <c r="AO13" s="1">
        <v>61247</v>
      </c>
      <c r="AP13" s="1">
        <v>11451958</v>
      </c>
    </row>
    <row r="14" spans="1:42" x14ac:dyDescent="0.25">
      <c r="A14" t="s">
        <v>42</v>
      </c>
      <c r="B14" t="s">
        <v>43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I14" t="s">
        <v>77</v>
      </c>
      <c r="J14" t="s">
        <v>78</v>
      </c>
      <c r="L14">
        <v>17352371</v>
      </c>
      <c r="M14" t="s">
        <v>51</v>
      </c>
      <c r="N14">
        <v>30</v>
      </c>
      <c r="O14">
        <v>0</v>
      </c>
      <c r="P14">
        <v>0</v>
      </c>
      <c r="Q14" s="1">
        <v>17352371</v>
      </c>
      <c r="R14" s="1">
        <v>202127</v>
      </c>
      <c r="S14" s="1">
        <v>150000</v>
      </c>
      <c r="T14" s="1">
        <v>0</v>
      </c>
      <c r="U14" s="1">
        <v>17704498</v>
      </c>
      <c r="V14" s="1">
        <v>0</v>
      </c>
      <c r="W14" s="1">
        <v>0</v>
      </c>
      <c r="X14" s="1">
        <v>364040</v>
      </c>
      <c r="Y14" s="1">
        <v>31015</v>
      </c>
      <c r="Z14" s="1">
        <v>0</v>
      </c>
      <c r="AA14" s="1">
        <v>240858</v>
      </c>
      <c r="AB14" s="1">
        <v>0</v>
      </c>
      <c r="AC14" s="1">
        <v>0</v>
      </c>
      <c r="AD14" s="1">
        <v>0</v>
      </c>
      <c r="AE14" s="1">
        <v>4373133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12695452</v>
      </c>
      <c r="AL14" s="1">
        <v>32000</v>
      </c>
      <c r="AM14" s="1">
        <v>82705</v>
      </c>
      <c r="AN14" s="1">
        <v>41353</v>
      </c>
      <c r="AO14" s="1">
        <v>61247</v>
      </c>
      <c r="AP14" s="1">
        <v>17921803</v>
      </c>
    </row>
    <row r="15" spans="1:42" x14ac:dyDescent="0.25">
      <c r="A15" t="s">
        <v>42</v>
      </c>
      <c r="B15" t="s">
        <v>43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I15" t="s">
        <v>96</v>
      </c>
      <c r="J15" t="s">
        <v>58</v>
      </c>
      <c r="K15">
        <v>6.16</v>
      </c>
      <c r="L15">
        <v>3075000</v>
      </c>
      <c r="M15" t="s">
        <v>59</v>
      </c>
      <c r="N15">
        <v>30</v>
      </c>
      <c r="O15">
        <v>0</v>
      </c>
      <c r="P15">
        <v>0</v>
      </c>
      <c r="Q15" s="1">
        <v>3075000</v>
      </c>
      <c r="R15" s="1">
        <v>202127</v>
      </c>
      <c r="S15" s="1">
        <v>150000</v>
      </c>
      <c r="T15" s="1">
        <v>0</v>
      </c>
      <c r="U15" s="1">
        <v>3427127</v>
      </c>
      <c r="V15" s="1">
        <v>0</v>
      </c>
      <c r="W15" s="1">
        <v>0</v>
      </c>
      <c r="X15" s="1">
        <v>359506</v>
      </c>
      <c r="Y15" s="1">
        <v>20563</v>
      </c>
      <c r="Z15" s="1">
        <v>0</v>
      </c>
      <c r="AA15" s="1">
        <v>0</v>
      </c>
      <c r="AB15" s="1">
        <v>239899</v>
      </c>
      <c r="AC15" s="1">
        <v>1508</v>
      </c>
      <c r="AD15" s="1">
        <v>0</v>
      </c>
      <c r="AE15" s="1">
        <v>105048</v>
      </c>
      <c r="AF15" s="1">
        <v>0</v>
      </c>
      <c r="AG15" s="1">
        <v>36155</v>
      </c>
      <c r="AH15" s="1">
        <v>0</v>
      </c>
      <c r="AI15" s="1">
        <v>0</v>
      </c>
      <c r="AJ15" s="1">
        <v>36155</v>
      </c>
      <c r="AK15" s="1">
        <v>2664448</v>
      </c>
      <c r="AL15" s="1">
        <v>31872</v>
      </c>
      <c r="AM15" s="1">
        <v>54834</v>
      </c>
      <c r="AN15" s="1">
        <v>27417</v>
      </c>
      <c r="AO15" s="1">
        <v>61003</v>
      </c>
      <c r="AP15" s="1">
        <v>3602253</v>
      </c>
    </row>
    <row r="16" spans="1:42" x14ac:dyDescent="0.25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t="s">
        <v>129</v>
      </c>
      <c r="B17" t="s">
        <v>129</v>
      </c>
      <c r="C17" t="s">
        <v>129</v>
      </c>
      <c r="D17" t="s">
        <v>129</v>
      </c>
      <c r="E17" t="s">
        <v>129</v>
      </c>
      <c r="F17" t="s">
        <v>129</v>
      </c>
      <c r="G17" t="s">
        <v>129</v>
      </c>
      <c r="H17" t="s">
        <v>129</v>
      </c>
      <c r="I17" t="s">
        <v>129</v>
      </c>
      <c r="J17" t="s">
        <v>129</v>
      </c>
      <c r="K17" t="s">
        <v>129</v>
      </c>
      <c r="L17" t="s">
        <v>129</v>
      </c>
      <c r="M17" t="s">
        <v>129</v>
      </c>
      <c r="N17" t="s">
        <v>129</v>
      </c>
      <c r="O17" t="s">
        <v>129</v>
      </c>
      <c r="P17" t="s">
        <v>129</v>
      </c>
      <c r="Q17" s="2">
        <f>SUM(Q2:Q16)</f>
        <v>85762080</v>
      </c>
      <c r="R17" s="2">
        <f t="shared" ref="R17:AP17" si="0">SUM(R2:R16)</f>
        <v>2829778</v>
      </c>
      <c r="S17" s="2">
        <f t="shared" si="0"/>
        <v>2100000</v>
      </c>
      <c r="T17" s="2">
        <f t="shared" si="0"/>
        <v>600000</v>
      </c>
      <c r="U17" s="2">
        <f t="shared" si="0"/>
        <v>91291858</v>
      </c>
      <c r="V17" s="2">
        <f t="shared" si="0"/>
        <v>50000</v>
      </c>
      <c r="W17" s="2">
        <f t="shared" si="0"/>
        <v>50000</v>
      </c>
      <c r="X17" s="2">
        <f t="shared" si="0"/>
        <v>4940025</v>
      </c>
      <c r="Y17" s="2">
        <f t="shared" si="0"/>
        <v>368769</v>
      </c>
      <c r="Z17" s="2">
        <f t="shared" si="0"/>
        <v>0</v>
      </c>
      <c r="AA17" s="2">
        <f t="shared" si="0"/>
        <v>517656</v>
      </c>
      <c r="AB17" s="2">
        <f t="shared" si="0"/>
        <v>2621690</v>
      </c>
      <c r="AC17" s="2">
        <f t="shared" si="0"/>
        <v>777329</v>
      </c>
      <c r="AD17" s="2">
        <f t="shared" si="0"/>
        <v>156758</v>
      </c>
      <c r="AE17" s="5">
        <f t="shared" si="0"/>
        <v>11524314</v>
      </c>
      <c r="AF17" s="2">
        <f t="shared" si="0"/>
        <v>0</v>
      </c>
      <c r="AG17" s="2">
        <f t="shared" si="0"/>
        <v>461406</v>
      </c>
      <c r="AH17" s="5">
        <f t="shared" si="0"/>
        <v>177533</v>
      </c>
      <c r="AI17" s="2">
        <f t="shared" si="0"/>
        <v>0</v>
      </c>
      <c r="AJ17" s="2">
        <f t="shared" si="0"/>
        <v>638939</v>
      </c>
      <c r="AK17" s="2">
        <f t="shared" si="0"/>
        <v>69796378</v>
      </c>
      <c r="AL17" s="2">
        <f t="shared" si="0"/>
        <v>417088</v>
      </c>
      <c r="AM17" s="2">
        <f t="shared" si="0"/>
        <v>997843</v>
      </c>
      <c r="AN17" s="2">
        <f t="shared" si="0"/>
        <v>492722</v>
      </c>
      <c r="AO17" s="2">
        <f t="shared" si="0"/>
        <v>798294</v>
      </c>
      <c r="AP17" s="2">
        <f t="shared" si="0"/>
        <v>94047805</v>
      </c>
    </row>
    <row r="18" spans="1:42" x14ac:dyDescent="0.25">
      <c r="A18" t="s">
        <v>129</v>
      </c>
      <c r="B18" t="s">
        <v>129</v>
      </c>
      <c r="C18" t="s">
        <v>129</v>
      </c>
      <c r="D18" t="s">
        <v>129</v>
      </c>
      <c r="E18" t="s">
        <v>129</v>
      </c>
      <c r="F18" t="s">
        <v>129</v>
      </c>
      <c r="G18" t="s">
        <v>129</v>
      </c>
      <c r="H18" t="s">
        <v>129</v>
      </c>
      <c r="I18" t="s">
        <v>129</v>
      </c>
      <c r="J18" t="s">
        <v>129</v>
      </c>
      <c r="K18" t="s">
        <v>129</v>
      </c>
      <c r="L18" t="s">
        <v>129</v>
      </c>
      <c r="M18" t="s">
        <v>129</v>
      </c>
      <c r="N18" t="s">
        <v>129</v>
      </c>
      <c r="O18" t="s">
        <v>129</v>
      </c>
      <c r="P18" t="s">
        <v>129</v>
      </c>
      <c r="Q18" t="s">
        <v>129</v>
      </c>
      <c r="R18" t="s">
        <v>129</v>
      </c>
      <c r="S18" t="s">
        <v>129</v>
      </c>
      <c r="T18" t="s">
        <v>129</v>
      </c>
      <c r="U18" t="s">
        <v>129</v>
      </c>
      <c r="V18" t="s">
        <v>129</v>
      </c>
      <c r="W18" t="s">
        <v>129</v>
      </c>
      <c r="X18" t="s">
        <v>129</v>
      </c>
      <c r="Y18" t="s">
        <v>129</v>
      </c>
      <c r="Z18" t="s">
        <v>129</v>
      </c>
      <c r="AA18" t="s">
        <v>129</v>
      </c>
      <c r="AB18" t="s">
        <v>129</v>
      </c>
      <c r="AC18" t="s">
        <v>129</v>
      </c>
      <c r="AD18" t="s">
        <v>129</v>
      </c>
      <c r="AE18" t="s">
        <v>129</v>
      </c>
      <c r="AF18" t="s">
        <v>129</v>
      </c>
      <c r="AG18" t="s">
        <v>129</v>
      </c>
      <c r="AH18" t="s">
        <v>129</v>
      </c>
      <c r="AI18" t="s">
        <v>129</v>
      </c>
      <c r="AJ18" t="s">
        <v>129</v>
      </c>
      <c r="AK18" t="s">
        <v>129</v>
      </c>
      <c r="AL18" t="s">
        <v>129</v>
      </c>
      <c r="AM18" t="s">
        <v>129</v>
      </c>
      <c r="AN18" t="s">
        <v>129</v>
      </c>
      <c r="AO18" t="s">
        <v>129</v>
      </c>
      <c r="AP18" t="s">
        <v>129</v>
      </c>
    </row>
    <row r="22" spans="1:42" x14ac:dyDescent="0.25">
      <c r="AH22" s="3">
        <f>+AL17+AM17+AN17+AO17+X17+Y17+Z17+AA17+AB17+AC17+AD17</f>
        <v>12088174</v>
      </c>
    </row>
    <row r="23" spans="1:42" x14ac:dyDescent="0.25">
      <c r="AH23" s="4">
        <v>12088174</v>
      </c>
    </row>
  </sheetData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11BCFB-3F9B-4B97-8349-E6017C007D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15D25040-A4C8-4052-8302-7E38F02FA6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4B696-7C6A-4245-8EF3-DD7C55AE12CD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2025-05-23T13:10:31Z</dcterms:created>
  <dcterms:modified xsi:type="dcterms:W3CDTF">2025-08-06T21:32:47Z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