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95" documentId="13_ncr:1_{C3094E2F-7A8A-49F7-AED8-06134AB7AD74}" xr6:coauthVersionLast="47" xr6:coauthVersionMax="47" xr10:uidLastSave="{720A8185-2A18-4096-AB07-3962CF749354}"/>
  <bookViews>
    <workbookView xWindow="-120" yWindow="-120" windowWidth="20730" windowHeight="11040" xr2:uid="{00000000-000D-0000-FFFF-FFFF00000000}"/>
  </bookViews>
  <sheets>
    <sheet name="06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F22" i="1"/>
  <c r="U37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35" i="1" s="1"/>
  <c r="G46" i="1" l="1"/>
  <c r="G45" i="1"/>
  <c r="G44" i="1"/>
  <c r="G43" i="1"/>
  <c r="F38" i="1"/>
  <c r="F34" i="1"/>
  <c r="F28" i="1"/>
  <c r="F26" i="1"/>
  <c r="F24" i="1"/>
  <c r="F40" i="1"/>
  <c r="F36" i="1"/>
  <c r="F39" i="1"/>
  <c r="F35" i="1"/>
  <c r="F27" i="1"/>
  <c r="F23" i="1"/>
  <c r="F32" i="1"/>
  <c r="F31" i="1"/>
  <c r="F30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Q17" i="1"/>
  <c r="G21" i="1" l="1"/>
  <c r="F21" i="1"/>
</calcChain>
</file>

<file path=xl/sharedStrings.xml><?xml version="1.0" encoding="utf-8"?>
<sst xmlns="http://schemas.openxmlformats.org/spreadsheetml/2006/main" count="300" uniqueCount="148">
  <si>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</si>
  <si>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</si>
  <si>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</si>
  <si>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</si>
  <si>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</si>
  <si>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</si>
  <si>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</si>
  <si>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</si>
  <si>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</si>
  <si>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</si>
  <si>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</si>
  <si>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</si>
  <si>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</si>
  <si>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</si>
  <si>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</si>
  <si>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</si>
  <si>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</si>
  <si>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</si>
  <si>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</si>
  <si>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</si>
  <si>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</si>
  <si>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Asignacion teletrabajo</t>
  </si>
  <si>
    <t>Suma de Haberes Exentos</t>
  </si>
  <si>
    <t>AFP</t>
  </si>
  <si>
    <t>Seguro Cesantia Trabajador</t>
  </si>
  <si>
    <t>Seguro Cesantia Trabajador Reliquidado</t>
  </si>
  <si>
    <t>Salud 7% (Fonasa)</t>
  </si>
  <si>
    <t>Isapre</t>
  </si>
  <si>
    <t>Isapre sobre 7%</t>
  </si>
  <si>
    <t>APV (Régimen A)</t>
  </si>
  <si>
    <t>Impuestos</t>
  </si>
  <si>
    <t>Seguro Complementario</t>
  </si>
  <si>
    <t>Retención Préstamo Solidario SII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</si>
  <si>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</si>
  <si>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</si>
  <si>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</si>
  <si>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</si>
  <si>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</si>
  <si>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</si>
  <si>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</si>
  <si>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</si>
  <si>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</si>
  <si>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</si>
  <si>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</si>
  <si>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</si>
  <si>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</si>
  <si>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</si>
  <si>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</si>
  <si>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</si>
  <si>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 y Gerencia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</si>
  <si>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</si>
  <si>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</si>
  <si>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</si>
  <si>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</si>
  <si>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</si>
  <si>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</si>
  <si>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</si>
  <si>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</si>
  <si>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15460999-7</t>
  </si>
  <si>
    <t>KATHERINE MARLENE</t>
  </si>
  <si>
    <t>BOLLMANN</t>
  </si>
  <si>
    <t>NILIAN</t>
  </si>
  <si>
    <t>01/04/2020</t>
  </si>
  <si>
    <t>Ventas y marketing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</si>
  <si>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</si>
  <si>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</si>
  <si>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</si>
  <si>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</si>
  <si>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</si>
  <si>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</si>
  <si>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</si>
  <si>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</si>
  <si>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</si>
  <si>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</si>
  <si>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</si>
  <si>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</si>
  <si>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</si>
  <si>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</si>
  <si>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</si>
  <si>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</si>
  <si>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</si>
  <si>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</si>
  <si>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</si>
  <si>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</si>
  <si>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</si>
  <si>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</si>
  <si>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</si>
  <si>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</si>
  <si>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</si>
  <si>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</si>
  <si>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</si>
  <si>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</si>
  <si>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</si>
  <si>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</si>
  <si>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</si>
  <si>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</si>
  <si>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</si>
  <si>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</si>
  <si>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</si>
  <si>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</si>
  <si>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</si>
  <si>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</si>
  <si>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</si>
  <si>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</si>
  <si>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</si>
  <si>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</si>
  <si>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</si>
  <si>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</si>
  <si>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</si>
  <si>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</si>
  <si>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</si>
  <si>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</si>
  <si>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</si>
  <si>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</si>
  <si>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</si>
  <si>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</si>
  <si>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</si>
  <si>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</si>
  <si>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</si>
  <si>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</si>
  <si>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</si>
  <si>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</si>
  <si>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</si>
  <si>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</si>
  <si>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</si>
  <si>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</si>
  <si>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</si>
  <si>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</si>
  <si>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</si>
  <si>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</si>
  <si>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</si>
  <si>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</si>
  <si>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</si>
  <si>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</si>
  <si>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</si>
  <si>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</si>
  <si>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</si>
  <si>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</si>
  <si>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</si>
  <si>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</si>
  <si>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</si>
  <si>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</si>
  <si>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</si>
  <si>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</si>
  <si>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</si>
  <si>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Dias de vacaciones</t>
  </si>
  <si>
    <t>Provisión Mensual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</si>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</sst>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([$$-409]* #,##0_);_([$$-409]* \(#,##0\);_([$$-409]* &quot;-&quot;??_);_(@_)"/>
    <numFmt numFmtId="165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2" fontId="0" fillId="0" borderId="0" xfId="1" applyFont="1"/>
    <xf numFmtId="42" fontId="2" fillId="0" borderId="0" xfId="1" applyFont="1"/>
    <xf numFmtId="0" fontId="2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0" fontId="6" fillId="2" borderId="0" xfId="0" applyFont="1" applyFill="1"/>
    <xf numFmtId="41" fontId="7" fillId="3" borderId="0" xfId="2" applyFont="1" applyFill="1"/>
    <xf numFmtId="41" fontId="6" fillId="4" borderId="0" xfId="2" applyFont="1" applyFill="1"/>
    <xf numFmtId="41" fontId="7" fillId="5" borderId="0" xfId="2" applyFont="1" applyFill="1"/>
    <xf numFmtId="164" fontId="0" fillId="6" borderId="0" xfId="3" applyNumberFormat="1" applyFont="1" applyFill="1"/>
    <xf numFmtId="41" fontId="7" fillId="4" borderId="0" xfId="2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3" fillId="0" borderId="0" xfId="0" applyFont="1"/>
    <xf numFmtId="41" fontId="0" fillId="4" borderId="0" xfId="2" applyFont="1" applyFill="1"/>
    <xf numFmtId="0" fontId="0" fillId="11" borderId="0" xfId="0" applyFill="1"/>
    <xf numFmtId="42" fontId="0" fillId="11" borderId="0" xfId="1" applyFont="1" applyFill="1"/>
    <xf numFmtId="0" fontId="0" fillId="5" borderId="0" xfId="0" applyFill="1"/>
    <xf numFmtId="42" fontId="0" fillId="5" borderId="0" xfId="1" applyFont="1" applyFill="1"/>
    <xf numFmtId="0" fontId="0" fillId="12" borderId="0" xfId="0" applyFill="1"/>
    <xf numFmtId="42" fontId="0" fillId="12" borderId="0" xfId="1" applyFont="1" applyFill="1"/>
    <xf numFmtId="0" fontId="4" fillId="0" borderId="0" xfId="0" applyFont="1"/>
    <xf numFmtId="165" fontId="6" fillId="0" borderId="0" xfId="0" applyNumberFormat="1" applyFont="1"/>
    <xf numFmtId="3" fontId="6" fillId="12" borderId="0" xfId="0" applyNumberFormat="1" applyFont="1" applyFill="1"/>
    <xf numFmtId="3" fontId="5" fillId="12" borderId="0" xfId="0" applyNumberFormat="1" applyFont="1" applyFill="1"/>
    <xf numFmtId="0" fontId="0" fillId="13" borderId="0" xfId="0" applyFill="1"/>
    <xf numFmtId="42" fontId="0" fillId="14" borderId="0" xfId="1" applyFont="1" applyFill="1"/>
    <xf numFmtId="0" fontId="6" fillId="0" borderId="0" xfId="0" applyFont="1" applyAlignment="1">
      <alignment horizontal="center"/>
    </xf>
  </cellXfs>
  <cellStyles count="4">
    <cellStyle name="Millares [0]" xfId="2" builtinId="6"/>
    <cellStyle name="Moneda [0]" xfId="1" builtinId="7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showGridLines="0" tabSelected="1" zoomScale="80" zoomScaleNormal="80" workbookViewId="0">
      <pane xSplit="7" ySplit="18" topLeftCell="AG34" activePane="bottomRight" state="frozen"/>
      <selection pane="topRight" activeCell="H1" sqref="H1"/>
      <selection pane="bottomLeft" activeCell="A19" sqref="A19"/>
      <selection pane="bottomRight" activeCell="G42" sqref="G42"/>
    </sheetView>
  </sheetViews>
  <sheetFormatPr baseColWidth="10" defaultColWidth="8.85546875" defaultRowHeight="15" x14ac:dyDescent="0.25"/>
  <cols>
    <col min="1" max="1" width="14" bestFit="1" customWidth="1"/>
    <col min="2" max="2" width="18.42578125" bestFit="1" customWidth="1"/>
    <col min="4" max="4" width="20.140625" bestFit="1" customWidth="1"/>
    <col min="5" max="5" width="15.42578125" bestFit="1" customWidth="1"/>
    <col min="6" max="6" width="16" bestFit="1" customWidth="1"/>
    <col min="7" max="7" width="19.42578125" bestFit="1" customWidth="1"/>
    <col min="12" max="12" width="11.140625" customWidth="1"/>
    <col min="13" max="13" width="27.140625" bestFit="1" customWidth="1"/>
    <col min="17" max="17" width="17.7109375" bestFit="1" customWidth="1"/>
    <col min="18" max="20" width="16.7109375" bestFit="1" customWidth="1"/>
    <col min="21" max="21" width="17.7109375" bestFit="1" customWidth="1"/>
    <col min="22" max="23" width="14" bestFit="1" customWidth="1"/>
    <col min="24" max="24" width="16.7109375" bestFit="1" customWidth="1"/>
    <col min="25" max="25" width="15" bestFit="1" customWidth="1"/>
    <col min="26" max="26" width="9.5703125" bestFit="1" customWidth="1"/>
    <col min="27" max="27" width="15" bestFit="1" customWidth="1"/>
    <col min="28" max="28" width="16.7109375" bestFit="1" customWidth="1"/>
    <col min="29" max="30" width="15" bestFit="1" customWidth="1"/>
    <col min="31" max="31" width="17.7109375" bestFit="1" customWidth="1"/>
    <col min="32" max="34" width="15" bestFit="1" customWidth="1"/>
    <col min="35" max="35" width="17.7109375" bestFit="1" customWidth="1"/>
    <col min="36" max="39" width="15" bestFit="1" customWidth="1"/>
    <col min="40" max="40" width="17.71093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9" t="s">
        <v>12</v>
      </c>
      <c r="N1" t="s">
        <v>13</v>
      </c>
      <c r="O1" t="s">
        <v>14</v>
      </c>
      <c r="P1" t="s">
        <v>15</v>
      </c>
      <c r="Q1" s="19" t="s">
        <v>16</v>
      </c>
      <c r="R1" s="19" t="s">
        <v>17</v>
      </c>
      <c r="S1" s="19" t="s">
        <v>18</v>
      </c>
      <c r="T1" s="21" t="s">
        <v>19</v>
      </c>
      <c r="U1" s="23" t="s">
        <v>20</v>
      </c>
      <c r="V1" s="19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I2" t="s">
        <v>47</v>
      </c>
      <c r="J2" t="s">
        <v>48</v>
      </c>
      <c r="K2">
        <v>6.33</v>
      </c>
      <c r="L2">
        <v>6231500</v>
      </c>
      <c r="M2" s="19" t="s">
        <v>49</v>
      </c>
      <c r="N2">
        <v>30</v>
      </c>
      <c r="O2">
        <v>0</v>
      </c>
      <c r="P2">
        <v>0</v>
      </c>
      <c r="Q2" s="20">
        <v>6231500</v>
      </c>
      <c r="R2" s="20">
        <v>202127</v>
      </c>
      <c r="S2" s="20">
        <v>150000</v>
      </c>
      <c r="T2" s="22">
        <v>0</v>
      </c>
      <c r="U2" s="24">
        <v>6583627</v>
      </c>
      <c r="V2" s="20">
        <v>0</v>
      </c>
      <c r="W2" s="1">
        <v>0</v>
      </c>
      <c r="X2" s="1">
        <v>394756</v>
      </c>
      <c r="Y2" s="1">
        <v>31076</v>
      </c>
      <c r="Z2" s="1">
        <v>0</v>
      </c>
      <c r="AA2" s="1">
        <v>0</v>
      </c>
      <c r="AB2" s="1">
        <v>241335</v>
      </c>
      <c r="AC2" s="1">
        <v>7304</v>
      </c>
      <c r="AD2" s="1">
        <v>0</v>
      </c>
      <c r="AE2" s="1">
        <v>594521</v>
      </c>
      <c r="AF2" s="1">
        <v>0</v>
      </c>
      <c r="AG2" s="1">
        <v>177494</v>
      </c>
      <c r="AH2" s="1">
        <v>177494</v>
      </c>
      <c r="AI2" s="30">
        <v>5137141</v>
      </c>
      <c r="AJ2" s="24">
        <v>32063</v>
      </c>
      <c r="AK2" s="24">
        <v>82869</v>
      </c>
      <c r="AL2" s="24">
        <v>41435</v>
      </c>
      <c r="AM2" s="24">
        <v>61368</v>
      </c>
      <c r="AN2" s="1">
        <v>6801362</v>
      </c>
    </row>
    <row r="3" spans="1:40" x14ac:dyDescent="0.25">
      <c r="A3" t="s">
        <v>40</v>
      </c>
      <c r="B3" t="s">
        <v>41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I3" t="s">
        <v>55</v>
      </c>
      <c r="J3" t="s">
        <v>56</v>
      </c>
      <c r="K3">
        <v>11.54</v>
      </c>
      <c r="L3">
        <v>6395833</v>
      </c>
      <c r="M3" s="29" t="s">
        <v>57</v>
      </c>
      <c r="N3">
        <v>30</v>
      </c>
      <c r="O3">
        <v>0</v>
      </c>
      <c r="P3">
        <v>0</v>
      </c>
      <c r="Q3" s="20">
        <v>6395833</v>
      </c>
      <c r="R3" s="20">
        <v>202127</v>
      </c>
      <c r="S3" s="20">
        <v>150000</v>
      </c>
      <c r="T3" s="22">
        <v>0</v>
      </c>
      <c r="U3" s="24">
        <v>6747960</v>
      </c>
      <c r="V3" s="20">
        <v>0</v>
      </c>
      <c r="W3" s="1">
        <v>0</v>
      </c>
      <c r="X3" s="1">
        <v>394411</v>
      </c>
      <c r="Y3" s="1">
        <v>31076</v>
      </c>
      <c r="Z3" s="1">
        <v>0</v>
      </c>
      <c r="AA3" s="1">
        <v>0</v>
      </c>
      <c r="AB3" s="1">
        <v>241335</v>
      </c>
      <c r="AC3" s="1">
        <v>211650</v>
      </c>
      <c r="AD3" s="1">
        <v>0</v>
      </c>
      <c r="AE3" s="1">
        <v>632397</v>
      </c>
      <c r="AF3" s="1">
        <v>0</v>
      </c>
      <c r="AG3" s="1">
        <v>0</v>
      </c>
      <c r="AH3" s="1">
        <v>0</v>
      </c>
      <c r="AI3" s="30">
        <v>5237091</v>
      </c>
      <c r="AJ3" s="24">
        <v>32063</v>
      </c>
      <c r="AK3" s="24">
        <v>82869</v>
      </c>
      <c r="AL3" s="24">
        <v>41435</v>
      </c>
      <c r="AM3" s="24">
        <v>61368</v>
      </c>
      <c r="AN3" s="1">
        <v>6965695</v>
      </c>
    </row>
    <row r="4" spans="1:40" x14ac:dyDescent="0.25">
      <c r="A4" t="s">
        <v>40</v>
      </c>
      <c r="B4" t="s">
        <v>41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I4" t="s">
        <v>55</v>
      </c>
      <c r="J4" t="s">
        <v>56</v>
      </c>
      <c r="K4">
        <v>6.14</v>
      </c>
      <c r="L4">
        <v>4766250</v>
      </c>
      <c r="M4" s="23" t="s">
        <v>63</v>
      </c>
      <c r="N4">
        <v>30</v>
      </c>
      <c r="O4">
        <v>1</v>
      </c>
      <c r="P4">
        <v>0</v>
      </c>
      <c r="Q4" s="20">
        <v>4766250</v>
      </c>
      <c r="R4" s="20">
        <v>202127</v>
      </c>
      <c r="S4" s="20">
        <v>150000</v>
      </c>
      <c r="T4" s="22">
        <v>0</v>
      </c>
      <c r="U4" s="24">
        <v>5118377</v>
      </c>
      <c r="V4" s="20">
        <v>0</v>
      </c>
      <c r="W4" s="1">
        <v>0</v>
      </c>
      <c r="X4" s="1">
        <v>394411</v>
      </c>
      <c r="Y4" s="1">
        <v>30710</v>
      </c>
      <c r="Z4" s="1">
        <v>0</v>
      </c>
      <c r="AA4" s="1">
        <v>0</v>
      </c>
      <c r="AB4" s="1">
        <v>241335</v>
      </c>
      <c r="AC4" s="1">
        <v>0</v>
      </c>
      <c r="AD4" s="1">
        <v>0</v>
      </c>
      <c r="AE4" s="1">
        <v>292165</v>
      </c>
      <c r="AF4" s="1">
        <v>71922</v>
      </c>
      <c r="AG4" s="1">
        <v>0</v>
      </c>
      <c r="AH4" s="1">
        <v>71922</v>
      </c>
      <c r="AI4" s="30">
        <v>4087834</v>
      </c>
      <c r="AJ4" s="24">
        <v>32063</v>
      </c>
      <c r="AK4" s="24">
        <v>81894</v>
      </c>
      <c r="AL4" s="24">
        <v>40947</v>
      </c>
      <c r="AM4" s="24">
        <v>61368</v>
      </c>
      <c r="AN4" s="1">
        <v>5334649</v>
      </c>
    </row>
    <row r="5" spans="1:40" s="19" customFormat="1" x14ac:dyDescent="0.25">
      <c r="A5" s="19" t="s">
        <v>40</v>
      </c>
      <c r="B5" s="19" t="s">
        <v>41</v>
      </c>
      <c r="C5" s="19" t="s">
        <v>122</v>
      </c>
      <c r="D5" s="19" t="s">
        <v>123</v>
      </c>
      <c r="E5" s="19" t="s">
        <v>124</v>
      </c>
      <c r="F5" s="19" t="s">
        <v>125</v>
      </c>
      <c r="G5" s="19" t="s">
        <v>126</v>
      </c>
      <c r="I5" s="19" t="s">
        <v>93</v>
      </c>
      <c r="J5" s="19" t="s">
        <v>56</v>
      </c>
      <c r="K5" s="19">
        <v>6.16</v>
      </c>
      <c r="L5" s="19">
        <v>3075000</v>
      </c>
      <c r="M5" s="29" t="s">
        <v>57</v>
      </c>
      <c r="N5" s="19">
        <v>30</v>
      </c>
      <c r="O5" s="19">
        <v>0</v>
      </c>
      <c r="P5" s="19">
        <v>0</v>
      </c>
      <c r="Q5" s="20">
        <v>3075000</v>
      </c>
      <c r="R5" s="20">
        <v>202127</v>
      </c>
      <c r="S5" s="20">
        <v>150000</v>
      </c>
      <c r="T5" s="22">
        <v>0</v>
      </c>
      <c r="U5" s="24">
        <v>3427127</v>
      </c>
      <c r="V5" s="20">
        <v>0</v>
      </c>
      <c r="W5" s="20">
        <v>0</v>
      </c>
      <c r="X5" s="20">
        <v>359506</v>
      </c>
      <c r="Y5" s="20">
        <v>20563</v>
      </c>
      <c r="Z5" s="20">
        <v>0</v>
      </c>
      <c r="AA5" s="20">
        <v>0</v>
      </c>
      <c r="AB5" s="20">
        <v>239899</v>
      </c>
      <c r="AC5" s="20">
        <v>1986</v>
      </c>
      <c r="AD5" s="20">
        <v>0</v>
      </c>
      <c r="AE5" s="20">
        <v>104772</v>
      </c>
      <c r="AF5" s="20">
        <v>34001</v>
      </c>
      <c r="AG5" s="20">
        <v>0</v>
      </c>
      <c r="AH5" s="20">
        <v>34001</v>
      </c>
      <c r="AI5" s="20">
        <v>2666400</v>
      </c>
      <c r="AJ5" s="24">
        <v>31872</v>
      </c>
      <c r="AK5" s="24">
        <v>54834</v>
      </c>
      <c r="AL5" s="24">
        <v>27417</v>
      </c>
      <c r="AM5" s="24">
        <v>61003</v>
      </c>
      <c r="AN5" s="20">
        <v>3602253</v>
      </c>
    </row>
    <row r="6" spans="1:40" x14ac:dyDescent="0.25">
      <c r="A6" t="s">
        <v>40</v>
      </c>
      <c r="B6" t="s">
        <v>41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I6" t="s">
        <v>75</v>
      </c>
      <c r="J6" t="s">
        <v>69</v>
      </c>
      <c r="K6">
        <v>6.73</v>
      </c>
      <c r="L6">
        <v>6825000</v>
      </c>
      <c r="M6" s="29" t="s">
        <v>57</v>
      </c>
      <c r="N6">
        <v>30</v>
      </c>
      <c r="O6">
        <v>0</v>
      </c>
      <c r="P6">
        <v>0</v>
      </c>
      <c r="Q6" s="20">
        <v>6825000</v>
      </c>
      <c r="R6" s="20">
        <v>202127</v>
      </c>
      <c r="S6" s="20">
        <v>150000</v>
      </c>
      <c r="T6" s="22">
        <v>300000</v>
      </c>
      <c r="U6" s="24">
        <v>7477127</v>
      </c>
      <c r="V6" s="20">
        <v>0</v>
      </c>
      <c r="W6" s="1">
        <v>0</v>
      </c>
      <c r="X6" s="1">
        <v>364761</v>
      </c>
      <c r="Y6" s="1">
        <v>31076</v>
      </c>
      <c r="Z6" s="1">
        <v>0</v>
      </c>
      <c r="AA6" s="1">
        <v>0</v>
      </c>
      <c r="AB6" s="1">
        <v>241335</v>
      </c>
      <c r="AC6" s="1">
        <v>22893</v>
      </c>
      <c r="AD6" s="1">
        <v>0</v>
      </c>
      <c r="AE6" s="1">
        <v>854973</v>
      </c>
      <c r="AF6" s="1">
        <v>0</v>
      </c>
      <c r="AG6" s="1">
        <v>0</v>
      </c>
      <c r="AH6" s="1">
        <v>0</v>
      </c>
      <c r="AI6" s="30">
        <v>5962089</v>
      </c>
      <c r="AJ6" s="24">
        <v>32063</v>
      </c>
      <c r="AK6" s="24">
        <v>82869</v>
      </c>
      <c r="AL6" s="24">
        <v>41435</v>
      </c>
      <c r="AM6" s="24">
        <v>61368</v>
      </c>
      <c r="AN6" s="1">
        <v>7694862</v>
      </c>
    </row>
    <row r="7" spans="1:40" x14ac:dyDescent="0.25">
      <c r="A7" t="s">
        <v>40</v>
      </c>
      <c r="B7" t="s">
        <v>41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I7" t="s">
        <v>93</v>
      </c>
      <c r="J7" t="s">
        <v>76</v>
      </c>
      <c r="L7">
        <v>1750000</v>
      </c>
      <c r="M7" s="19" t="s">
        <v>94</v>
      </c>
      <c r="N7">
        <v>30</v>
      </c>
      <c r="O7">
        <v>0</v>
      </c>
      <c r="P7">
        <v>0</v>
      </c>
      <c r="Q7" s="20">
        <v>1750000</v>
      </c>
      <c r="R7" s="20">
        <v>202127</v>
      </c>
      <c r="S7" s="20">
        <v>150000</v>
      </c>
      <c r="T7" s="22">
        <v>0</v>
      </c>
      <c r="U7" s="24">
        <v>2102127</v>
      </c>
      <c r="V7" s="20">
        <v>0</v>
      </c>
      <c r="W7" s="1">
        <v>0</v>
      </c>
      <c r="X7" s="1">
        <v>220513</v>
      </c>
      <c r="Y7" s="1">
        <v>12613</v>
      </c>
      <c r="Z7" s="1">
        <v>0</v>
      </c>
      <c r="AA7" s="1">
        <v>147149</v>
      </c>
      <c r="AB7" s="1">
        <v>0</v>
      </c>
      <c r="AC7" s="1">
        <v>0</v>
      </c>
      <c r="AD7" s="1">
        <v>0</v>
      </c>
      <c r="AE7" s="1">
        <v>31730</v>
      </c>
      <c r="AF7" s="1">
        <v>0</v>
      </c>
      <c r="AG7" s="1">
        <v>0</v>
      </c>
      <c r="AH7" s="1">
        <v>0</v>
      </c>
      <c r="AI7" s="30">
        <v>1690122</v>
      </c>
      <c r="AJ7" s="24">
        <v>19550</v>
      </c>
      <c r="AK7" s="24">
        <v>33634</v>
      </c>
      <c r="AL7" s="24">
        <v>16817</v>
      </c>
      <c r="AM7" s="24">
        <v>37418</v>
      </c>
      <c r="AN7" s="1">
        <v>2209546</v>
      </c>
    </row>
    <row r="8" spans="1:40" x14ac:dyDescent="0.25">
      <c r="A8" t="s">
        <v>40</v>
      </c>
      <c r="B8" t="s">
        <v>41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I8" t="s">
        <v>75</v>
      </c>
      <c r="J8" t="s">
        <v>76</v>
      </c>
      <c r="L8">
        <v>1500000</v>
      </c>
      <c r="M8" s="19" t="s">
        <v>49</v>
      </c>
      <c r="N8">
        <v>30</v>
      </c>
      <c r="O8">
        <v>0</v>
      </c>
      <c r="P8">
        <v>0</v>
      </c>
      <c r="Q8" s="20">
        <v>1500000</v>
      </c>
      <c r="R8" s="20">
        <v>202127</v>
      </c>
      <c r="S8" s="20">
        <v>150000</v>
      </c>
      <c r="T8" s="22">
        <v>0</v>
      </c>
      <c r="U8" s="24">
        <v>1852127</v>
      </c>
      <c r="V8" s="20">
        <v>0</v>
      </c>
      <c r="W8" s="1">
        <v>0</v>
      </c>
      <c r="X8" s="1">
        <v>195955</v>
      </c>
      <c r="Y8" s="1">
        <v>11113</v>
      </c>
      <c r="Z8" s="1">
        <v>0</v>
      </c>
      <c r="AA8" s="1">
        <v>129649</v>
      </c>
      <c r="AB8" s="1">
        <v>0</v>
      </c>
      <c r="AC8" s="1">
        <v>0</v>
      </c>
      <c r="AD8" s="1">
        <v>0</v>
      </c>
      <c r="AE8" s="1">
        <v>23473</v>
      </c>
      <c r="AF8" s="1">
        <v>71922</v>
      </c>
      <c r="AG8" s="1">
        <v>0</v>
      </c>
      <c r="AH8" s="1">
        <v>71922</v>
      </c>
      <c r="AI8" s="30">
        <v>1420015</v>
      </c>
      <c r="AJ8" s="24">
        <v>17225</v>
      </c>
      <c r="AK8" s="24">
        <v>29634</v>
      </c>
      <c r="AL8" s="24">
        <v>14817</v>
      </c>
      <c r="AM8" s="24">
        <v>32968</v>
      </c>
      <c r="AN8" s="1">
        <v>1946771</v>
      </c>
    </row>
    <row r="9" spans="1:40" x14ac:dyDescent="0.25">
      <c r="A9" t="s">
        <v>40</v>
      </c>
      <c r="B9" t="s">
        <v>41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I9" t="s">
        <v>100</v>
      </c>
      <c r="J9" t="s">
        <v>48</v>
      </c>
      <c r="K9">
        <v>6.86</v>
      </c>
      <c r="L9">
        <v>4715000</v>
      </c>
      <c r="M9" s="29" t="s">
        <v>57</v>
      </c>
      <c r="N9">
        <v>30</v>
      </c>
      <c r="O9">
        <v>1</v>
      </c>
      <c r="P9">
        <v>0</v>
      </c>
      <c r="Q9" s="20">
        <v>4715000</v>
      </c>
      <c r="R9" s="20">
        <v>202127</v>
      </c>
      <c r="S9" s="20">
        <v>150000</v>
      </c>
      <c r="T9" s="22">
        <v>0</v>
      </c>
      <c r="U9" s="24">
        <v>5067127</v>
      </c>
      <c r="V9" s="20">
        <v>0</v>
      </c>
      <c r="W9" s="1">
        <v>0</v>
      </c>
      <c r="X9" s="1">
        <v>384758</v>
      </c>
      <c r="Y9" s="1">
        <v>30403</v>
      </c>
      <c r="Z9" s="1">
        <v>0</v>
      </c>
      <c r="AA9" s="1">
        <v>0</v>
      </c>
      <c r="AB9" s="1">
        <v>241335</v>
      </c>
      <c r="AC9" s="1">
        <v>27841</v>
      </c>
      <c r="AD9" s="1">
        <v>0</v>
      </c>
      <c r="AE9" s="1">
        <v>286591</v>
      </c>
      <c r="AF9" s="1">
        <v>0</v>
      </c>
      <c r="AG9" s="1">
        <v>0</v>
      </c>
      <c r="AH9" s="1">
        <v>0</v>
      </c>
      <c r="AI9" s="30">
        <v>4096199</v>
      </c>
      <c r="AJ9" s="24">
        <v>32063</v>
      </c>
      <c r="AK9" s="24">
        <v>81074</v>
      </c>
      <c r="AL9" s="24">
        <v>40537</v>
      </c>
      <c r="AM9" s="24">
        <v>61368</v>
      </c>
      <c r="AN9" s="1">
        <v>5282169</v>
      </c>
    </row>
    <row r="10" spans="1:40" s="19" customFormat="1" x14ac:dyDescent="0.25">
      <c r="A10" s="19" t="s">
        <v>40</v>
      </c>
      <c r="B10" s="19" t="s">
        <v>41</v>
      </c>
      <c r="C10" s="19" t="s">
        <v>117</v>
      </c>
      <c r="D10" s="19" t="s">
        <v>118</v>
      </c>
      <c r="E10" s="19" t="s">
        <v>119</v>
      </c>
      <c r="F10" s="19" t="s">
        <v>120</v>
      </c>
      <c r="G10" s="19" t="s">
        <v>121</v>
      </c>
      <c r="I10" s="19" t="s">
        <v>75</v>
      </c>
      <c r="J10" s="19" t="s">
        <v>76</v>
      </c>
      <c r="L10" s="19">
        <v>17441138.989999998</v>
      </c>
      <c r="M10" s="19" t="s">
        <v>49</v>
      </c>
      <c r="N10" s="19">
        <v>30</v>
      </c>
      <c r="O10" s="19">
        <v>0</v>
      </c>
      <c r="P10" s="19">
        <v>0</v>
      </c>
      <c r="Q10" s="20">
        <v>17441139</v>
      </c>
      <c r="R10" s="20">
        <v>202127</v>
      </c>
      <c r="S10" s="20">
        <v>150000</v>
      </c>
      <c r="T10" s="22">
        <v>0</v>
      </c>
      <c r="U10" s="24">
        <v>17793266</v>
      </c>
      <c r="V10" s="20">
        <v>0</v>
      </c>
      <c r="W10" s="20">
        <v>0</v>
      </c>
      <c r="X10" s="20">
        <v>364761</v>
      </c>
      <c r="Y10" s="20">
        <v>31076</v>
      </c>
      <c r="Z10" s="20">
        <v>0</v>
      </c>
      <c r="AA10" s="20">
        <v>241335</v>
      </c>
      <c r="AB10" s="20">
        <v>0</v>
      </c>
      <c r="AC10" s="20">
        <v>0</v>
      </c>
      <c r="AD10" s="20">
        <v>0</v>
      </c>
      <c r="AE10" s="20">
        <v>4400567</v>
      </c>
      <c r="AF10" s="20">
        <v>0</v>
      </c>
      <c r="AG10" s="20">
        <v>0</v>
      </c>
      <c r="AH10" s="20">
        <v>0</v>
      </c>
      <c r="AI10" s="20">
        <v>12755527</v>
      </c>
      <c r="AJ10" s="24">
        <v>32063</v>
      </c>
      <c r="AK10" s="24">
        <v>82869</v>
      </c>
      <c r="AL10" s="24">
        <v>41435</v>
      </c>
      <c r="AM10" s="24">
        <v>61368</v>
      </c>
      <c r="AN10" s="20">
        <v>18011001</v>
      </c>
    </row>
    <row r="11" spans="1:40" x14ac:dyDescent="0.25">
      <c r="A11" t="s">
        <v>40</v>
      </c>
      <c r="B11" t="s">
        <v>41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I11" t="s">
        <v>82</v>
      </c>
      <c r="J11" t="s">
        <v>69</v>
      </c>
      <c r="K11">
        <v>9.58</v>
      </c>
      <c r="L11">
        <v>6562600</v>
      </c>
      <c r="M11" s="29" t="s">
        <v>57</v>
      </c>
      <c r="N11">
        <v>30</v>
      </c>
      <c r="O11">
        <v>4</v>
      </c>
      <c r="P11">
        <v>0</v>
      </c>
      <c r="Q11" s="20">
        <v>6562600</v>
      </c>
      <c r="R11" s="20">
        <v>202127</v>
      </c>
      <c r="S11" s="20">
        <v>150000</v>
      </c>
      <c r="T11" s="22">
        <v>450000</v>
      </c>
      <c r="U11" s="24">
        <v>7364727</v>
      </c>
      <c r="V11" s="20">
        <v>0</v>
      </c>
      <c r="W11" s="1">
        <v>0</v>
      </c>
      <c r="X11" s="1">
        <v>388550</v>
      </c>
      <c r="Y11" s="1">
        <v>31076</v>
      </c>
      <c r="Z11" s="1">
        <v>0</v>
      </c>
      <c r="AA11" s="1">
        <v>0</v>
      </c>
      <c r="AB11" s="1">
        <v>241335</v>
      </c>
      <c r="AC11" s="1">
        <v>134922</v>
      </c>
      <c r="AD11" s="1">
        <v>157068</v>
      </c>
      <c r="AE11" s="1">
        <v>813572</v>
      </c>
      <c r="AF11" s="1">
        <v>73180</v>
      </c>
      <c r="AG11" s="1">
        <v>0</v>
      </c>
      <c r="AH11" s="1">
        <v>73180</v>
      </c>
      <c r="AI11" s="30">
        <v>5525024</v>
      </c>
      <c r="AJ11" s="24">
        <v>32063</v>
      </c>
      <c r="AK11" s="24">
        <v>82869</v>
      </c>
      <c r="AL11" s="24">
        <v>41435</v>
      </c>
      <c r="AM11" s="24">
        <v>61368</v>
      </c>
      <c r="AN11" s="1">
        <v>7582462</v>
      </c>
    </row>
    <row r="12" spans="1:40" x14ac:dyDescent="0.25">
      <c r="A12" t="s">
        <v>40</v>
      </c>
      <c r="B12" t="s">
        <v>41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I12" t="s">
        <v>55</v>
      </c>
      <c r="J12" t="s">
        <v>69</v>
      </c>
      <c r="K12">
        <v>7.17</v>
      </c>
      <c r="L12">
        <v>7500000</v>
      </c>
      <c r="M12" s="29" t="s">
        <v>57</v>
      </c>
      <c r="N12">
        <v>30</v>
      </c>
      <c r="O12">
        <v>1</v>
      </c>
      <c r="P12">
        <v>0</v>
      </c>
      <c r="Q12" s="20">
        <v>7500000</v>
      </c>
      <c r="R12" s="20">
        <v>202127</v>
      </c>
      <c r="S12" s="20">
        <v>150000</v>
      </c>
      <c r="T12" s="22">
        <v>0</v>
      </c>
      <c r="U12" s="24">
        <v>7852127</v>
      </c>
      <c r="V12" s="20">
        <v>0</v>
      </c>
      <c r="W12" s="1">
        <v>0</v>
      </c>
      <c r="X12" s="1">
        <v>394411</v>
      </c>
      <c r="Y12" s="1">
        <v>31076</v>
      </c>
      <c r="Z12" s="1">
        <v>0</v>
      </c>
      <c r="AA12" s="1">
        <v>0</v>
      </c>
      <c r="AB12" s="1">
        <v>241335</v>
      </c>
      <c r="AC12" s="1">
        <v>40249</v>
      </c>
      <c r="AD12" s="1">
        <v>0</v>
      </c>
      <c r="AE12" s="1">
        <v>959960</v>
      </c>
      <c r="AF12" s="1">
        <v>71922</v>
      </c>
      <c r="AG12" s="1">
        <v>0</v>
      </c>
      <c r="AH12" s="1">
        <v>71922</v>
      </c>
      <c r="AI12" s="30">
        <v>6113174</v>
      </c>
      <c r="AJ12" s="24">
        <v>32063</v>
      </c>
      <c r="AK12" s="24">
        <v>82869</v>
      </c>
      <c r="AL12" s="24">
        <v>41435</v>
      </c>
      <c r="AM12" s="24">
        <v>61368</v>
      </c>
      <c r="AN12" s="1">
        <v>8069862</v>
      </c>
    </row>
    <row r="13" spans="1:40" s="21" customFormat="1" x14ac:dyDescent="0.25">
      <c r="A13" s="21" t="s">
        <v>40</v>
      </c>
      <c r="B13" s="21" t="s">
        <v>41</v>
      </c>
      <c r="C13" s="21" t="s">
        <v>112</v>
      </c>
      <c r="D13" s="21" t="s">
        <v>113</v>
      </c>
      <c r="E13" s="21" t="s">
        <v>114</v>
      </c>
      <c r="F13" s="21" t="s">
        <v>115</v>
      </c>
      <c r="G13" s="21" t="s">
        <v>105</v>
      </c>
      <c r="I13" s="21" t="s">
        <v>75</v>
      </c>
      <c r="J13" s="21" t="s">
        <v>116</v>
      </c>
      <c r="K13" s="21">
        <v>11.67</v>
      </c>
      <c r="L13" s="21">
        <v>10938196.5</v>
      </c>
      <c r="M13" s="23" t="s">
        <v>63</v>
      </c>
      <c r="N13" s="21">
        <v>30</v>
      </c>
      <c r="O13" s="21">
        <v>2</v>
      </c>
      <c r="P13" s="21">
        <v>0</v>
      </c>
      <c r="Q13" s="22">
        <v>10938196</v>
      </c>
      <c r="R13" s="22">
        <v>202127</v>
      </c>
      <c r="S13" s="22">
        <v>150000</v>
      </c>
      <c r="T13" s="22">
        <v>0</v>
      </c>
      <c r="U13" s="22">
        <v>11290323</v>
      </c>
      <c r="V13" s="22">
        <v>0</v>
      </c>
      <c r="W13" s="22">
        <v>0</v>
      </c>
      <c r="X13" s="22">
        <v>364761</v>
      </c>
      <c r="Y13" s="22">
        <v>31076</v>
      </c>
      <c r="Z13" s="22">
        <v>0</v>
      </c>
      <c r="AA13" s="22">
        <v>0</v>
      </c>
      <c r="AB13" s="22">
        <v>241335</v>
      </c>
      <c r="AC13" s="22">
        <v>216912</v>
      </c>
      <c r="AD13" s="22">
        <v>0</v>
      </c>
      <c r="AE13" s="22">
        <v>2124537</v>
      </c>
      <c r="AF13" s="22">
        <v>54347</v>
      </c>
      <c r="AG13" s="22">
        <v>0</v>
      </c>
      <c r="AH13" s="22">
        <v>54347</v>
      </c>
      <c r="AI13" s="30">
        <v>8257355</v>
      </c>
      <c r="AJ13" s="22">
        <v>32063</v>
      </c>
      <c r="AK13" s="22">
        <v>82869</v>
      </c>
      <c r="AL13" s="22">
        <v>41435</v>
      </c>
      <c r="AM13" s="22">
        <v>61368</v>
      </c>
      <c r="AN13" s="22">
        <v>11508058</v>
      </c>
    </row>
    <row r="14" spans="1:40" x14ac:dyDescent="0.25">
      <c r="A14" t="s">
        <v>40</v>
      </c>
      <c r="B14" t="s">
        <v>41</v>
      </c>
      <c r="C14" t="s">
        <v>102</v>
      </c>
      <c r="D14" t="s">
        <v>103</v>
      </c>
      <c r="E14" t="s">
        <v>104</v>
      </c>
      <c r="F14" t="s">
        <v>98</v>
      </c>
      <c r="G14" t="s">
        <v>105</v>
      </c>
      <c r="I14" t="s">
        <v>100</v>
      </c>
      <c r="J14" t="s">
        <v>106</v>
      </c>
      <c r="K14">
        <v>5.89</v>
      </c>
      <c r="L14">
        <v>2706000</v>
      </c>
      <c r="M14" s="19" t="s">
        <v>49</v>
      </c>
      <c r="N14">
        <v>30</v>
      </c>
      <c r="O14">
        <v>1</v>
      </c>
      <c r="P14">
        <v>0</v>
      </c>
      <c r="Q14" s="20">
        <v>2706000</v>
      </c>
      <c r="R14" s="20">
        <v>202127</v>
      </c>
      <c r="S14" s="20">
        <v>150000</v>
      </c>
      <c r="T14" s="22">
        <v>0</v>
      </c>
      <c r="U14" s="24">
        <v>3058127</v>
      </c>
      <c r="V14" s="20">
        <v>50000</v>
      </c>
      <c r="W14" s="1">
        <v>50000</v>
      </c>
      <c r="X14" s="1">
        <v>341287</v>
      </c>
      <c r="Y14" s="1">
        <v>18349</v>
      </c>
      <c r="Z14" s="1">
        <v>0</v>
      </c>
      <c r="AA14" s="1">
        <v>0</v>
      </c>
      <c r="AB14" s="1">
        <v>214069</v>
      </c>
      <c r="AC14" s="1">
        <v>17096</v>
      </c>
      <c r="AD14" s="1">
        <v>0</v>
      </c>
      <c r="AE14" s="1">
        <v>77700</v>
      </c>
      <c r="AF14" s="1">
        <v>71922</v>
      </c>
      <c r="AG14" s="1">
        <v>0</v>
      </c>
      <c r="AH14" s="1">
        <v>71922</v>
      </c>
      <c r="AI14" s="30">
        <v>2367704</v>
      </c>
      <c r="AJ14" s="24">
        <v>28441</v>
      </c>
      <c r="AK14" s="24">
        <v>48930</v>
      </c>
      <c r="AL14" s="24">
        <v>24465</v>
      </c>
      <c r="AM14" s="24">
        <v>54435</v>
      </c>
      <c r="AN14" s="1">
        <v>3264398</v>
      </c>
    </row>
    <row r="15" spans="1:40" x14ac:dyDescent="0.25">
      <c r="A15" t="s">
        <v>40</v>
      </c>
      <c r="B15" t="s">
        <v>41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I15" t="s">
        <v>100</v>
      </c>
      <c r="J15" t="s">
        <v>101</v>
      </c>
      <c r="K15">
        <v>6.28</v>
      </c>
      <c r="L15">
        <v>5500000</v>
      </c>
      <c r="M15" s="29" t="s">
        <v>57</v>
      </c>
      <c r="N15">
        <v>30</v>
      </c>
      <c r="O15">
        <v>1</v>
      </c>
      <c r="P15">
        <v>0</v>
      </c>
      <c r="Q15" s="20">
        <v>5500000</v>
      </c>
      <c r="R15" s="20">
        <v>202127</v>
      </c>
      <c r="S15" s="20">
        <v>150000</v>
      </c>
      <c r="T15" s="22">
        <v>650000</v>
      </c>
      <c r="U15" s="24">
        <v>6502127</v>
      </c>
      <c r="V15" s="20">
        <v>0</v>
      </c>
      <c r="W15" s="1">
        <v>0</v>
      </c>
      <c r="X15" s="1">
        <v>384758</v>
      </c>
      <c r="Y15" s="1">
        <v>31076</v>
      </c>
      <c r="Z15" s="1">
        <v>0</v>
      </c>
      <c r="AA15" s="1">
        <v>0</v>
      </c>
      <c r="AB15" s="1">
        <v>241335</v>
      </c>
      <c r="AC15" s="1">
        <v>5380</v>
      </c>
      <c r="AD15" s="1">
        <v>0</v>
      </c>
      <c r="AE15" s="1">
        <v>578075</v>
      </c>
      <c r="AF15" s="1">
        <v>0</v>
      </c>
      <c r="AG15" s="1">
        <v>0</v>
      </c>
      <c r="AH15" s="1">
        <v>0</v>
      </c>
      <c r="AI15" s="30">
        <v>5261503</v>
      </c>
      <c r="AJ15" s="24">
        <v>32063</v>
      </c>
      <c r="AK15" s="24">
        <v>82869</v>
      </c>
      <c r="AL15" s="24">
        <v>41435</v>
      </c>
      <c r="AM15" s="24">
        <v>61368</v>
      </c>
      <c r="AN15" s="1">
        <v>6719862</v>
      </c>
    </row>
    <row r="16" spans="1:40" x14ac:dyDescent="0.25">
      <c r="M16" s="1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25">
      <c r="A17" t="s">
        <v>127</v>
      </c>
      <c r="B17" t="s">
        <v>127</v>
      </c>
      <c r="C17" t="s">
        <v>127</v>
      </c>
      <c r="D17" t="s">
        <v>127</v>
      </c>
      <c r="E17" t="s">
        <v>127</v>
      </c>
      <c r="F17" t="s">
        <v>127</v>
      </c>
      <c r="G17" t="s">
        <v>127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s="2">
        <f>+SUM(Q2:Q15)</f>
        <v>85906518</v>
      </c>
      <c r="R17" s="2">
        <f t="shared" ref="R17:AN17" si="0">+SUM(R2:R15)</f>
        <v>2829778</v>
      </c>
      <c r="S17" s="2">
        <f t="shared" si="0"/>
        <v>2100000</v>
      </c>
      <c r="T17" s="2">
        <f t="shared" si="0"/>
        <v>1400000</v>
      </c>
      <c r="U17" s="2">
        <f t="shared" si="0"/>
        <v>92236296</v>
      </c>
      <c r="V17" s="2">
        <f t="shared" si="0"/>
        <v>50000</v>
      </c>
      <c r="W17" s="2">
        <f t="shared" si="0"/>
        <v>50000</v>
      </c>
      <c r="X17" s="2">
        <f t="shared" si="0"/>
        <v>4947599</v>
      </c>
      <c r="Y17" s="2">
        <f t="shared" si="0"/>
        <v>372359</v>
      </c>
      <c r="Z17" s="2">
        <f t="shared" si="0"/>
        <v>0</v>
      </c>
      <c r="AA17" s="2">
        <f t="shared" si="0"/>
        <v>518133</v>
      </c>
      <c r="AB17" s="2">
        <f t="shared" si="0"/>
        <v>2625983</v>
      </c>
      <c r="AC17" s="2">
        <f t="shared" si="0"/>
        <v>686233</v>
      </c>
      <c r="AD17" s="2">
        <f t="shared" si="0"/>
        <v>157068</v>
      </c>
      <c r="AE17" s="2">
        <f t="shared" si="0"/>
        <v>11775033</v>
      </c>
      <c r="AF17" s="2">
        <f t="shared" si="0"/>
        <v>449216</v>
      </c>
      <c r="AG17" s="2">
        <f t="shared" si="0"/>
        <v>177494</v>
      </c>
      <c r="AH17" s="2">
        <f t="shared" si="0"/>
        <v>626710</v>
      </c>
      <c r="AI17" s="2">
        <f t="shared" si="0"/>
        <v>70577178</v>
      </c>
      <c r="AJ17" s="2">
        <f t="shared" si="0"/>
        <v>417718</v>
      </c>
      <c r="AK17" s="2">
        <f t="shared" si="0"/>
        <v>992952</v>
      </c>
      <c r="AL17" s="2">
        <f t="shared" si="0"/>
        <v>496480</v>
      </c>
      <c r="AM17" s="2">
        <f t="shared" si="0"/>
        <v>799504</v>
      </c>
      <c r="AN17" s="2">
        <f t="shared" si="0"/>
        <v>94992950</v>
      </c>
    </row>
    <row r="18" spans="1:40" x14ac:dyDescent="0.25">
      <c r="A18" t="s">
        <v>127</v>
      </c>
      <c r="B18" t="s">
        <v>127</v>
      </c>
      <c r="C18" t="s">
        <v>127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</row>
    <row r="21" spans="1:40" x14ac:dyDescent="0.25">
      <c r="B21" s="3" t="s">
        <v>128</v>
      </c>
      <c r="C21" s="4" t="s">
        <v>129</v>
      </c>
      <c r="D21" s="4"/>
      <c r="E21" s="4" t="s">
        <v>130</v>
      </c>
      <c r="F21" s="5">
        <f>SUM(F22:F47)</f>
        <v>94992950</v>
      </c>
      <c r="G21" s="5">
        <f>SUM(G22:G47)</f>
        <v>94992950</v>
      </c>
      <c r="L21" s="6">
        <v>20</v>
      </c>
      <c r="M21" s="31" t="s">
        <v>145</v>
      </c>
      <c r="N21" s="31"/>
      <c r="O21" s="6"/>
      <c r="P21" s="6"/>
      <c r="Q21" s="6"/>
      <c r="R21" s="6"/>
      <c r="S21" s="6"/>
      <c r="T21" s="6"/>
      <c r="U21" s="27">
        <f>+U2/30*$L$22</f>
        <v>365757.05562870699</v>
      </c>
    </row>
    <row r="22" spans="1:40" x14ac:dyDescent="0.25">
      <c r="A22" s="17" t="s">
        <v>57</v>
      </c>
      <c r="B22">
        <v>5011</v>
      </c>
      <c r="C22" s="6" t="s">
        <v>131</v>
      </c>
      <c r="D22" s="7" t="s">
        <v>132</v>
      </c>
      <c r="E22" s="6">
        <v>7020201</v>
      </c>
      <c r="F22" s="8">
        <f>SUMIF($M$2:$M$15,A22,$Q$2:$Q$15)+SUMIF($M$2:$M$15,A22,$S$2:$S$15)+SUMIF($M$2:$M$15,A22,$V$2:$V$15)+SUMIF($M$2:$M$15,A22,$R$2:$R$15)</f>
        <v>43038322</v>
      </c>
      <c r="G22" s="9"/>
      <c r="L22" s="6">
        <v>1.6666666670000001</v>
      </c>
      <c r="M22" s="31" t="s">
        <v>146</v>
      </c>
      <c r="N22" s="31"/>
      <c r="O22" s="6"/>
      <c r="P22" s="6"/>
      <c r="Q22" s="6"/>
      <c r="R22" s="6"/>
      <c r="S22" s="6"/>
      <c r="T22" s="6"/>
      <c r="U22" s="27">
        <f t="shared" ref="U22:U34" si="1">+U3/30*$L$22</f>
        <v>374886.66674164403</v>
      </c>
    </row>
    <row r="23" spans="1:40" x14ac:dyDescent="0.25">
      <c r="A23" s="17" t="s">
        <v>57</v>
      </c>
      <c r="B23">
        <v>5012</v>
      </c>
      <c r="C23" s="6" t="s">
        <v>133</v>
      </c>
      <c r="D23" s="7" t="s">
        <v>132</v>
      </c>
      <c r="E23" s="6">
        <v>7020202</v>
      </c>
      <c r="F23" s="10">
        <f>SUMIF($M$2:$M$15,A23,$T$2:$T$15)</f>
        <v>1400000</v>
      </c>
      <c r="G23" s="9"/>
      <c r="L23" s="6"/>
      <c r="M23" s="6"/>
      <c r="N23" s="6"/>
      <c r="O23" s="6"/>
      <c r="P23" s="6"/>
      <c r="Q23" s="6"/>
      <c r="R23" s="6"/>
      <c r="S23" s="6"/>
      <c r="T23" s="6"/>
      <c r="U23" s="27">
        <f t="shared" si="1"/>
        <v>284354.27783464867</v>
      </c>
    </row>
    <row r="24" spans="1:40" x14ac:dyDescent="0.25">
      <c r="A24" s="17" t="s">
        <v>57</v>
      </c>
      <c r="B24">
        <v>5013</v>
      </c>
      <c r="C24" s="6" t="s">
        <v>23</v>
      </c>
      <c r="D24" s="7" t="s">
        <v>132</v>
      </c>
      <c r="E24" s="6">
        <v>7020203</v>
      </c>
      <c r="F24" s="11">
        <f>SUMIF($M$2:$M$15,A24,$AM$2:$AM$15)+SUMIF($M$2:$M$15,A24,$AL$2:$AL$15)+SUMIF($M$2:$M$15,A24,$AJ$2:$AJ$15)+SUMIF($M$2:$M$15,A24,$AK$2:$AK$15)</f>
        <v>1478843</v>
      </c>
      <c r="G24" s="9"/>
      <c r="L24" s="6"/>
      <c r="M24" s="6"/>
      <c r="N24" s="6"/>
      <c r="O24" s="6"/>
      <c r="P24" s="6"/>
      <c r="Q24" s="6"/>
      <c r="R24" s="6"/>
      <c r="S24" s="6"/>
      <c r="T24" s="6"/>
      <c r="U24" s="27">
        <f t="shared" si="1"/>
        <v>190395.94448252366</v>
      </c>
    </row>
    <row r="25" spans="1:40" x14ac:dyDescent="0.25">
      <c r="A25" s="17" t="s">
        <v>57</v>
      </c>
      <c r="B25">
        <v>5015</v>
      </c>
      <c r="C25" s="6" t="s">
        <v>134</v>
      </c>
      <c r="D25" s="7" t="s">
        <v>132</v>
      </c>
      <c r="E25" s="6">
        <v>7020204</v>
      </c>
      <c r="F25" s="12"/>
      <c r="G25" s="9"/>
      <c r="L25" s="6"/>
      <c r="M25" s="6"/>
      <c r="N25" s="6"/>
      <c r="O25" s="6"/>
      <c r="P25" s="6"/>
      <c r="Q25" s="6"/>
      <c r="R25" s="6"/>
      <c r="S25" s="6"/>
      <c r="T25" s="6"/>
      <c r="U25" s="27">
        <f t="shared" si="1"/>
        <v>415395.94452752371</v>
      </c>
    </row>
    <row r="26" spans="1:40" x14ac:dyDescent="0.25">
      <c r="A26" s="17" t="s">
        <v>49</v>
      </c>
      <c r="B26">
        <v>6306</v>
      </c>
      <c r="C26" s="6" t="s">
        <v>131</v>
      </c>
      <c r="D26" s="13" t="s">
        <v>135</v>
      </c>
      <c r="E26" s="6">
        <v>8050117</v>
      </c>
      <c r="F26" s="8">
        <f>SUMIF($M$2:$M$15,A26,$Q$2:$Q$15)+SUMIF($M$2:$M$15,A26,$S$2:$S$15)+SUMIF($M$2:$M$15,A26,$V$2:$V$15)+SUMIF($M$2:$M$15,A26,$R$2:$R$15)</f>
        <v>29337147</v>
      </c>
      <c r="G26" s="9"/>
      <c r="L26" s="6"/>
      <c r="M26" s="6"/>
      <c r="N26" s="6"/>
      <c r="O26" s="6"/>
      <c r="P26" s="6"/>
      <c r="Q26" s="6"/>
      <c r="R26" s="6"/>
      <c r="S26" s="6"/>
      <c r="T26" s="6"/>
      <c r="U26" s="27">
        <f t="shared" si="1"/>
        <v>116784.8333566903</v>
      </c>
    </row>
    <row r="27" spans="1:40" x14ac:dyDescent="0.25">
      <c r="A27" s="17" t="s">
        <v>49</v>
      </c>
      <c r="B27">
        <v>6307</v>
      </c>
      <c r="C27" s="6" t="s">
        <v>133</v>
      </c>
      <c r="D27" s="13" t="s">
        <v>135</v>
      </c>
      <c r="E27" s="6">
        <v>8050118</v>
      </c>
      <c r="F27" s="10">
        <f>SUMIF($M$2:$M$15,A27,$T$2:$T$15)</f>
        <v>0</v>
      </c>
      <c r="G27" s="9"/>
      <c r="L27" s="6"/>
      <c r="M27" s="6"/>
      <c r="N27" s="6"/>
      <c r="O27" s="6"/>
      <c r="P27" s="6"/>
      <c r="Q27" s="6"/>
      <c r="R27" s="6"/>
      <c r="S27" s="6"/>
      <c r="T27" s="6"/>
      <c r="U27" s="27">
        <f t="shared" si="1"/>
        <v>102895.94446502364</v>
      </c>
    </row>
    <row r="28" spans="1:40" x14ac:dyDescent="0.25">
      <c r="A28" s="17" t="s">
        <v>49</v>
      </c>
      <c r="B28">
        <v>6308</v>
      </c>
      <c r="C28" s="6" t="s">
        <v>23</v>
      </c>
      <c r="D28" s="13" t="s">
        <v>135</v>
      </c>
      <c r="E28" s="6">
        <v>8050119</v>
      </c>
      <c r="F28" s="11">
        <f>SUMIF($M$2:$M$15,A28,$AM$2:$AM$15)+SUMIF($M$2:$M$15,A28,$AL$2:$AL$15)+SUMIF($M$2:$M$15,A28,$AJ$2:$AJ$15)+SUMIF($M$2:$M$15,A28,$AK$2:$AK$15)</f>
        <v>686385</v>
      </c>
      <c r="G28" s="9"/>
      <c r="L28" s="6"/>
      <c r="M28" s="6"/>
      <c r="N28" s="6"/>
      <c r="O28" s="6"/>
      <c r="P28" s="6"/>
      <c r="Q28" s="6"/>
      <c r="R28" s="6"/>
      <c r="S28" s="6"/>
      <c r="T28" s="6"/>
      <c r="U28" s="27">
        <f t="shared" si="1"/>
        <v>281507.05561185698</v>
      </c>
    </row>
    <row r="29" spans="1:40" x14ac:dyDescent="0.25">
      <c r="A29" s="17" t="s">
        <v>49</v>
      </c>
      <c r="B29">
        <v>6326</v>
      </c>
      <c r="C29" s="6" t="s">
        <v>134</v>
      </c>
      <c r="D29" s="13" t="s">
        <v>135</v>
      </c>
      <c r="E29" s="6">
        <v>8050121</v>
      </c>
      <c r="F29" s="12"/>
      <c r="G29" s="9"/>
      <c r="L29" s="6"/>
      <c r="M29" s="6"/>
      <c r="N29" s="6"/>
      <c r="O29" s="6"/>
      <c r="P29" s="6"/>
      <c r="Q29" s="6"/>
      <c r="R29" s="6"/>
      <c r="S29" s="6"/>
      <c r="T29" s="6"/>
      <c r="U29" s="27">
        <f t="shared" si="1"/>
        <v>988514.77797548089</v>
      </c>
    </row>
    <row r="30" spans="1:40" x14ac:dyDescent="0.25">
      <c r="A30" s="17"/>
      <c r="C30" s="6"/>
      <c r="D30" s="14" t="s">
        <v>136</v>
      </c>
      <c r="E30" s="6"/>
      <c r="F30" s="8">
        <f>SUMIF($M$2:$M$15,D30,$Q$2:$Q$15)+SUMIF($M$2:$M$15,D30,$S$2:$S$15)+SUMIF($M$2:$M$15,D30,$V$2:$V$15)+SUMIF($M$2:$M$15,D30,$R$2:$R$15)</f>
        <v>0</v>
      </c>
      <c r="G30" s="9"/>
      <c r="L30" s="6"/>
      <c r="M30" s="6"/>
      <c r="N30" s="6"/>
      <c r="O30" s="6"/>
      <c r="P30" s="6"/>
      <c r="Q30" s="6"/>
      <c r="R30" s="6"/>
      <c r="S30" s="6"/>
      <c r="T30" s="6"/>
      <c r="U30" s="27">
        <f t="shared" si="1"/>
        <v>409151.50008183031</v>
      </c>
    </row>
    <row r="31" spans="1:40" x14ac:dyDescent="0.25">
      <c r="A31" s="25"/>
      <c r="C31" s="6"/>
      <c r="D31" s="14" t="s">
        <v>136</v>
      </c>
      <c r="E31" s="6"/>
      <c r="F31" s="10">
        <f>SUMIF($M$2:$M$15,D31,$T$2:$T$15)</f>
        <v>0</v>
      </c>
      <c r="G31" s="9"/>
      <c r="L31" s="6"/>
      <c r="M31" s="6"/>
      <c r="N31" s="6"/>
      <c r="O31" s="6"/>
      <c r="P31" s="6"/>
      <c r="Q31" s="6"/>
      <c r="R31" s="6"/>
      <c r="S31" s="6"/>
      <c r="T31" s="6"/>
      <c r="U31" s="27">
        <f t="shared" si="1"/>
        <v>436229.2778650237</v>
      </c>
    </row>
    <row r="32" spans="1:40" x14ac:dyDescent="0.25">
      <c r="A32" s="25"/>
      <c r="C32" s="6"/>
      <c r="D32" s="14" t="s">
        <v>136</v>
      </c>
      <c r="E32" s="6"/>
      <c r="F32" s="11">
        <f>SUMIF($M$2:$M$15,D32,$AM$2:$AM$15)+SUMIF($M$2:$M$15,D32,$AL$2:$AL$15)+SUMIF($M$2:$M$15,D32,$AO$2:$AO$15)+SUMIF($M$2:$M$15,D32,$AN$2:$AN$15)</f>
        <v>0</v>
      </c>
      <c r="G32" s="9"/>
      <c r="L32" s="6"/>
      <c r="M32" s="6"/>
      <c r="N32" s="6"/>
      <c r="O32" s="6"/>
      <c r="P32" s="6"/>
      <c r="Q32" s="6"/>
      <c r="R32" s="6"/>
      <c r="S32" s="6"/>
      <c r="T32" s="6"/>
      <c r="U32" s="27">
        <f t="shared" si="1"/>
        <v>627240.16679211473</v>
      </c>
    </row>
    <row r="33" spans="1:21" x14ac:dyDescent="0.25">
      <c r="A33" s="25"/>
      <c r="C33" s="6"/>
      <c r="D33" s="14" t="s">
        <v>136</v>
      </c>
      <c r="E33" s="6"/>
      <c r="F33" s="9"/>
      <c r="G33" s="9"/>
      <c r="L33" s="6"/>
      <c r="M33" s="6"/>
      <c r="N33" s="6"/>
      <c r="O33" s="6"/>
      <c r="P33" s="6"/>
      <c r="Q33" s="6"/>
      <c r="R33" s="6"/>
      <c r="S33" s="6"/>
      <c r="T33" s="6"/>
      <c r="U33" s="27">
        <f t="shared" si="1"/>
        <v>169895.94447842365</v>
      </c>
    </row>
    <row r="34" spans="1:21" x14ac:dyDescent="0.25">
      <c r="A34" s="17" t="s">
        <v>63</v>
      </c>
      <c r="B34">
        <v>6301</v>
      </c>
      <c r="C34" s="6" t="s">
        <v>131</v>
      </c>
      <c r="D34" s="15" t="s">
        <v>137</v>
      </c>
      <c r="E34" s="6">
        <v>8050101</v>
      </c>
      <c r="F34" s="8">
        <f>SUMIF($M$2:$M$15,A34,$Q$2:$Q$15)+SUMIF($M$2:$M$15,A34,$S$2:$S$15)+SUMIF($M$2:$M$15,A34,$V$2:$V$15)+SUMIF($M$2:$M$15,A34,$R$2:$R$15)</f>
        <v>16408700</v>
      </c>
      <c r="G34" s="9"/>
      <c r="L34" s="6"/>
      <c r="M34" s="6"/>
      <c r="N34" s="6"/>
      <c r="O34" s="6"/>
      <c r="P34" s="6"/>
      <c r="Q34" s="6"/>
      <c r="R34" s="6"/>
      <c r="S34" s="6"/>
      <c r="T34" s="6"/>
      <c r="U34" s="27">
        <f t="shared" si="1"/>
        <v>361229.2778500237</v>
      </c>
    </row>
    <row r="35" spans="1:21" x14ac:dyDescent="0.25">
      <c r="A35" s="17" t="s">
        <v>63</v>
      </c>
      <c r="B35">
        <v>6302</v>
      </c>
      <c r="C35" s="6" t="s">
        <v>133</v>
      </c>
      <c r="D35" s="15" t="s">
        <v>137</v>
      </c>
      <c r="E35" s="6">
        <v>8050102</v>
      </c>
      <c r="F35" s="10">
        <f>SUMIF($M$2:$M$15,A35,$T$2:$T$15)</f>
        <v>0</v>
      </c>
      <c r="G35" s="9"/>
      <c r="L35" s="6"/>
      <c r="M35" s="6"/>
      <c r="N35" s="6"/>
      <c r="O35" s="6"/>
      <c r="P35" s="6"/>
      <c r="Q35" s="6"/>
      <c r="R35" s="6"/>
      <c r="S35" s="6"/>
      <c r="T35" s="4" t="s">
        <v>147</v>
      </c>
      <c r="U35" s="28">
        <f>SUM(U21:U34)</f>
        <v>5124238.6676915139</v>
      </c>
    </row>
    <row r="36" spans="1:21" x14ac:dyDescent="0.25">
      <c r="A36" s="17" t="s">
        <v>63</v>
      </c>
      <c r="B36">
        <v>6303</v>
      </c>
      <c r="C36" s="6" t="s">
        <v>23</v>
      </c>
      <c r="D36" s="15" t="s">
        <v>137</v>
      </c>
      <c r="E36" s="6">
        <v>8050106</v>
      </c>
      <c r="F36" s="11">
        <f>SUMIF($M$2:$M$15,A36,$AM$2:$AM$15)+SUMIF($M$2:$M$15,A36,$AL$2:$AL$15)+SUMIF($M$2:$M$15,A36,$AJ$2:$AJ$15)+SUMIF($M$2:$M$15,A36,$AK$2:$AK$15)</f>
        <v>434007</v>
      </c>
      <c r="G36" s="9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17" t="s">
        <v>63</v>
      </c>
      <c r="B37">
        <v>6327</v>
      </c>
      <c r="C37" s="6" t="s">
        <v>134</v>
      </c>
      <c r="D37" s="15" t="s">
        <v>137</v>
      </c>
      <c r="E37" s="6">
        <v>8050120</v>
      </c>
      <c r="F37" s="9"/>
      <c r="G37" s="9"/>
      <c r="L37" s="6"/>
      <c r="M37" s="6"/>
      <c r="N37" s="6"/>
      <c r="O37" s="6"/>
      <c r="P37" s="6"/>
      <c r="Q37" s="6"/>
      <c r="R37" s="6"/>
      <c r="S37" s="6"/>
      <c r="T37" s="6"/>
      <c r="U37" s="26">
        <f>(U17/30)*L22</f>
        <v>5124238.6676915148</v>
      </c>
    </row>
    <row r="38" spans="1:21" x14ac:dyDescent="0.25">
      <c r="A38" s="17" t="s">
        <v>94</v>
      </c>
      <c r="B38">
        <v>5211</v>
      </c>
      <c r="C38" s="6" t="s">
        <v>131</v>
      </c>
      <c r="D38" s="16" t="s">
        <v>138</v>
      </c>
      <c r="E38" s="6">
        <v>7020205</v>
      </c>
      <c r="F38" s="8">
        <f>SUMIF($M$2:$M$15,A38,$Q$2:$Q$15)+SUMIF($M$2:$M$15,A38,$S$2:$S$15)+SUMIF($M$2:$M$15,A38,$V$2:$V$15)+SUMIF($M$2:$M$15,A38,$R$2:$R$15)</f>
        <v>2102127</v>
      </c>
      <c r="G38" s="9"/>
    </row>
    <row r="39" spans="1:21" x14ac:dyDescent="0.25">
      <c r="A39" s="17" t="s">
        <v>94</v>
      </c>
      <c r="B39">
        <v>5211</v>
      </c>
      <c r="C39" s="6" t="s">
        <v>133</v>
      </c>
      <c r="D39" s="16" t="s">
        <v>138</v>
      </c>
      <c r="E39" s="6">
        <v>7020206</v>
      </c>
      <c r="F39" s="10">
        <f>SUMIF($M$2:$M$15,A39,$T$2:$T$15)</f>
        <v>0</v>
      </c>
      <c r="G39" s="9"/>
    </row>
    <row r="40" spans="1:21" x14ac:dyDescent="0.25">
      <c r="A40" s="17" t="s">
        <v>94</v>
      </c>
      <c r="B40">
        <v>5213</v>
      </c>
      <c r="C40" s="6" t="s">
        <v>23</v>
      </c>
      <c r="D40" s="16" t="s">
        <v>138</v>
      </c>
      <c r="E40" s="6">
        <v>7020207</v>
      </c>
      <c r="F40" s="11">
        <f>SUMIF($M$2:$M$15,A40,$AM$2:$AM$15)+SUMIF($M$2:$M$15,A40,$AL$2:$AL$15)+SUMIF($M$2:$M$15,A40,$AJ$2:$AJ$15)+SUMIF($M$2:$M$15,A40,$AK$2:$AK$15)</f>
        <v>107419</v>
      </c>
      <c r="G40" s="9"/>
    </row>
    <row r="41" spans="1:21" x14ac:dyDescent="0.25">
      <c r="A41" s="17" t="s">
        <v>94</v>
      </c>
      <c r="B41">
        <v>5215</v>
      </c>
      <c r="C41" s="6" t="s">
        <v>134</v>
      </c>
      <c r="D41" s="16" t="s">
        <v>138</v>
      </c>
      <c r="E41" s="6">
        <v>7020208</v>
      </c>
      <c r="F41" s="9"/>
      <c r="G41" s="9"/>
    </row>
    <row r="42" spans="1:21" x14ac:dyDescent="0.25">
      <c r="A42" s="17"/>
      <c r="B42">
        <v>2414</v>
      </c>
      <c r="C42" s="6" t="s">
        <v>139</v>
      </c>
      <c r="D42" s="6"/>
      <c r="E42" s="6">
        <v>3031302</v>
      </c>
      <c r="F42" s="9"/>
      <c r="G42" s="12">
        <f>SUM(X17:AD17,AZ16:BG16)+SUM(AJ17:AM17)</f>
        <v>12014029</v>
      </c>
    </row>
    <row r="43" spans="1:21" x14ac:dyDescent="0.25">
      <c r="A43" s="17"/>
      <c r="B43">
        <v>2414</v>
      </c>
      <c r="C43" s="6" t="s">
        <v>140</v>
      </c>
      <c r="D43" s="6"/>
      <c r="E43" s="6">
        <v>8050305</v>
      </c>
      <c r="F43" s="9"/>
      <c r="G43" s="12">
        <f>+AF17</f>
        <v>449216</v>
      </c>
    </row>
    <row r="44" spans="1:21" x14ac:dyDescent="0.25">
      <c r="A44" s="17"/>
      <c r="B44">
        <v>2411</v>
      </c>
      <c r="C44" s="6" t="s">
        <v>141</v>
      </c>
      <c r="D44" s="6"/>
      <c r="E44" s="6">
        <v>3031204</v>
      </c>
      <c r="F44" s="9"/>
      <c r="G44" s="9">
        <f>+AI17</f>
        <v>70577178</v>
      </c>
    </row>
    <row r="45" spans="1:21" x14ac:dyDescent="0.25">
      <c r="A45" s="17"/>
      <c r="B45" s="17">
        <v>2554</v>
      </c>
      <c r="C45" s="6" t="s">
        <v>142</v>
      </c>
      <c r="D45" s="6"/>
      <c r="E45" s="6">
        <v>3031505</v>
      </c>
      <c r="F45" s="9"/>
      <c r="G45" s="9">
        <f>+AG17</f>
        <v>177494</v>
      </c>
    </row>
    <row r="46" spans="1:21" x14ac:dyDescent="0.25">
      <c r="A46" s="17"/>
      <c r="B46" s="17">
        <v>2554</v>
      </c>
      <c r="C46" s="6" t="s">
        <v>143</v>
      </c>
      <c r="D46" s="6"/>
      <c r="E46" s="6">
        <v>3031501</v>
      </c>
      <c r="F46" s="9"/>
      <c r="G46" s="9">
        <f>+AE17</f>
        <v>11775033</v>
      </c>
    </row>
    <row r="47" spans="1:21" x14ac:dyDescent="0.25">
      <c r="A47" s="17"/>
      <c r="B47">
        <v>2411</v>
      </c>
      <c r="C47" s="6" t="s">
        <v>144</v>
      </c>
      <c r="E47" s="6">
        <v>3031204</v>
      </c>
      <c r="F47" s="18"/>
      <c r="G47" s="18">
        <v>0</v>
      </c>
    </row>
  </sheetData>
  <sortState xmlns:xlrd2="http://schemas.microsoft.com/office/spreadsheetml/2017/richdata2" ref="A2:AN15">
    <sortCondition ref="E1:E15"/>
  </sortState>
  <mergeCells count="2">
    <mergeCell ref="M21:N21"/>
    <mergeCell ref="M22:N22"/>
  </mergeCells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FC3697-F627-415A-A733-5201267F35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E7969C57-1F73-43F3-982F-BE67403D05F8}"/>
</file>

<file path=customXml/itemProps3.xml><?xml version="1.0" encoding="utf-8"?>
<ds:datastoreItem xmlns:ds="http://schemas.openxmlformats.org/officeDocument/2006/customXml" ds:itemID="{41FBC143-4D2E-4E3E-B386-7060B6647DA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2025-06-23T07:04:03Z</dcterms:created>
  <dcterms:modified xsi:type="dcterms:W3CDTF">2025-08-19T01:02:02Z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