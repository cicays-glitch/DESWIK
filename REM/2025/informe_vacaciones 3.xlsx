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7" documentId="8_{6D68824B-1ADC-4A5D-84BF-02DCAB969C33}" xr6:coauthVersionLast="47" xr6:coauthVersionMax="47" xr10:uidLastSave="{4E1BFC18-3D22-4C67-80D5-6DE7A0ACBCA6}"/>
  <bookViews>
    <workbookView xWindow="-20826" yWindow="43" windowWidth="20923" windowHeight="7823" xr2:uid="{00000000-000D-0000-FFFF-FFFF00000000}"/>
  </bookViews>
  <sheets>
    <sheet name="Provision de Vac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" l="1"/>
  <c r="Q15" i="1"/>
</calcChain>
</file>

<file path=xl/sharedStrings.xml><?xml version="1.0" encoding="utf-8"?>
<sst xmlns="http://schemas.openxmlformats.org/spreadsheetml/2006/main" count="164" uniqueCount="96">
  <si>
    <t>Rut</t>
  </si>
  <si>
    <t>Nombre</t>
  </si>
  <si>
    <t>Apellido Paterno</t>
  </si>
  <si>
    <t>Apellido Materno</t>
  </si>
  <si>
    <t>Razón Social Rut</t>
  </si>
  <si>
    <t>Razón Social Nombre</t>
  </si>
  <si>
    <t>Centro de Costo</t>
  </si>
  <si>
    <t>Código Centro de Costo</t>
  </si>
  <si>
    <t>Sucursal</t>
  </si>
  <si>
    <t>Fecha Contratación</t>
  </si>
  <si>
    <t>Sueldo Base</t>
  </si>
  <si>
    <t>Sueldo para Vacaciones</t>
  </si>
  <si>
    <t>Detalle sueldo para vacaciones (Día)</t>
  </si>
  <si>
    <t>Días al Fin del Periodo</t>
  </si>
  <si>
    <t>Días Corridos Restantes</t>
  </si>
  <si>
    <t>Dias Compensatorios</t>
  </si>
  <si>
    <t>Monto a Provisionar</t>
  </si>
  <si>
    <t>Días Corridos (Sin Feriados)</t>
  </si>
  <si>
    <t>Monto a Provisionar (Sin Feriados)</t>
  </si>
  <si>
    <t>Días Progresivos Restantes</t>
  </si>
  <si>
    <t>Días Normales Restantes</t>
  </si>
  <si>
    <t>12681353-8</t>
  </si>
  <si>
    <t>Katherinne Silvana</t>
  </si>
  <si>
    <t>Alarcon</t>
  </si>
  <si>
    <t>Escobar</t>
  </si>
  <si>
    <t>76388284-5</t>
  </si>
  <si>
    <t>DESWIK CHILE SPA</t>
  </si>
  <si>
    <t>Administración</t>
  </si>
  <si>
    <t>1</t>
  </si>
  <si>
    <t>deswik</t>
  </si>
  <si>
    <t>01/08/2023</t>
  </si>
  <si>
    <t>0,00</t>
  </si>
  <si>
    <t>13462322-5</t>
  </si>
  <si>
    <t>Cristian</t>
  </si>
  <si>
    <t>Anabalon</t>
  </si>
  <si>
    <t>Barría</t>
  </si>
  <si>
    <t>Consultoria</t>
  </si>
  <si>
    <t>2</t>
  </si>
  <si>
    <t>16/12/2016</t>
  </si>
  <si>
    <t>15633296-8</t>
  </si>
  <si>
    <t>Jorge</t>
  </si>
  <si>
    <t>Moris</t>
  </si>
  <si>
    <t>Jordán</t>
  </si>
  <si>
    <t>15/05/2017</t>
  </si>
  <si>
    <t>16475670-K</t>
  </si>
  <si>
    <t>Carol Tatiana</t>
  </si>
  <si>
    <t>Contreras</t>
  </si>
  <si>
    <t>Muñoz</t>
  </si>
  <si>
    <t>01/12/2023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</si>
  <si>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</si>
  <si>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</si>
  <si>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</si>
  <si>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</si>
  <si>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</si>
  <si>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</si>
  <si>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</si>
  <si>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</si>
  <si>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</si>
  <si>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</si>
  <si>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</si>
  <si>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</si>
  <si>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</si>
  <si>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</si>
  <si>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Soporte</t>
  </si>
  <si>
    <t>5</t>
  </si>
  <si>
    <t>01/04/2025</t>
  </si>
  <si>
    <t>25111494-3</t>
  </si>
  <si>
    <t>Caroline</t>
  </si>
  <si>
    <t>Zorzi</t>
  </si>
  <si>
    <t>.</t>
  </si>
  <si>
    <t>04/11/2024</t>
  </si>
  <si>
    <t>25221995-1</t>
  </si>
  <si>
    <t>Caitlin Joy</t>
  </si>
  <si>
    <t>Wheat</t>
  </si>
  <si>
    <t>01/01/2023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</si>
  <si>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</si>
  <si>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</si>
  <si>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</si>
  <si>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</si>
  <si>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</si>
  <si>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</si>
  <si>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</si>
  <si>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</si>
  <si>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</si>
  <si>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Ventas y marketing</t>
  </si>
  <si>
    <t>4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</si>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</sst>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$-340A]#,##0;[$$-340A]\ \-#,##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1" fillId="2" borderId="0" xfId="0" applyNumberFormat="1" applyFont="1" applyFill="1" applyAlignment="1">
      <alignment horizontal="left"/>
    </xf>
    <xf numFmtId="164" fontId="0" fillId="2" borderId="0" xfId="0" applyNumberFormat="1" applyFill="1"/>
    <xf numFmtId="0" fontId="0" fillId="2" borderId="0" xfId="0" applyFill="1"/>
    <xf numFmtId="164" fontId="4" fillId="2" borderId="0" xfId="0" applyNumberFormat="1" applyFont="1" applyFill="1"/>
    <xf numFmtId="164" fontId="3" fillId="2" borderId="0" xfId="0" applyNumberFormat="1" applyFont="1" applyFill="1"/>
    <xf numFmtId="41" fontId="0" fillId="2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M2" zoomScale="70" zoomScaleNormal="70" workbookViewId="0">
      <selection activeCell="R15" sqref="R15"/>
    </sheetView>
  </sheetViews>
  <sheetFormatPr baseColWidth="10" defaultColWidth="9.09765625" defaultRowHeight="14" x14ac:dyDescent="0.3"/>
  <cols>
    <col min="1" max="1" width="16" customWidth="1"/>
    <col min="2" max="2" width="24" customWidth="1"/>
    <col min="3" max="5" width="22" customWidth="1"/>
    <col min="6" max="6" width="25" customWidth="1"/>
    <col min="7" max="7" width="21" customWidth="1"/>
    <col min="8" max="8" width="28" customWidth="1"/>
    <col min="9" max="9" width="14" customWidth="1"/>
    <col min="10" max="10" width="24" customWidth="1"/>
    <col min="11" max="11" width="17" customWidth="1"/>
    <col min="12" max="12" width="28" customWidth="1"/>
    <col min="13" max="13" width="42" customWidth="1"/>
    <col min="14" max="15" width="29" customWidth="1"/>
    <col min="16" max="16" width="25" customWidth="1"/>
    <col min="17" max="17" width="25" style="7" customWidth="1"/>
    <col min="18" max="18" width="34" customWidth="1"/>
    <col min="19" max="19" width="40" customWidth="1"/>
    <col min="20" max="20" width="32" customWidth="1"/>
    <col min="21" max="21" width="29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5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3" t="s">
        <v>29</v>
      </c>
      <c r="J2" t="s">
        <v>30</v>
      </c>
      <c r="K2" s="4">
        <v>6231500</v>
      </c>
      <c r="L2" s="4">
        <v>6231500</v>
      </c>
      <c r="M2" s="4"/>
      <c r="N2">
        <v>13.35</v>
      </c>
      <c r="O2">
        <v>20.354299999999999</v>
      </c>
      <c r="P2" s="4" t="s">
        <v>31</v>
      </c>
      <c r="Q2" s="6">
        <v>4227927</v>
      </c>
      <c r="R2">
        <v>18.7</v>
      </c>
      <c r="S2" s="4">
        <v>3883465</v>
      </c>
      <c r="T2">
        <v>0</v>
      </c>
      <c r="U2">
        <v>13.35</v>
      </c>
    </row>
    <row r="3" spans="1:21" x14ac:dyDescent="0.3">
      <c r="A3" t="s">
        <v>32</v>
      </c>
      <c r="B3" t="s">
        <v>33</v>
      </c>
      <c r="C3" t="s">
        <v>34</v>
      </c>
      <c r="D3" t="s">
        <v>35</v>
      </c>
      <c r="E3" t="s">
        <v>25</v>
      </c>
      <c r="F3" t="s">
        <v>26</v>
      </c>
      <c r="G3" t="s">
        <v>36</v>
      </c>
      <c r="H3" t="s">
        <v>37</v>
      </c>
      <c r="I3" s="3" t="s">
        <v>29</v>
      </c>
      <c r="J3" t="s">
        <v>38</v>
      </c>
      <c r="K3" s="4">
        <v>6395833</v>
      </c>
      <c r="L3" s="4">
        <v>6395833</v>
      </c>
      <c r="M3" s="4"/>
      <c r="N3">
        <v>10.35</v>
      </c>
      <c r="O3">
        <v>15.348599999999999</v>
      </c>
      <c r="P3" s="4" t="s">
        <v>31</v>
      </c>
      <c r="Q3" s="6">
        <v>3272236</v>
      </c>
      <c r="R3">
        <v>14.49</v>
      </c>
      <c r="S3" s="4">
        <v>3088776</v>
      </c>
      <c r="T3">
        <v>3</v>
      </c>
      <c r="U3">
        <v>7.35</v>
      </c>
    </row>
    <row r="4" spans="1:21" x14ac:dyDescent="0.3">
      <c r="A4" t="s">
        <v>39</v>
      </c>
      <c r="B4" t="s">
        <v>40</v>
      </c>
      <c r="C4" t="s">
        <v>41</v>
      </c>
      <c r="D4" t="s">
        <v>42</v>
      </c>
      <c r="E4" t="s">
        <v>25</v>
      </c>
      <c r="F4" t="s">
        <v>26</v>
      </c>
      <c r="G4" t="s">
        <v>36</v>
      </c>
      <c r="H4" t="s">
        <v>37</v>
      </c>
      <c r="I4" s="3" t="s">
        <v>29</v>
      </c>
      <c r="J4" t="s">
        <v>43</v>
      </c>
      <c r="K4" s="4">
        <v>7500000</v>
      </c>
      <c r="L4" s="4">
        <v>7500000</v>
      </c>
      <c r="M4" s="4"/>
      <c r="N4">
        <v>30.49</v>
      </c>
      <c r="O4">
        <v>43.488999999999997</v>
      </c>
      <c r="P4" s="4" t="s">
        <v>31</v>
      </c>
      <c r="Q4" s="6">
        <v>10872250</v>
      </c>
      <c r="R4">
        <v>42.68</v>
      </c>
      <c r="S4" s="4">
        <v>10671164</v>
      </c>
      <c r="T4">
        <v>2</v>
      </c>
      <c r="U4">
        <v>28.49</v>
      </c>
    </row>
    <row r="5" spans="1:21" x14ac:dyDescent="0.3">
      <c r="A5" t="s">
        <v>44</v>
      </c>
      <c r="B5" t="s">
        <v>45</v>
      </c>
      <c r="C5" t="s">
        <v>46</v>
      </c>
      <c r="D5" t="s">
        <v>47</v>
      </c>
      <c r="E5" t="s">
        <v>25</v>
      </c>
      <c r="F5" t="s">
        <v>26</v>
      </c>
      <c r="G5" t="s">
        <v>27</v>
      </c>
      <c r="H5" t="s">
        <v>28</v>
      </c>
      <c r="I5" s="3" t="s">
        <v>29</v>
      </c>
      <c r="J5" t="s">
        <v>48</v>
      </c>
      <c r="K5" s="4">
        <v>1500000</v>
      </c>
      <c r="L5" s="4">
        <v>1500000</v>
      </c>
      <c r="M5" s="4"/>
      <c r="N5">
        <v>23.17</v>
      </c>
      <c r="O5">
        <v>34.168700000000001</v>
      </c>
      <c r="P5" s="4" t="s">
        <v>31</v>
      </c>
      <c r="Q5" s="6">
        <v>1708435</v>
      </c>
      <c r="R5">
        <v>32.44</v>
      </c>
      <c r="S5" s="4">
        <v>1621806</v>
      </c>
      <c r="T5">
        <v>0</v>
      </c>
      <c r="U5">
        <v>23.17</v>
      </c>
    </row>
    <row r="6" spans="1:21" x14ac:dyDescent="0.3">
      <c r="A6" t="s">
        <v>49</v>
      </c>
      <c r="B6" t="s">
        <v>50</v>
      </c>
      <c r="C6" t="s">
        <v>51</v>
      </c>
      <c r="D6" t="s">
        <v>52</v>
      </c>
      <c r="E6" t="s">
        <v>25</v>
      </c>
      <c r="F6" t="s">
        <v>26</v>
      </c>
      <c r="G6" t="s">
        <v>36</v>
      </c>
      <c r="H6" t="s">
        <v>37</v>
      </c>
      <c r="I6" s="3" t="s">
        <v>29</v>
      </c>
      <c r="J6" t="s">
        <v>53</v>
      </c>
      <c r="K6" s="4">
        <v>6562600</v>
      </c>
      <c r="L6" s="4">
        <v>6562600</v>
      </c>
      <c r="M6" s="4"/>
      <c r="N6">
        <v>20.88</v>
      </c>
      <c r="O6">
        <v>29.875299999999999</v>
      </c>
      <c r="P6" s="4" t="s">
        <v>31</v>
      </c>
      <c r="Q6" s="6">
        <v>6535321</v>
      </c>
      <c r="R6">
        <v>29.23</v>
      </c>
      <c r="S6" s="4">
        <v>6393155</v>
      </c>
      <c r="T6">
        <v>1</v>
      </c>
      <c r="U6">
        <v>19.88</v>
      </c>
    </row>
    <row r="7" spans="1:21" x14ac:dyDescent="0.3">
      <c r="A7" t="s">
        <v>54</v>
      </c>
      <c r="B7" t="s">
        <v>55</v>
      </c>
      <c r="C7" t="s">
        <v>56</v>
      </c>
      <c r="D7" t="s">
        <v>57</v>
      </c>
      <c r="E7" t="s">
        <v>25</v>
      </c>
      <c r="F7" t="s">
        <v>26</v>
      </c>
      <c r="G7" t="s">
        <v>36</v>
      </c>
      <c r="H7" t="s">
        <v>37</v>
      </c>
      <c r="I7" s="3" t="s">
        <v>29</v>
      </c>
      <c r="J7" t="s">
        <v>58</v>
      </c>
      <c r="K7" s="4">
        <v>6825000</v>
      </c>
      <c r="L7" s="4">
        <v>6825000</v>
      </c>
      <c r="M7" s="4"/>
      <c r="N7">
        <v>11.1</v>
      </c>
      <c r="O7">
        <v>18.095300000000002</v>
      </c>
      <c r="P7" s="4" t="s">
        <v>31</v>
      </c>
      <c r="Q7" s="6">
        <v>4116680</v>
      </c>
      <c r="R7">
        <v>15.53</v>
      </c>
      <c r="S7" s="4">
        <v>3533850</v>
      </c>
      <c r="T7">
        <v>1</v>
      </c>
      <c r="U7">
        <v>10.1</v>
      </c>
    </row>
    <row r="8" spans="1:21" x14ac:dyDescent="0.3">
      <c r="A8" t="s">
        <v>59</v>
      </c>
      <c r="B8" t="s">
        <v>60</v>
      </c>
      <c r="C8" t="s">
        <v>61</v>
      </c>
      <c r="D8" t="s">
        <v>62</v>
      </c>
      <c r="E8" t="s">
        <v>25</v>
      </c>
      <c r="F8" t="s">
        <v>26</v>
      </c>
      <c r="G8" t="s">
        <v>63</v>
      </c>
      <c r="H8" t="s">
        <v>64</v>
      </c>
      <c r="I8" s="3" t="s">
        <v>29</v>
      </c>
      <c r="J8" t="s">
        <v>65</v>
      </c>
      <c r="K8" s="4">
        <v>1750000</v>
      </c>
      <c r="L8" s="4">
        <v>1750000</v>
      </c>
      <c r="M8" s="4"/>
      <c r="N8">
        <v>14</v>
      </c>
      <c r="O8">
        <v>21</v>
      </c>
      <c r="P8" s="4" t="s">
        <v>31</v>
      </c>
      <c r="Q8" s="6">
        <v>1225000</v>
      </c>
      <c r="R8">
        <v>19.600000000000001</v>
      </c>
      <c r="S8" s="4">
        <v>1143333</v>
      </c>
      <c r="T8">
        <v>0</v>
      </c>
      <c r="U8">
        <v>14</v>
      </c>
    </row>
    <row r="9" spans="1:21" x14ac:dyDescent="0.3">
      <c r="A9" t="s">
        <v>66</v>
      </c>
      <c r="B9" t="s">
        <v>67</v>
      </c>
      <c r="C9" t="s">
        <v>68</v>
      </c>
      <c r="D9" t="s">
        <v>69</v>
      </c>
      <c r="E9" t="s">
        <v>25</v>
      </c>
      <c r="F9" t="s">
        <v>26</v>
      </c>
      <c r="G9" t="s">
        <v>36</v>
      </c>
      <c r="H9" t="s">
        <v>37</v>
      </c>
      <c r="I9" s="3" t="s">
        <v>29</v>
      </c>
      <c r="J9" t="s">
        <v>70</v>
      </c>
      <c r="K9" s="4">
        <v>5500000</v>
      </c>
      <c r="L9" s="4">
        <v>5500000</v>
      </c>
      <c r="M9" s="4"/>
      <c r="N9">
        <v>14.09</v>
      </c>
      <c r="O9">
        <v>21.0915</v>
      </c>
      <c r="P9" s="4" t="s">
        <v>31</v>
      </c>
      <c r="Q9" s="6">
        <v>3866775</v>
      </c>
      <c r="R9">
        <v>19.73</v>
      </c>
      <c r="S9" s="4">
        <v>3616809</v>
      </c>
      <c r="T9">
        <v>0</v>
      </c>
      <c r="U9">
        <v>14.09</v>
      </c>
    </row>
    <row r="10" spans="1:21" x14ac:dyDescent="0.3">
      <c r="A10" t="s">
        <v>71</v>
      </c>
      <c r="B10" t="s">
        <v>72</v>
      </c>
      <c r="C10" t="s">
        <v>73</v>
      </c>
      <c r="D10" t="s">
        <v>69</v>
      </c>
      <c r="E10" t="s">
        <v>25</v>
      </c>
      <c r="F10" t="s">
        <v>26</v>
      </c>
      <c r="G10" t="s">
        <v>27</v>
      </c>
      <c r="H10" t="s">
        <v>28</v>
      </c>
      <c r="I10" s="3" t="s">
        <v>29</v>
      </c>
      <c r="J10" t="s">
        <v>74</v>
      </c>
      <c r="K10" s="4">
        <v>4510000</v>
      </c>
      <c r="L10" s="4">
        <v>4510000</v>
      </c>
      <c r="M10" s="4"/>
      <c r="N10">
        <v>26.97</v>
      </c>
      <c r="O10">
        <v>39.971899999999998</v>
      </c>
      <c r="P10" s="4" t="s">
        <v>31</v>
      </c>
      <c r="Q10" s="6">
        <v>6009108</v>
      </c>
      <c r="R10">
        <v>37.76</v>
      </c>
      <c r="S10" s="4">
        <v>5676678</v>
      </c>
      <c r="T10">
        <v>0</v>
      </c>
      <c r="U10">
        <v>26.97</v>
      </c>
    </row>
    <row r="11" spans="1:21" x14ac:dyDescent="0.3">
      <c r="A11" t="s">
        <v>75</v>
      </c>
      <c r="B11" t="s">
        <v>76</v>
      </c>
      <c r="C11" t="s">
        <v>77</v>
      </c>
      <c r="D11" t="s">
        <v>78</v>
      </c>
      <c r="E11" t="s">
        <v>25</v>
      </c>
      <c r="F11" t="s">
        <v>26</v>
      </c>
      <c r="G11" t="s">
        <v>36</v>
      </c>
      <c r="H11" t="s">
        <v>37</v>
      </c>
      <c r="I11" s="3" t="s">
        <v>29</v>
      </c>
      <c r="J11" t="s">
        <v>79</v>
      </c>
      <c r="K11" s="4">
        <v>4715000</v>
      </c>
      <c r="L11" s="4">
        <v>4715000</v>
      </c>
      <c r="M11" s="4"/>
      <c r="N11">
        <v>12.27</v>
      </c>
      <c r="O11">
        <v>19.2653</v>
      </c>
      <c r="P11" s="4" t="s">
        <v>31</v>
      </c>
      <c r="Q11" s="6">
        <v>3027862</v>
      </c>
      <c r="R11">
        <v>17.170000000000002</v>
      </c>
      <c r="S11" s="4">
        <v>2698773</v>
      </c>
      <c r="T11">
        <v>0</v>
      </c>
      <c r="U11">
        <v>12.27</v>
      </c>
    </row>
    <row r="12" spans="1:21" x14ac:dyDescent="0.3">
      <c r="A12" t="s">
        <v>80</v>
      </c>
      <c r="B12" t="s">
        <v>81</v>
      </c>
      <c r="C12" t="s">
        <v>82</v>
      </c>
      <c r="D12" t="s">
        <v>83</v>
      </c>
      <c r="E12" t="s">
        <v>25</v>
      </c>
      <c r="F12" t="s">
        <v>26</v>
      </c>
      <c r="G12" t="s">
        <v>84</v>
      </c>
      <c r="H12" t="s">
        <v>85</v>
      </c>
      <c r="I12" s="3" t="s">
        <v>29</v>
      </c>
      <c r="J12" t="s">
        <v>74</v>
      </c>
      <c r="K12" s="4">
        <v>10623921</v>
      </c>
      <c r="L12" s="4">
        <v>10623921</v>
      </c>
      <c r="M12" s="4"/>
      <c r="N12">
        <v>13.03</v>
      </c>
      <c r="O12">
        <v>20.026700000000002</v>
      </c>
      <c r="P12" s="4" t="s">
        <v>31</v>
      </c>
      <c r="Q12" s="6">
        <v>7092069</v>
      </c>
      <c r="R12">
        <v>18.239999999999998</v>
      </c>
      <c r="S12" s="4">
        <v>6458399</v>
      </c>
      <c r="T12">
        <v>0</v>
      </c>
      <c r="U12">
        <v>13.03</v>
      </c>
    </row>
    <row r="13" spans="1:21" x14ac:dyDescent="0.3">
      <c r="A13" t="s">
        <v>86</v>
      </c>
      <c r="B13" t="s">
        <v>87</v>
      </c>
      <c r="C13" t="s">
        <v>88</v>
      </c>
      <c r="D13" t="s">
        <v>89</v>
      </c>
      <c r="E13" t="s">
        <v>25</v>
      </c>
      <c r="F13" t="s">
        <v>26</v>
      </c>
      <c r="G13" t="s">
        <v>27</v>
      </c>
      <c r="H13" t="s">
        <v>28</v>
      </c>
      <c r="I13" s="3" t="s">
        <v>29</v>
      </c>
      <c r="J13" t="s">
        <v>90</v>
      </c>
      <c r="K13" s="4">
        <v>16940021</v>
      </c>
      <c r="L13" s="4">
        <v>16940021</v>
      </c>
      <c r="M13" s="4"/>
      <c r="N13">
        <v>31.57</v>
      </c>
      <c r="O13">
        <v>46.573500000000003</v>
      </c>
      <c r="P13" s="4" t="s">
        <v>31</v>
      </c>
      <c r="Q13" s="6">
        <v>26298536</v>
      </c>
      <c r="R13">
        <v>44.2</v>
      </c>
      <c r="S13" s="4">
        <v>24959909</v>
      </c>
      <c r="T13">
        <v>0</v>
      </c>
      <c r="U13">
        <v>31.57</v>
      </c>
    </row>
    <row r="14" spans="1:21" x14ac:dyDescent="0.3">
      <c r="A14" t="s">
        <v>91</v>
      </c>
      <c r="B14" t="s">
        <v>92</v>
      </c>
      <c r="C14" t="s">
        <v>93</v>
      </c>
      <c r="D14" t="s">
        <v>94</v>
      </c>
      <c r="E14" t="s">
        <v>25</v>
      </c>
      <c r="F14" t="s">
        <v>26</v>
      </c>
      <c r="G14" t="s">
        <v>36</v>
      </c>
      <c r="H14" t="s">
        <v>37</v>
      </c>
      <c r="I14" s="3" t="s">
        <v>29</v>
      </c>
      <c r="J14" t="s">
        <v>95</v>
      </c>
      <c r="K14" s="4">
        <v>3075000</v>
      </c>
      <c r="L14" s="4">
        <v>3075000</v>
      </c>
      <c r="M14" s="4"/>
      <c r="N14">
        <v>8.23</v>
      </c>
      <c r="O14">
        <v>13.2293</v>
      </c>
      <c r="P14" s="4" t="s">
        <v>31</v>
      </c>
      <c r="Q14" s="6">
        <v>1356003</v>
      </c>
      <c r="R14">
        <v>11.52</v>
      </c>
      <c r="S14" s="4">
        <v>1180906</v>
      </c>
      <c r="T14">
        <v>0</v>
      </c>
      <c r="U14">
        <v>8.23</v>
      </c>
    </row>
    <row r="15" spans="1:21" x14ac:dyDescent="0.3">
      <c r="Q15" s="8">
        <f>SUM(Q2:Q14)</f>
        <v>79608202</v>
      </c>
    </row>
    <row r="16" spans="1:21" x14ac:dyDescent="0.3">
      <c r="Q16" s="10">
        <v>73881194</v>
      </c>
    </row>
    <row r="17" spans="17:17" x14ac:dyDescent="0.3">
      <c r="Q17" s="9">
        <f>Q15-Q16</f>
        <v>5727008</v>
      </c>
    </row>
  </sheetData>
  <pageMargins left="0.75" right="0.75" top="1" bottom="1" header="0.5" footer="0.5"/>
  <headerFooter>
    <oddFooter>&amp;C_x000D_&amp;1#&amp;"Aptos"&amp;10&amp;K000000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eabe4b184abfd63b40cfee6ae85e716a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bf5b778629c7e969710d0a37528f485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52A62-EAE1-4525-B245-77F3F325EF7C}"/>
</file>

<file path=customXml/itemProps2.xml><?xml version="1.0" encoding="utf-8"?>
<ds:datastoreItem xmlns:ds="http://schemas.openxmlformats.org/officeDocument/2006/customXml" ds:itemID="{791878A7-B323-4844-9295-5767362F1213}"/>
</file>

<file path=customXml/itemProps3.xml><?xml version="1.0" encoding="utf-8"?>
<ds:datastoreItem xmlns:ds="http://schemas.openxmlformats.org/officeDocument/2006/customXml" ds:itemID="{73FA488A-78C7-4056-B1C1-6149481AF395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Provision de Vacaciones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Carolina Cabrera</cp:lastModifiedBy>
  <cp:revision/>
  <dcterms:created xsi:type="dcterms:W3CDTF">2025-12-23T07:02:56Z</dcterms:created>
  <dcterms:modified xsi:type="dcterms:W3CDTF">2025-12-23T13:08:00Z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