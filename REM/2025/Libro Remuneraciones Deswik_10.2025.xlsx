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5 DESWIK/REM/"/>
    </mc:Choice>
  </mc:AlternateContent>
  <xr:revisionPtr revIDLastSave="2" documentId="13_ncr:1_{EBFAB8F5-EC39-4CD2-A4F3-C02FFDD6F2B3}" xr6:coauthVersionLast="47" xr6:coauthVersionMax="47" xr10:uidLastSave="{BD326699-B662-4D76-9CE6-ED887258A3EE}"/>
  <bookViews>
    <workbookView xWindow="-108" yWindow="-108" windowWidth="23256" windowHeight="12456" xr2:uid="{00000000-000D-0000-FFFF-FFFF00000000}"/>
  </bookViews>
  <sheets>
    <sheet name="10.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" l="1"/>
  <c r="F22" i="1"/>
  <c r="G46" i="1"/>
  <c r="G45" i="1"/>
  <c r="G44" i="1"/>
  <c r="G42" i="1"/>
  <c r="F40" i="1"/>
  <c r="F39" i="1"/>
  <c r="F38" i="1"/>
  <c r="F36" i="1"/>
  <c r="F35" i="1"/>
  <c r="F34" i="1"/>
  <c r="F32" i="1"/>
  <c r="F31" i="1"/>
  <c r="F30" i="1"/>
  <c r="F28" i="1"/>
  <c r="F27" i="1"/>
  <c r="F26" i="1"/>
  <c r="F24" i="1"/>
  <c r="G21" i="1" l="1"/>
  <c r="G20" i="1" s="1"/>
  <c r="F21" i="1"/>
  <c r="F20" i="1" s="1"/>
  <c r="AD17" i="1" l="1"/>
  <c r="R17" i="1"/>
  <c r="S17" i="1"/>
  <c r="T17" i="1"/>
  <c r="U17" i="1"/>
  <c r="V17" i="1"/>
  <c r="W17" i="1"/>
  <c r="Y22" i="1" s="1"/>
  <c r="X17" i="1"/>
  <c r="Y17" i="1"/>
  <c r="Z17" i="1"/>
  <c r="AA17" i="1"/>
  <c r="AB17" i="1"/>
  <c r="AC17" i="1"/>
  <c r="AE17" i="1"/>
  <c r="AF17" i="1"/>
  <c r="AG17" i="1"/>
  <c r="AH17" i="1"/>
  <c r="AI17" i="1"/>
  <c r="AJ17" i="1"/>
  <c r="AK17" i="1"/>
  <c r="AL17" i="1"/>
  <c r="Q17" i="1"/>
  <c r="AD22" i="1" l="1"/>
</calcChain>
</file>

<file path=xl/sharedStrings.xml><?xml version="1.0" encoding="utf-8"?>
<sst xmlns="http://schemas.openxmlformats.org/spreadsheetml/2006/main" count="293" uniqueCount="143">
  <si>
    <t>razon social rut</t>
  </si>
  <si>
    <t>razon social nombre</t>
  </si>
  <si>
    <t>rut</t>
  </si>
  <si>
    <t>nombre</t>
  </si>
  <si>
    <t>apellido paterno</t>
  </si>
  <si>
    <t>apellido materno</t>
  </si>
  <si>
    <t>fecha contratacion</t>
  </si>
  <si>
    <t>contrato hasta</t>
  </si>
  <si>
    <t>afp nombre</t>
  </si>
  <si>
    <t>prevision nombre</t>
  </si>
  <si>
    <t>isapre monto pactado</t>
  </si>
  <si>
    <t>contrato sueldo base</t>
  </si>
  <si>
    <t>centro costo nombre</t>
  </si>
  <si>
    <t>Días Trabajados</t>
  </si>
  <si>
    <t>Dias Vacaciones Mes</t>
  </si>
  <si>
    <t>Días Licencia</t>
  </si>
  <si>
    <t>Sueldo Base</t>
  </si>
  <si>
    <t>Gratificación Mensual</t>
  </si>
  <si>
    <t>Bono de Salud</t>
  </si>
  <si>
    <t>Bono Sitio</t>
  </si>
  <si>
    <t>Suma de Haberes Afectos</t>
  </si>
  <si>
    <t>AFP</t>
  </si>
  <si>
    <t>Seguro Cesantia Trabajador</t>
  </si>
  <si>
    <t>Salud 7% (Fonasa)</t>
  </si>
  <si>
    <t>Isapre</t>
  </si>
  <si>
    <t>Isapre sobre 7%</t>
  </si>
  <si>
    <t>APV (Régimen A)</t>
  </si>
  <si>
    <t>Impuestos</t>
  </si>
  <si>
    <t>Retención Préstamo Solidario SII</t>
  </si>
  <si>
    <t>Suma de Descuentos</t>
  </si>
  <si>
    <t>Liquido a Pago</t>
  </si>
  <si>
    <t>Seguro accidentes del Trabajo</t>
  </si>
  <si>
    <t>Seguro Cesantia Empleador</t>
  </si>
  <si>
    <t>Seguro Cesantia (Fondo Solidario)</t>
  </si>
  <si>
    <t>Seguro Invalidez y Supervivencia (SIS)</t>
  </si>
  <si>
    <t>Expectativa de Vida</t>
  </si>
  <si>
    <t>Capitalización Individual AFP</t>
  </si>
  <si>
    <t>Costo Empresa</t>
  </si>
  <si>
    <t>76388284-5</t>
  </si>
  <si>
    <t>DESWIK CHILE SPA</t>
  </si>
  <si>
    <t>12681353-8</t>
  </si>
  <si>
    <t>KATHERINNE SILVANA</t>
  </si>
  <si>
    <t>ALARCON</t>
  </si>
  <si>
    <t>ESCOBAR</t>
  </si>
  <si>
    <t>01/08/2023</t>
  </si>
  <si>
    <t>Provida</t>
  </si>
  <si>
    <t>Cruz Blanca</t>
  </si>
  <si>
    <t>Administración</t>
  </si>
  <si>
    <t>13462322-5</t>
  </si>
  <si>
    <t>CRISTIAN</t>
  </si>
  <si>
    <t>ANABALON</t>
  </si>
  <si>
    <t>BARRÍA</t>
  </si>
  <si>
    <t>16/12/2016</t>
  </si>
  <si>
    <t>Cuprum</t>
  </si>
  <si>
    <t>Colmena</t>
  </si>
  <si>
    <t>Consultoria</t>
  </si>
  <si>
    <t>15460999-7</t>
  </si>
  <si>
    <t>KATHERINE MARLENE</t>
  </si>
  <si>
    <t>BOLLMANN</t>
  </si>
  <si>
    <t>NILIAN</t>
  </si>
  <si>
    <t>01/04/2020</t>
  </si>
  <si>
    <t>Ventas y marketing</t>
  </si>
  <si>
    <t>15633296-8</t>
  </si>
  <si>
    <t>JORGE</t>
  </si>
  <si>
    <t>MORIS</t>
  </si>
  <si>
    <t>JORDÁN</t>
  </si>
  <si>
    <t>15/05/2017</t>
  </si>
  <si>
    <t>VidaTres</t>
  </si>
  <si>
    <t>16475670-K</t>
  </si>
  <si>
    <t>CAROL TATIANA</t>
  </si>
  <si>
    <t>CONTRERAS</t>
  </si>
  <si>
    <t>MUÑOZ</t>
  </si>
  <si>
    <t>01/12/2023</t>
  </si>
  <si>
    <t>Modelo</t>
  </si>
  <si>
    <t>Fonasa</t>
  </si>
  <si>
    <t>17308225-8</t>
  </si>
  <si>
    <t>FRANCISCO</t>
  </si>
  <si>
    <t>MIRANDA</t>
  </si>
  <si>
    <t>RIADI</t>
  </si>
  <si>
    <t>14/09/2017</t>
  </si>
  <si>
    <t>Habitat</t>
  </si>
  <si>
    <t>17533327-4</t>
  </si>
  <si>
    <t>JUAN SEBASTIAN</t>
  </si>
  <si>
    <t>CARVALLO</t>
  </si>
  <si>
    <t>JIMÉNEZ</t>
  </si>
  <si>
    <t>01/06/2017</t>
  </si>
  <si>
    <t>20322470-2</t>
  </si>
  <si>
    <t>Denisse Massiel</t>
  </si>
  <si>
    <t>Castro</t>
  </si>
  <si>
    <t>Acuña</t>
  </si>
  <si>
    <t>01/04/2025</t>
  </si>
  <si>
    <t>Uno</t>
  </si>
  <si>
    <t>Soporte</t>
  </si>
  <si>
    <t>25111494-3</t>
  </si>
  <si>
    <t>Caroline</t>
  </si>
  <si>
    <t>Zorzi</t>
  </si>
  <si>
    <t>.</t>
  </si>
  <si>
    <t>04/11/2024</t>
  </si>
  <si>
    <t>Planvital</t>
  </si>
  <si>
    <t>Banmedica</t>
  </si>
  <si>
    <t>25221995-1</t>
  </si>
  <si>
    <t>CAITLIN JOY</t>
  </si>
  <si>
    <t>WHEAT</t>
  </si>
  <si>
    <t>01/01/2023</t>
  </si>
  <si>
    <t>Consalud</t>
  </si>
  <si>
    <t>26047681-5</t>
  </si>
  <si>
    <t>ANTONIETA</t>
  </si>
  <si>
    <t>GONZALEZ</t>
  </si>
  <si>
    <t>OLIVEROS</t>
  </si>
  <si>
    <t>31/07/2017</t>
  </si>
  <si>
    <t>28095040-8</t>
  </si>
  <si>
    <t>MARCELO</t>
  </si>
  <si>
    <t>PENNA</t>
  </si>
  <si>
    <t>SANTOS</t>
  </si>
  <si>
    <t>Esencial</t>
  </si>
  <si>
    <t>28741378-5</t>
  </si>
  <si>
    <t>CESAR FELIPE</t>
  </si>
  <si>
    <t>MACHADO</t>
  </si>
  <si>
    <t>RIBEIRO LOPES</t>
  </si>
  <si>
    <t>14/07/2023</t>
  </si>
  <si>
    <t>28794341-5</t>
  </si>
  <si>
    <t>Lucas Guilherme</t>
  </si>
  <si>
    <t>Cardoso</t>
  </si>
  <si>
    <t>Bittencourt</t>
  </si>
  <si>
    <t>01/11/2024</t>
  </si>
  <si>
    <t xml:space="preserve"> </t>
  </si>
  <si>
    <t>cta Deswik</t>
  </si>
  <si>
    <t>Remuneraciones Deswik mayo 2025</t>
  </si>
  <si>
    <t>cta magnus</t>
  </si>
  <si>
    <t>Salario</t>
  </si>
  <si>
    <t>Consulting</t>
  </si>
  <si>
    <t>Bono</t>
  </si>
  <si>
    <t>ISAPRE</t>
  </si>
  <si>
    <t>Admin</t>
  </si>
  <si>
    <t>Admin/Sales</t>
  </si>
  <si>
    <t>Mkt</t>
  </si>
  <si>
    <t>Support</t>
  </si>
  <si>
    <t>Previred por pagar</t>
  </si>
  <si>
    <t>Seguro complementario</t>
  </si>
  <si>
    <t>Remuneraciones por pagar</t>
  </si>
  <si>
    <t>Impuesto adicional prestamo</t>
  </si>
  <si>
    <t>Impuesto unico trabajador</t>
  </si>
  <si>
    <t>Anticipo de sueldos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</si>
</sst>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41" formatCode="_ * #,##0_ ;_ * \-#,##0_ ;_ * &quot;-&quot;_ ;_ @_ "/>
    <numFmt numFmtId="164" formatCode="_([$$-409]* #,##0_);_([$$-409]* \(#,##0\);_([$$-409]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rgb="FFEBF1DE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E4DFEC"/>
        <bgColor rgb="FF000000"/>
      </patternFill>
    </fill>
    <fill>
      <patternFill patternType="solid">
        <fgColor rgb="FFFDE9D9"/>
        <bgColor rgb="FF000000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42" fontId="0" fillId="0" borderId="0" xfId="1" applyFont="1"/>
    <xf numFmtId="42" fontId="2" fillId="0" borderId="0" xfId="1" applyFont="1"/>
    <xf numFmtId="42" fontId="0" fillId="0" borderId="0" xfId="0" applyNumberFormat="1"/>
    <xf numFmtId="0" fontId="2" fillId="0" borderId="0" xfId="0" applyFont="1" applyAlignment="1">
      <alignment horizontal="right"/>
    </xf>
    <xf numFmtId="0" fontId="4" fillId="0" borderId="0" xfId="0" applyFont="1"/>
    <xf numFmtId="3" fontId="4" fillId="0" borderId="0" xfId="0" applyNumberFormat="1" applyFont="1"/>
    <xf numFmtId="0" fontId="3" fillId="0" borderId="0" xfId="0" applyFont="1"/>
    <xf numFmtId="0" fontId="5" fillId="0" borderId="0" xfId="0" applyFont="1"/>
    <xf numFmtId="0" fontId="5" fillId="2" borderId="0" xfId="0" applyFont="1" applyFill="1"/>
    <xf numFmtId="41" fontId="6" fillId="3" borderId="0" xfId="2" applyFont="1" applyFill="1"/>
    <xf numFmtId="41" fontId="5" fillId="4" borderId="0" xfId="2" applyFont="1" applyFill="1"/>
    <xf numFmtId="41" fontId="6" fillId="5" borderId="0" xfId="2" applyFont="1" applyFill="1"/>
    <xf numFmtId="164" fontId="0" fillId="6" borderId="0" xfId="3" applyNumberFormat="1" applyFont="1" applyFill="1"/>
    <xf numFmtId="41" fontId="6" fillId="4" borderId="0" xfId="2" applyFont="1" applyFill="1"/>
    <xf numFmtId="0" fontId="5" fillId="7" borderId="0" xfId="0" applyFont="1" applyFill="1"/>
    <xf numFmtId="0" fontId="5" fillId="8" borderId="0" xfId="0" applyFont="1" applyFill="1"/>
    <xf numFmtId="0" fontId="5" fillId="9" borderId="0" xfId="0" applyFont="1" applyFill="1"/>
    <xf numFmtId="0" fontId="5" fillId="10" borderId="0" xfId="0" applyFont="1" applyFill="1"/>
    <xf numFmtId="41" fontId="0" fillId="4" borderId="0" xfId="2" applyFont="1" applyFill="1"/>
  </cellXfs>
  <cellStyles count="4">
    <cellStyle name="Millares [0]" xfId="2" builtinId="6"/>
    <cellStyle name="Moneda [0]" xfId="1" builtinId="7"/>
    <cellStyle name="Normal" xfId="0" builtinId="0"/>
    <cellStyle name="Porcentaj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7"/>
  <sheetViews>
    <sheetView showGridLines="0" tabSelected="1" topLeftCell="D1" zoomScale="90" zoomScaleNormal="90" workbookViewId="0">
      <selection activeCell="N23" sqref="N23"/>
    </sheetView>
  </sheetViews>
  <sheetFormatPr baseColWidth="10" defaultColWidth="8.88671875" defaultRowHeight="14.4" x14ac:dyDescent="0.3"/>
  <cols>
    <col min="2" max="2" width="18.44140625" bestFit="1" customWidth="1"/>
    <col min="3" max="3" width="10.6640625" bestFit="1" customWidth="1"/>
    <col min="4" max="4" width="20.109375" bestFit="1" customWidth="1"/>
    <col min="5" max="5" width="15.44140625" bestFit="1" customWidth="1"/>
    <col min="6" max="6" width="16" bestFit="1" customWidth="1"/>
    <col min="7" max="7" width="17.5546875" bestFit="1" customWidth="1"/>
    <col min="17" max="17" width="17.6640625" bestFit="1" customWidth="1"/>
    <col min="18" max="19" width="16.6640625" bestFit="1" customWidth="1"/>
    <col min="20" max="20" width="15" bestFit="1" customWidth="1"/>
    <col min="21" max="21" width="17.6640625" bestFit="1" customWidth="1"/>
    <col min="22" max="22" width="16.6640625" bestFit="1" customWidth="1"/>
    <col min="23" max="24" width="15" bestFit="1" customWidth="1"/>
    <col min="25" max="25" width="16.6640625" bestFit="1" customWidth="1"/>
    <col min="26" max="27" width="15" bestFit="1" customWidth="1"/>
    <col min="28" max="28" width="17.6640625" bestFit="1" customWidth="1"/>
    <col min="29" max="30" width="15" bestFit="1" customWidth="1"/>
    <col min="31" max="31" width="17.6640625" bestFit="1" customWidth="1"/>
    <col min="32" max="32" width="15" bestFit="1" customWidth="1"/>
    <col min="33" max="33" width="16.6640625" bestFit="1" customWidth="1"/>
    <col min="34" max="36" width="15" bestFit="1" customWidth="1"/>
    <col min="37" max="37" width="14" bestFit="1" customWidth="1"/>
    <col min="38" max="38" width="17.664062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I2" t="s">
        <v>45</v>
      </c>
      <c r="J2" t="s">
        <v>46</v>
      </c>
      <c r="K2">
        <v>6.47</v>
      </c>
      <c r="L2">
        <v>6231500</v>
      </c>
      <c r="M2" t="s">
        <v>47</v>
      </c>
      <c r="N2">
        <v>30</v>
      </c>
      <c r="O2">
        <v>0</v>
      </c>
      <c r="P2">
        <v>0</v>
      </c>
      <c r="Q2" s="1">
        <v>6231500</v>
      </c>
      <c r="R2" s="1">
        <v>209396</v>
      </c>
      <c r="S2" s="1">
        <v>150000</v>
      </c>
      <c r="T2" s="1">
        <v>0</v>
      </c>
      <c r="U2" s="1">
        <v>6590896</v>
      </c>
      <c r="V2" s="1">
        <v>398079</v>
      </c>
      <c r="W2" s="1">
        <v>31338</v>
      </c>
      <c r="X2" s="1">
        <v>0</v>
      </c>
      <c r="Y2" s="1">
        <v>243367</v>
      </c>
      <c r="Z2" s="1">
        <v>12909</v>
      </c>
      <c r="AA2" s="1">
        <v>0</v>
      </c>
      <c r="AB2" s="1">
        <v>589554</v>
      </c>
      <c r="AC2" s="1">
        <v>177543</v>
      </c>
      <c r="AD2" s="1">
        <v>177543</v>
      </c>
      <c r="AE2" s="1">
        <v>5138106</v>
      </c>
      <c r="AF2" s="1">
        <v>32333</v>
      </c>
      <c r="AG2" s="1">
        <v>83567</v>
      </c>
      <c r="AH2" s="1">
        <v>41783</v>
      </c>
      <c r="AI2" s="1">
        <v>51802</v>
      </c>
      <c r="AJ2" s="1">
        <v>31290</v>
      </c>
      <c r="AK2" s="1">
        <v>3477</v>
      </c>
      <c r="AL2" s="1">
        <v>6835148</v>
      </c>
    </row>
    <row r="3" spans="1:38" x14ac:dyDescent="0.3">
      <c r="A3" t="s">
        <v>38</v>
      </c>
      <c r="B3" t="s">
        <v>39</v>
      </c>
      <c r="C3" t="s">
        <v>48</v>
      </c>
      <c r="D3" t="s">
        <v>49</v>
      </c>
      <c r="E3" t="s">
        <v>50</v>
      </c>
      <c r="F3" t="s">
        <v>51</v>
      </c>
      <c r="G3" t="s">
        <v>52</v>
      </c>
      <c r="I3" t="s">
        <v>53</v>
      </c>
      <c r="J3" t="s">
        <v>54</v>
      </c>
      <c r="K3">
        <v>11.81</v>
      </c>
      <c r="L3">
        <v>6395833</v>
      </c>
      <c r="M3" t="s">
        <v>55</v>
      </c>
      <c r="N3">
        <v>30</v>
      </c>
      <c r="O3">
        <v>9</v>
      </c>
      <c r="P3">
        <v>0</v>
      </c>
      <c r="Q3" s="1">
        <v>6395833</v>
      </c>
      <c r="R3" s="1">
        <v>209396</v>
      </c>
      <c r="S3" s="1">
        <v>150000</v>
      </c>
      <c r="T3" s="1">
        <v>0</v>
      </c>
      <c r="U3" s="1">
        <v>6755229</v>
      </c>
      <c r="V3" s="1">
        <v>397732</v>
      </c>
      <c r="W3" s="1">
        <v>31338</v>
      </c>
      <c r="X3" s="1">
        <v>0</v>
      </c>
      <c r="Y3" s="1">
        <v>243367</v>
      </c>
      <c r="Z3" s="1">
        <v>224123</v>
      </c>
      <c r="AA3" s="1">
        <v>0</v>
      </c>
      <c r="AB3" s="1">
        <v>627430</v>
      </c>
      <c r="AC3" s="1">
        <v>0</v>
      </c>
      <c r="AD3" s="1">
        <v>0</v>
      </c>
      <c r="AE3" s="1">
        <v>5231239</v>
      </c>
      <c r="AF3" s="1">
        <v>32333</v>
      </c>
      <c r="AG3" s="1">
        <v>83567</v>
      </c>
      <c r="AH3" s="1">
        <v>41783</v>
      </c>
      <c r="AI3" s="1">
        <v>51802</v>
      </c>
      <c r="AJ3" s="1">
        <v>31290</v>
      </c>
      <c r="AK3" s="1">
        <v>3477</v>
      </c>
      <c r="AL3" s="1">
        <v>6999481</v>
      </c>
    </row>
    <row r="4" spans="1:38" x14ac:dyDescent="0.3">
      <c r="A4" t="s">
        <v>38</v>
      </c>
      <c r="B4" t="s">
        <v>39</v>
      </c>
      <c r="C4" t="s">
        <v>56</v>
      </c>
      <c r="D4" t="s">
        <v>57</v>
      </c>
      <c r="E4" t="s">
        <v>58</v>
      </c>
      <c r="F4" t="s">
        <v>59</v>
      </c>
      <c r="G4" t="s">
        <v>60</v>
      </c>
      <c r="I4" t="s">
        <v>53</v>
      </c>
      <c r="J4" t="s">
        <v>54</v>
      </c>
      <c r="K4">
        <v>6.3</v>
      </c>
      <c r="L4">
        <v>4766250</v>
      </c>
      <c r="M4" t="s">
        <v>61</v>
      </c>
      <c r="N4">
        <v>30</v>
      </c>
      <c r="O4">
        <v>0</v>
      </c>
      <c r="P4">
        <v>0</v>
      </c>
      <c r="Q4" s="1">
        <v>4766250</v>
      </c>
      <c r="R4" s="1">
        <v>209396</v>
      </c>
      <c r="S4" s="1">
        <v>150000</v>
      </c>
      <c r="T4" s="1">
        <v>0</v>
      </c>
      <c r="U4" s="1">
        <v>5125646</v>
      </c>
      <c r="V4" s="1">
        <v>397732</v>
      </c>
      <c r="W4" s="1">
        <v>30754</v>
      </c>
      <c r="X4" s="1">
        <v>0</v>
      </c>
      <c r="Y4" s="1">
        <v>243367</v>
      </c>
      <c r="Z4" s="1">
        <v>6257</v>
      </c>
      <c r="AA4" s="1">
        <v>0</v>
      </c>
      <c r="AB4" s="1">
        <v>290262</v>
      </c>
      <c r="AC4" s="1">
        <v>0</v>
      </c>
      <c r="AD4" s="1">
        <v>0</v>
      </c>
      <c r="AE4" s="1">
        <v>4157274</v>
      </c>
      <c r="AF4" s="1">
        <v>32333</v>
      </c>
      <c r="AG4" s="1">
        <v>82010</v>
      </c>
      <c r="AH4" s="1">
        <v>41005</v>
      </c>
      <c r="AI4" s="1">
        <v>51802</v>
      </c>
      <c r="AJ4" s="1">
        <v>31290</v>
      </c>
      <c r="AK4" s="1">
        <v>3477</v>
      </c>
      <c r="AL4" s="1">
        <v>5367563</v>
      </c>
    </row>
    <row r="5" spans="1:38" x14ac:dyDescent="0.3">
      <c r="A5" t="s">
        <v>38</v>
      </c>
      <c r="B5" t="s">
        <v>39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I5" t="s">
        <v>53</v>
      </c>
      <c r="J5" t="s">
        <v>67</v>
      </c>
      <c r="K5">
        <v>7.17</v>
      </c>
      <c r="L5">
        <v>7500000</v>
      </c>
      <c r="M5" t="s">
        <v>55</v>
      </c>
      <c r="N5">
        <v>30</v>
      </c>
      <c r="O5">
        <v>0</v>
      </c>
      <c r="P5">
        <v>0</v>
      </c>
      <c r="Q5" s="1">
        <v>7500000</v>
      </c>
      <c r="R5" s="1">
        <v>209396</v>
      </c>
      <c r="S5" s="1">
        <v>150000</v>
      </c>
      <c r="T5" s="1">
        <v>0</v>
      </c>
      <c r="U5" s="1">
        <v>7859396</v>
      </c>
      <c r="V5" s="1">
        <v>397732</v>
      </c>
      <c r="W5" s="1">
        <v>31338</v>
      </c>
      <c r="X5" s="1">
        <v>0</v>
      </c>
      <c r="Y5" s="1">
        <v>243367</v>
      </c>
      <c r="Z5" s="1">
        <v>40588</v>
      </c>
      <c r="AA5" s="1">
        <v>0</v>
      </c>
      <c r="AB5" s="1">
        <v>951919</v>
      </c>
      <c r="AC5" s="1">
        <v>0</v>
      </c>
      <c r="AD5" s="1">
        <v>0</v>
      </c>
      <c r="AE5" s="1">
        <v>6194452</v>
      </c>
      <c r="AF5" s="1">
        <v>32333</v>
      </c>
      <c r="AG5" s="1">
        <v>83567</v>
      </c>
      <c r="AH5" s="1">
        <v>41783</v>
      </c>
      <c r="AI5" s="1">
        <v>51802</v>
      </c>
      <c r="AJ5" s="1">
        <v>31290</v>
      </c>
      <c r="AK5" s="1">
        <v>3477</v>
      </c>
      <c r="AL5" s="1">
        <v>8103648</v>
      </c>
    </row>
    <row r="6" spans="1:38" x14ac:dyDescent="0.3">
      <c r="A6" t="s">
        <v>38</v>
      </c>
      <c r="B6" t="s">
        <v>39</v>
      </c>
      <c r="C6" t="s">
        <v>68</v>
      </c>
      <c r="D6" t="s">
        <v>69</v>
      </c>
      <c r="E6" t="s">
        <v>70</v>
      </c>
      <c r="F6" t="s">
        <v>71</v>
      </c>
      <c r="G6" t="s">
        <v>72</v>
      </c>
      <c r="I6" t="s">
        <v>73</v>
      </c>
      <c r="J6" t="s">
        <v>74</v>
      </c>
      <c r="L6">
        <v>1500000</v>
      </c>
      <c r="M6" t="s">
        <v>47</v>
      </c>
      <c r="N6">
        <v>0</v>
      </c>
      <c r="O6">
        <v>0</v>
      </c>
      <c r="P6">
        <v>30</v>
      </c>
      <c r="Q6" s="1">
        <v>0</v>
      </c>
      <c r="R6" s="1">
        <v>0</v>
      </c>
      <c r="S6" s="1">
        <v>150000</v>
      </c>
      <c r="T6" s="1">
        <v>0</v>
      </c>
      <c r="U6" s="1">
        <v>150000</v>
      </c>
      <c r="V6" s="1">
        <v>15870</v>
      </c>
      <c r="W6" s="1">
        <v>900</v>
      </c>
      <c r="X6" s="1">
        <v>10500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122730</v>
      </c>
      <c r="AF6" s="1">
        <v>1966</v>
      </c>
      <c r="AG6" s="1">
        <v>32848</v>
      </c>
      <c r="AH6" s="1">
        <v>16424</v>
      </c>
      <c r="AI6" s="1">
        <v>30590</v>
      </c>
      <c r="AJ6" s="1">
        <v>18477</v>
      </c>
      <c r="AK6" s="1">
        <v>150</v>
      </c>
      <c r="AL6" s="1">
        <v>250455</v>
      </c>
    </row>
    <row r="7" spans="1:38" x14ac:dyDescent="0.3">
      <c r="A7" t="s">
        <v>38</v>
      </c>
      <c r="B7" t="s">
        <v>39</v>
      </c>
      <c r="C7" t="s">
        <v>75</v>
      </c>
      <c r="D7" t="s">
        <v>76</v>
      </c>
      <c r="E7" t="s">
        <v>77</v>
      </c>
      <c r="F7" t="s">
        <v>78</v>
      </c>
      <c r="G7" t="s">
        <v>79</v>
      </c>
      <c r="I7" t="s">
        <v>80</v>
      </c>
      <c r="J7" t="s">
        <v>67</v>
      </c>
      <c r="K7">
        <v>9.58</v>
      </c>
      <c r="L7">
        <v>6562600</v>
      </c>
      <c r="M7" t="s">
        <v>55</v>
      </c>
      <c r="N7">
        <v>30</v>
      </c>
      <c r="O7">
        <v>0</v>
      </c>
      <c r="P7">
        <v>0</v>
      </c>
      <c r="Q7" s="1">
        <v>6562600</v>
      </c>
      <c r="R7" s="1">
        <v>209396</v>
      </c>
      <c r="S7" s="1">
        <v>150000</v>
      </c>
      <c r="T7" s="1">
        <v>0</v>
      </c>
      <c r="U7" s="1">
        <v>6921996</v>
      </c>
      <c r="V7" s="1">
        <v>391821</v>
      </c>
      <c r="W7" s="1">
        <v>31338</v>
      </c>
      <c r="X7" s="1">
        <v>0</v>
      </c>
      <c r="Y7" s="1">
        <v>243367</v>
      </c>
      <c r="Z7" s="1">
        <v>136058</v>
      </c>
      <c r="AA7" s="1">
        <v>158391</v>
      </c>
      <c r="AB7" s="1">
        <v>668746</v>
      </c>
      <c r="AC7" s="1">
        <v>0</v>
      </c>
      <c r="AD7" s="1">
        <v>0</v>
      </c>
      <c r="AE7" s="1">
        <v>5292275</v>
      </c>
      <c r="AF7" s="1">
        <v>32333</v>
      </c>
      <c r="AG7" s="1">
        <v>83567</v>
      </c>
      <c r="AH7" s="1">
        <v>41783</v>
      </c>
      <c r="AI7" s="1">
        <v>51802</v>
      </c>
      <c r="AJ7" s="1">
        <v>31290</v>
      </c>
      <c r="AK7" s="1">
        <v>3477</v>
      </c>
      <c r="AL7" s="1">
        <v>7166248</v>
      </c>
    </row>
    <row r="8" spans="1:38" x14ac:dyDescent="0.3">
      <c r="A8" t="s">
        <v>38</v>
      </c>
      <c r="B8" t="s">
        <v>39</v>
      </c>
      <c r="C8" t="s">
        <v>81</v>
      </c>
      <c r="D8" t="s">
        <v>82</v>
      </c>
      <c r="E8" t="s">
        <v>83</v>
      </c>
      <c r="F8" t="s">
        <v>84</v>
      </c>
      <c r="G8" t="s">
        <v>85</v>
      </c>
      <c r="I8" t="s">
        <v>73</v>
      </c>
      <c r="J8" t="s">
        <v>67</v>
      </c>
      <c r="K8">
        <v>6.73</v>
      </c>
      <c r="L8">
        <v>6825000</v>
      </c>
      <c r="M8" t="s">
        <v>55</v>
      </c>
      <c r="N8">
        <v>30</v>
      </c>
      <c r="O8">
        <v>1</v>
      </c>
      <c r="P8">
        <v>0</v>
      </c>
      <c r="Q8" s="1">
        <v>6825000</v>
      </c>
      <c r="R8" s="1">
        <v>209396</v>
      </c>
      <c r="S8" s="1">
        <v>150000</v>
      </c>
      <c r="T8" s="1">
        <v>450000</v>
      </c>
      <c r="U8" s="1">
        <v>7634396</v>
      </c>
      <c r="V8" s="1">
        <v>367832</v>
      </c>
      <c r="W8" s="1">
        <v>31338</v>
      </c>
      <c r="X8" s="1">
        <v>0</v>
      </c>
      <c r="Y8" s="1">
        <v>243367</v>
      </c>
      <c r="Z8" s="1">
        <v>23086</v>
      </c>
      <c r="AA8" s="1">
        <v>0</v>
      </c>
      <c r="AB8" s="1">
        <v>892608</v>
      </c>
      <c r="AC8" s="1">
        <v>0</v>
      </c>
      <c r="AD8" s="1">
        <v>0</v>
      </c>
      <c r="AE8" s="1">
        <v>6076165</v>
      </c>
      <c r="AF8" s="1">
        <v>32333</v>
      </c>
      <c r="AG8" s="1">
        <v>83567</v>
      </c>
      <c r="AH8" s="1">
        <v>41783</v>
      </c>
      <c r="AI8" s="1">
        <v>51802</v>
      </c>
      <c r="AJ8" s="1">
        <v>31290</v>
      </c>
      <c r="AK8" s="1">
        <v>3477</v>
      </c>
      <c r="AL8" s="1">
        <v>7878648</v>
      </c>
    </row>
    <row r="9" spans="1:38" x14ac:dyDescent="0.3">
      <c r="A9" t="s">
        <v>38</v>
      </c>
      <c r="B9" t="s">
        <v>39</v>
      </c>
      <c r="C9" t="s">
        <v>86</v>
      </c>
      <c r="D9" t="s">
        <v>87</v>
      </c>
      <c r="E9" t="s">
        <v>88</v>
      </c>
      <c r="F9" t="s">
        <v>89</v>
      </c>
      <c r="G9" t="s">
        <v>90</v>
      </c>
      <c r="I9" t="s">
        <v>91</v>
      </c>
      <c r="J9" t="s">
        <v>74</v>
      </c>
      <c r="L9">
        <v>1750000</v>
      </c>
      <c r="M9" t="s">
        <v>92</v>
      </c>
      <c r="N9">
        <v>30</v>
      </c>
      <c r="O9">
        <v>0</v>
      </c>
      <c r="P9">
        <v>0</v>
      </c>
      <c r="Q9" s="1">
        <v>1750000</v>
      </c>
      <c r="R9" s="1">
        <v>209396</v>
      </c>
      <c r="S9" s="1">
        <v>150000</v>
      </c>
      <c r="T9" s="1">
        <v>0</v>
      </c>
      <c r="U9" s="1">
        <v>2109396</v>
      </c>
      <c r="V9" s="1">
        <v>220643</v>
      </c>
      <c r="W9" s="1">
        <v>12656</v>
      </c>
      <c r="X9" s="1">
        <v>147658</v>
      </c>
      <c r="Y9" s="1">
        <v>0</v>
      </c>
      <c r="Z9" s="1">
        <v>0</v>
      </c>
      <c r="AA9" s="1">
        <v>0</v>
      </c>
      <c r="AB9" s="1">
        <v>31734</v>
      </c>
      <c r="AC9" s="1">
        <v>0</v>
      </c>
      <c r="AD9" s="1">
        <v>0</v>
      </c>
      <c r="AE9" s="1">
        <v>1696705</v>
      </c>
      <c r="AF9" s="1">
        <v>19617</v>
      </c>
      <c r="AG9" s="1">
        <v>33750</v>
      </c>
      <c r="AH9" s="1">
        <v>16875</v>
      </c>
      <c r="AI9" s="1">
        <v>31430</v>
      </c>
      <c r="AJ9" s="1">
        <v>18985</v>
      </c>
      <c r="AK9" s="1">
        <v>2109</v>
      </c>
      <c r="AL9" s="1">
        <v>2232162</v>
      </c>
    </row>
    <row r="10" spans="1:38" x14ac:dyDescent="0.3">
      <c r="A10" t="s">
        <v>38</v>
      </c>
      <c r="B10" t="s">
        <v>39</v>
      </c>
      <c r="C10" t="s">
        <v>93</v>
      </c>
      <c r="D10" t="s">
        <v>94</v>
      </c>
      <c r="E10" t="s">
        <v>95</v>
      </c>
      <c r="F10" t="s">
        <v>96</v>
      </c>
      <c r="G10" t="s">
        <v>97</v>
      </c>
      <c r="I10" t="s">
        <v>98</v>
      </c>
      <c r="J10" t="s">
        <v>99</v>
      </c>
      <c r="K10">
        <v>6.48</v>
      </c>
      <c r="L10">
        <v>5500000</v>
      </c>
      <c r="M10" t="s">
        <v>55</v>
      </c>
      <c r="N10">
        <v>30</v>
      </c>
      <c r="O10">
        <v>1</v>
      </c>
      <c r="P10">
        <v>0</v>
      </c>
      <c r="Q10" s="1">
        <v>5500000</v>
      </c>
      <c r="R10" s="1">
        <v>209396</v>
      </c>
      <c r="S10" s="1">
        <v>150000</v>
      </c>
      <c r="T10" s="1">
        <v>0</v>
      </c>
      <c r="U10" s="1">
        <v>5859396</v>
      </c>
      <c r="V10" s="1">
        <v>387997</v>
      </c>
      <c r="W10" s="1">
        <v>31338</v>
      </c>
      <c r="X10" s="1">
        <v>0</v>
      </c>
      <c r="Y10" s="1">
        <v>243367</v>
      </c>
      <c r="Z10" s="1">
        <v>13265</v>
      </c>
      <c r="AA10" s="1">
        <v>0</v>
      </c>
      <c r="AB10" s="1">
        <v>423628</v>
      </c>
      <c r="AC10" s="1">
        <v>0</v>
      </c>
      <c r="AD10" s="1">
        <v>0</v>
      </c>
      <c r="AE10" s="1">
        <v>4759801</v>
      </c>
      <c r="AF10" s="1">
        <v>32333</v>
      </c>
      <c r="AG10" s="1">
        <v>83567</v>
      </c>
      <c r="AH10" s="1">
        <v>41783</v>
      </c>
      <c r="AI10" s="1">
        <v>51802</v>
      </c>
      <c r="AJ10" s="1">
        <v>31290</v>
      </c>
      <c r="AK10" s="1">
        <v>3477</v>
      </c>
      <c r="AL10" s="1">
        <v>6103648</v>
      </c>
    </row>
    <row r="11" spans="1:38" x14ac:dyDescent="0.3">
      <c r="A11" t="s">
        <v>38</v>
      </c>
      <c r="B11" t="s">
        <v>39</v>
      </c>
      <c r="C11" t="s">
        <v>100</v>
      </c>
      <c r="D11" t="s">
        <v>101</v>
      </c>
      <c r="E11" t="s">
        <v>102</v>
      </c>
      <c r="F11" t="s">
        <v>96</v>
      </c>
      <c r="G11" t="s">
        <v>103</v>
      </c>
      <c r="I11" t="s">
        <v>98</v>
      </c>
      <c r="J11" t="s">
        <v>104</v>
      </c>
      <c r="K11">
        <v>6.03</v>
      </c>
      <c r="L11">
        <v>4510000</v>
      </c>
      <c r="M11" t="s">
        <v>47</v>
      </c>
      <c r="N11">
        <v>30</v>
      </c>
      <c r="O11">
        <v>0</v>
      </c>
      <c r="P11">
        <v>0</v>
      </c>
      <c r="Q11" s="1">
        <v>4510000</v>
      </c>
      <c r="R11" s="1">
        <v>209396</v>
      </c>
      <c r="S11" s="1">
        <v>150000</v>
      </c>
      <c r="T11" s="1">
        <v>0</v>
      </c>
      <c r="U11" s="1">
        <v>4869396</v>
      </c>
      <c r="V11" s="1">
        <v>387997</v>
      </c>
      <c r="W11" s="1">
        <v>29216</v>
      </c>
      <c r="X11" s="1">
        <v>0</v>
      </c>
      <c r="Y11" s="1">
        <v>243367</v>
      </c>
      <c r="Z11" s="1">
        <v>0</v>
      </c>
      <c r="AA11" s="1">
        <v>0</v>
      </c>
      <c r="AB11" s="1">
        <v>257190</v>
      </c>
      <c r="AC11" s="1">
        <v>0</v>
      </c>
      <c r="AD11" s="1">
        <v>0</v>
      </c>
      <c r="AE11" s="1">
        <v>3951626</v>
      </c>
      <c r="AF11" s="1">
        <v>32333</v>
      </c>
      <c r="AG11" s="1">
        <v>77910</v>
      </c>
      <c r="AH11" s="1">
        <v>38955</v>
      </c>
      <c r="AI11" s="1">
        <v>51802</v>
      </c>
      <c r="AJ11" s="1">
        <v>31290</v>
      </c>
      <c r="AK11" s="1">
        <v>3477</v>
      </c>
      <c r="AL11" s="1">
        <v>5105163</v>
      </c>
    </row>
    <row r="12" spans="1:38" x14ac:dyDescent="0.3">
      <c r="A12" t="s">
        <v>38</v>
      </c>
      <c r="B12" t="s">
        <v>39</v>
      </c>
      <c r="C12" t="s">
        <v>105</v>
      </c>
      <c r="D12" t="s">
        <v>106</v>
      </c>
      <c r="E12" t="s">
        <v>107</v>
      </c>
      <c r="F12" t="s">
        <v>108</v>
      </c>
      <c r="G12" t="s">
        <v>109</v>
      </c>
      <c r="I12" t="s">
        <v>98</v>
      </c>
      <c r="J12" t="s">
        <v>46</v>
      </c>
      <c r="K12">
        <v>6.96</v>
      </c>
      <c r="L12">
        <v>4715000</v>
      </c>
      <c r="M12" t="s">
        <v>55</v>
      </c>
      <c r="N12">
        <v>30</v>
      </c>
      <c r="O12">
        <v>0</v>
      </c>
      <c r="P12">
        <v>0</v>
      </c>
      <c r="Q12" s="1">
        <v>4715000</v>
      </c>
      <c r="R12" s="1">
        <v>209396</v>
      </c>
      <c r="S12" s="1">
        <v>150000</v>
      </c>
      <c r="T12" s="1">
        <v>0</v>
      </c>
      <c r="U12" s="1">
        <v>5074396</v>
      </c>
      <c r="V12" s="1">
        <v>387997</v>
      </c>
      <c r="W12" s="1">
        <v>30446</v>
      </c>
      <c r="X12" s="1">
        <v>0</v>
      </c>
      <c r="Y12" s="1">
        <v>243367</v>
      </c>
      <c r="Z12" s="1">
        <v>32431</v>
      </c>
      <c r="AA12" s="1">
        <v>0</v>
      </c>
      <c r="AB12" s="1">
        <v>284699</v>
      </c>
      <c r="AC12" s="1">
        <v>0</v>
      </c>
      <c r="AD12" s="1">
        <v>0</v>
      </c>
      <c r="AE12" s="1">
        <v>4095456</v>
      </c>
      <c r="AF12" s="1">
        <v>32333</v>
      </c>
      <c r="AG12" s="1">
        <v>81190</v>
      </c>
      <c r="AH12" s="1">
        <v>40595</v>
      </c>
      <c r="AI12" s="1">
        <v>51802</v>
      </c>
      <c r="AJ12" s="1">
        <v>31290</v>
      </c>
      <c r="AK12" s="1">
        <v>3477</v>
      </c>
      <c r="AL12" s="1">
        <v>5315083</v>
      </c>
    </row>
    <row r="13" spans="1:38" x14ac:dyDescent="0.3">
      <c r="A13" t="s">
        <v>38</v>
      </c>
      <c r="B13" t="s">
        <v>39</v>
      </c>
      <c r="C13" t="s">
        <v>110</v>
      </c>
      <c r="D13" t="s">
        <v>111</v>
      </c>
      <c r="E13" t="s">
        <v>112</v>
      </c>
      <c r="F13" t="s">
        <v>113</v>
      </c>
      <c r="G13" t="s">
        <v>103</v>
      </c>
      <c r="I13" t="s">
        <v>73</v>
      </c>
      <c r="J13" t="s">
        <v>114</v>
      </c>
      <c r="K13">
        <v>11.89</v>
      </c>
      <c r="L13">
        <v>11091927</v>
      </c>
      <c r="M13" t="s">
        <v>61</v>
      </c>
      <c r="N13">
        <v>30</v>
      </c>
      <c r="O13">
        <v>0</v>
      </c>
      <c r="P13">
        <v>0</v>
      </c>
      <c r="Q13" s="1">
        <v>11091927</v>
      </c>
      <c r="R13" s="1">
        <v>209396</v>
      </c>
      <c r="S13" s="1">
        <v>150000</v>
      </c>
      <c r="T13" s="1">
        <v>0</v>
      </c>
      <c r="U13" s="1">
        <v>11451323</v>
      </c>
      <c r="V13" s="1">
        <v>367832</v>
      </c>
      <c r="W13" s="1">
        <v>31338</v>
      </c>
      <c r="X13" s="1">
        <v>0</v>
      </c>
      <c r="Y13" s="1">
        <v>243367</v>
      </c>
      <c r="Z13" s="1">
        <v>227449</v>
      </c>
      <c r="AA13" s="1">
        <v>0</v>
      </c>
      <c r="AB13" s="1">
        <v>2167815</v>
      </c>
      <c r="AC13" s="1">
        <v>0</v>
      </c>
      <c r="AD13" s="1">
        <v>0</v>
      </c>
      <c r="AE13" s="1">
        <v>8413522</v>
      </c>
      <c r="AF13" s="1">
        <v>32333</v>
      </c>
      <c r="AG13" s="1">
        <v>83567</v>
      </c>
      <c r="AH13" s="1">
        <v>41783</v>
      </c>
      <c r="AI13" s="1">
        <v>51802</v>
      </c>
      <c r="AJ13" s="1">
        <v>31290</v>
      </c>
      <c r="AK13" s="1">
        <v>3477</v>
      </c>
      <c r="AL13" s="1">
        <v>11695575</v>
      </c>
    </row>
    <row r="14" spans="1:38" x14ac:dyDescent="0.3">
      <c r="A14" t="s">
        <v>38</v>
      </c>
      <c r="B14" t="s">
        <v>39</v>
      </c>
      <c r="C14" t="s">
        <v>115</v>
      </c>
      <c r="D14" t="s">
        <v>116</v>
      </c>
      <c r="E14" t="s">
        <v>117</v>
      </c>
      <c r="F14" t="s">
        <v>118</v>
      </c>
      <c r="G14" t="s">
        <v>119</v>
      </c>
      <c r="I14" t="s">
        <v>73</v>
      </c>
      <c r="J14" t="s">
        <v>74</v>
      </c>
      <c r="L14">
        <v>17686265</v>
      </c>
      <c r="M14" t="s">
        <v>47</v>
      </c>
      <c r="N14">
        <v>30</v>
      </c>
      <c r="O14">
        <v>0</v>
      </c>
      <c r="P14">
        <v>0</v>
      </c>
      <c r="Q14" s="1">
        <v>17686265</v>
      </c>
      <c r="R14" s="1">
        <v>209396</v>
      </c>
      <c r="S14" s="1">
        <v>150000</v>
      </c>
      <c r="T14" s="1">
        <v>0</v>
      </c>
      <c r="U14" s="1">
        <v>18045661</v>
      </c>
      <c r="V14" s="1">
        <v>367832</v>
      </c>
      <c r="W14" s="1">
        <v>31338</v>
      </c>
      <c r="X14" s="1">
        <v>243367</v>
      </c>
      <c r="Y14" s="1">
        <v>0</v>
      </c>
      <c r="Z14" s="1">
        <v>0</v>
      </c>
      <c r="AA14" s="1">
        <v>0</v>
      </c>
      <c r="AB14" s="1">
        <v>4475834</v>
      </c>
      <c r="AC14" s="1">
        <v>0</v>
      </c>
      <c r="AD14" s="1">
        <v>0</v>
      </c>
      <c r="AE14" s="1">
        <v>12927290</v>
      </c>
      <c r="AF14" s="1">
        <v>32333</v>
      </c>
      <c r="AG14" s="1">
        <v>83567</v>
      </c>
      <c r="AH14" s="1">
        <v>41783</v>
      </c>
      <c r="AI14" s="1">
        <v>51802</v>
      </c>
      <c r="AJ14" s="1">
        <v>31290</v>
      </c>
      <c r="AK14" s="1">
        <v>3477</v>
      </c>
      <c r="AL14" s="1">
        <v>18289913</v>
      </c>
    </row>
    <row r="15" spans="1:38" x14ac:dyDescent="0.3">
      <c r="A15" t="s">
        <v>38</v>
      </c>
      <c r="B15" t="s">
        <v>39</v>
      </c>
      <c r="C15" t="s">
        <v>120</v>
      </c>
      <c r="D15" t="s">
        <v>121</v>
      </c>
      <c r="E15" t="s">
        <v>122</v>
      </c>
      <c r="F15" t="s">
        <v>123</v>
      </c>
      <c r="G15" t="s">
        <v>124</v>
      </c>
      <c r="I15" t="s">
        <v>91</v>
      </c>
      <c r="J15" t="s">
        <v>54</v>
      </c>
      <c r="K15">
        <v>6.16</v>
      </c>
      <c r="L15">
        <v>3075000</v>
      </c>
      <c r="M15" t="s">
        <v>55</v>
      </c>
      <c r="N15">
        <v>30</v>
      </c>
      <c r="O15">
        <v>0</v>
      </c>
      <c r="P15">
        <v>0</v>
      </c>
      <c r="Q15" s="1">
        <v>3075000</v>
      </c>
      <c r="R15" s="1">
        <v>209396</v>
      </c>
      <c r="S15" s="1">
        <v>150000</v>
      </c>
      <c r="T15" s="1">
        <v>0</v>
      </c>
      <c r="U15" s="1">
        <v>3434396</v>
      </c>
      <c r="V15" s="1">
        <v>359238</v>
      </c>
      <c r="W15" s="1">
        <v>20606</v>
      </c>
      <c r="X15" s="1">
        <v>0</v>
      </c>
      <c r="Y15" s="1">
        <v>240408</v>
      </c>
      <c r="Z15" s="1">
        <v>3514</v>
      </c>
      <c r="AA15" s="1">
        <v>0</v>
      </c>
      <c r="AB15" s="1">
        <v>104374</v>
      </c>
      <c r="AC15" s="1">
        <v>0</v>
      </c>
      <c r="AD15" s="1">
        <v>0</v>
      </c>
      <c r="AE15" s="1">
        <v>2706256</v>
      </c>
      <c r="AF15" s="1">
        <v>31940</v>
      </c>
      <c r="AG15" s="1">
        <v>54950</v>
      </c>
      <c r="AH15" s="1">
        <v>27475</v>
      </c>
      <c r="AI15" s="1">
        <v>51173</v>
      </c>
      <c r="AJ15" s="1">
        <v>30910</v>
      </c>
      <c r="AK15" s="1">
        <v>3434</v>
      </c>
      <c r="AL15" s="1">
        <v>3634278</v>
      </c>
    </row>
    <row r="16" spans="1:38" x14ac:dyDescent="0.3"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x14ac:dyDescent="0.3">
      <c r="A17" t="s">
        <v>125</v>
      </c>
      <c r="B17" t="s">
        <v>125</v>
      </c>
      <c r="C17" t="s">
        <v>125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 t="s">
        <v>125</v>
      </c>
      <c r="J17" t="s">
        <v>125</v>
      </c>
      <c r="K17" t="s">
        <v>125</v>
      </c>
      <c r="L17" t="s">
        <v>125</v>
      </c>
      <c r="M17" t="s">
        <v>125</v>
      </c>
      <c r="N17" t="s">
        <v>125</v>
      </c>
      <c r="O17" t="s">
        <v>125</v>
      </c>
      <c r="P17" t="s">
        <v>125</v>
      </c>
      <c r="Q17" s="2">
        <f>+SUM(Q2:Q15)</f>
        <v>86609375</v>
      </c>
      <c r="R17" s="2">
        <f t="shared" ref="R17:AL17" si="0">+SUM(R2:R15)</f>
        <v>2722148</v>
      </c>
      <c r="S17" s="2">
        <f t="shared" si="0"/>
        <v>2100000</v>
      </c>
      <c r="T17" s="2">
        <f t="shared" si="0"/>
        <v>450000</v>
      </c>
      <c r="U17" s="2">
        <f t="shared" si="0"/>
        <v>91881523</v>
      </c>
      <c r="V17" s="2">
        <f t="shared" si="0"/>
        <v>4846334</v>
      </c>
      <c r="W17" s="2">
        <f t="shared" si="0"/>
        <v>375282</v>
      </c>
      <c r="X17" s="2">
        <f t="shared" si="0"/>
        <v>401525</v>
      </c>
      <c r="Y17" s="2">
        <f t="shared" si="0"/>
        <v>2674078</v>
      </c>
      <c r="Z17" s="2">
        <f t="shared" si="0"/>
        <v>719680</v>
      </c>
      <c r="AA17" s="2">
        <f t="shared" si="0"/>
        <v>158391</v>
      </c>
      <c r="AB17" s="2">
        <f t="shared" si="0"/>
        <v>11765793</v>
      </c>
      <c r="AC17" s="2">
        <f t="shared" si="0"/>
        <v>177543</v>
      </c>
      <c r="AD17" s="2">
        <f t="shared" si="0"/>
        <v>177543</v>
      </c>
      <c r="AE17" s="2">
        <f t="shared" si="0"/>
        <v>70762897</v>
      </c>
      <c r="AF17" s="2">
        <f t="shared" si="0"/>
        <v>409186</v>
      </c>
      <c r="AG17" s="2">
        <f t="shared" si="0"/>
        <v>1031194</v>
      </c>
      <c r="AH17" s="2">
        <f t="shared" si="0"/>
        <v>515593</v>
      </c>
      <c r="AI17" s="2">
        <f t="shared" si="0"/>
        <v>683015</v>
      </c>
      <c r="AJ17" s="2">
        <f t="shared" si="0"/>
        <v>412562</v>
      </c>
      <c r="AK17" s="2">
        <f t="shared" si="0"/>
        <v>43940</v>
      </c>
      <c r="AL17" s="2">
        <f t="shared" si="0"/>
        <v>94977013</v>
      </c>
    </row>
    <row r="18" spans="1:38" x14ac:dyDescent="0.3">
      <c r="A18" t="s">
        <v>125</v>
      </c>
      <c r="B18" t="s">
        <v>125</v>
      </c>
      <c r="C18" t="s">
        <v>125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 t="s">
        <v>125</v>
      </c>
      <c r="J18" t="s">
        <v>125</v>
      </c>
      <c r="K18" t="s">
        <v>125</v>
      </c>
      <c r="L18" t="s">
        <v>125</v>
      </c>
      <c r="M18" t="s">
        <v>125</v>
      </c>
      <c r="N18" t="s">
        <v>125</v>
      </c>
      <c r="O18" t="s">
        <v>125</v>
      </c>
      <c r="P18" t="s">
        <v>125</v>
      </c>
      <c r="Q18" t="s">
        <v>125</v>
      </c>
      <c r="R18" t="s">
        <v>125</v>
      </c>
      <c r="S18" t="s">
        <v>125</v>
      </c>
      <c r="T18" t="s">
        <v>125</v>
      </c>
      <c r="U18" t="s">
        <v>125</v>
      </c>
      <c r="V18" t="s">
        <v>125</v>
      </c>
      <c r="W18" t="s">
        <v>125</v>
      </c>
      <c r="X18" t="s">
        <v>125</v>
      </c>
      <c r="Y18" t="s">
        <v>125</v>
      </c>
      <c r="Z18" t="s">
        <v>125</v>
      </c>
      <c r="AA18" t="s">
        <v>125</v>
      </c>
      <c r="AB18" t="s">
        <v>125</v>
      </c>
      <c r="AC18" t="s">
        <v>125</v>
      </c>
      <c r="AD18" t="s">
        <v>125</v>
      </c>
      <c r="AE18" t="s">
        <v>125</v>
      </c>
      <c r="AF18" t="s">
        <v>125</v>
      </c>
      <c r="AG18" t="s">
        <v>125</v>
      </c>
      <c r="AH18" t="s">
        <v>125</v>
      </c>
      <c r="AI18" t="s">
        <v>125</v>
      </c>
      <c r="AJ18" t="s">
        <v>125</v>
      </c>
      <c r="AK18" t="s">
        <v>125</v>
      </c>
      <c r="AL18" t="s">
        <v>125</v>
      </c>
    </row>
    <row r="20" spans="1:38" x14ac:dyDescent="0.3">
      <c r="F20" s="3">
        <f>F21-AL17</f>
        <v>0</v>
      </c>
      <c r="G20" s="3">
        <f>G21-AL17</f>
        <v>0</v>
      </c>
    </row>
    <row r="21" spans="1:38" x14ac:dyDescent="0.3">
      <c r="B21" s="4" t="s">
        <v>126</v>
      </c>
      <c r="C21" s="5" t="s">
        <v>127</v>
      </c>
      <c r="D21" s="5"/>
      <c r="E21" s="5" t="s">
        <v>128</v>
      </c>
      <c r="F21" s="6">
        <f>SUM(F22:F47)</f>
        <v>94977013</v>
      </c>
      <c r="G21" s="6">
        <f>SUM(G22:G47)</f>
        <v>94977013</v>
      </c>
    </row>
    <row r="22" spans="1:38" x14ac:dyDescent="0.3">
      <c r="A22" s="7" t="s">
        <v>55</v>
      </c>
      <c r="B22">
        <v>5011</v>
      </c>
      <c r="C22" s="8" t="s">
        <v>129</v>
      </c>
      <c r="D22" s="9" t="s">
        <v>130</v>
      </c>
      <c r="E22" s="8">
        <v>7020201</v>
      </c>
      <c r="F22" s="10">
        <f>SUMIF($M$2:$M$15,A22,$Q$2:$Q$15)+SUMIF($M$2:$M$15,A22,$S$2:$S$15)+SUMIF($M$2:$M$15,A22,$R$2:$R$15)</f>
        <v>43089205</v>
      </c>
      <c r="G22" s="11"/>
      <c r="Y22" s="3">
        <f>+V17+W17+X17+Y17+Z17+AA17+AF17+AH17+AG17+AI17+AJ17+AK17</f>
        <v>12270780</v>
      </c>
      <c r="AD22" s="3">
        <f>+AF17+AG17+AH17+AI17+AJ17+AK17+V17+W17+X17+Y17+Z17+AA17</f>
        <v>12270780</v>
      </c>
    </row>
    <row r="23" spans="1:38" x14ac:dyDescent="0.3">
      <c r="A23" s="7" t="s">
        <v>55</v>
      </c>
      <c r="B23">
        <v>5012</v>
      </c>
      <c r="C23" s="8" t="s">
        <v>131</v>
      </c>
      <c r="D23" s="9" t="s">
        <v>130</v>
      </c>
      <c r="E23" s="8">
        <v>7020202</v>
      </c>
      <c r="F23" s="12">
        <f>SUMIF($M$2:$M$15,A23,$T$2:$T$15)</f>
        <v>450000</v>
      </c>
      <c r="G23" s="11"/>
    </row>
    <row r="24" spans="1:38" x14ac:dyDescent="0.3">
      <c r="A24" s="7" t="s">
        <v>55</v>
      </c>
      <c r="B24">
        <v>5013</v>
      </c>
      <c r="C24" s="8" t="s">
        <v>21</v>
      </c>
      <c r="D24" s="9" t="s">
        <v>130</v>
      </c>
      <c r="E24" s="8">
        <v>7020203</v>
      </c>
      <c r="F24" s="13">
        <f>SUMIF($M$2:$M$15,A24,$AK$2:$AK$15)+SUMIF($M$2:$M$15,A24,$AI$2:$AI$15)+SUMIF($M$2:$M$15,A24,$AH$2:$AH$15)+SUMIF($M$2:$M$15,A24,$AG$2:$AG$15)+SUMIF($M$2:$M$15,A24,$AF$2:$AF$15)+SUMIF($M$2:$M$15,A24,$AJ$2:$AJ$15)</f>
        <v>1661829</v>
      </c>
      <c r="G24" s="11"/>
    </row>
    <row r="25" spans="1:38" x14ac:dyDescent="0.3">
      <c r="A25" s="7" t="s">
        <v>55</v>
      </c>
      <c r="B25">
        <v>5015</v>
      </c>
      <c r="C25" s="8" t="s">
        <v>132</v>
      </c>
      <c r="D25" s="9" t="s">
        <v>130</v>
      </c>
      <c r="E25" s="8">
        <v>7020204</v>
      </c>
      <c r="F25" s="14"/>
      <c r="G25" s="11"/>
    </row>
    <row r="26" spans="1:38" x14ac:dyDescent="0.3">
      <c r="A26" s="7" t="s">
        <v>47</v>
      </c>
      <c r="B26">
        <v>6306</v>
      </c>
      <c r="C26" s="8" t="s">
        <v>129</v>
      </c>
      <c r="D26" s="15" t="s">
        <v>133</v>
      </c>
      <c r="E26" s="8">
        <v>8050117</v>
      </c>
      <c r="F26" s="10">
        <f>SUMIF($M$2:$M$15,A26,$Q$2:$Q$15)+SUMIF($M$2:$M$15,A26,$S$2:$S$15)+SUMIF($M$2:$M$15,A26,$R$2:$R$15)</f>
        <v>29655953</v>
      </c>
      <c r="G26" s="11"/>
    </row>
    <row r="27" spans="1:38" x14ac:dyDescent="0.3">
      <c r="A27" s="7" t="s">
        <v>47</v>
      </c>
      <c r="B27">
        <v>6307</v>
      </c>
      <c r="C27" s="8" t="s">
        <v>131</v>
      </c>
      <c r="D27" s="15" t="s">
        <v>133</v>
      </c>
      <c r="E27" s="8">
        <v>8050118</v>
      </c>
      <c r="F27" s="12">
        <f>SUMIF($M$2:$M$15,A27,$T$2:$T$15)</f>
        <v>0</v>
      </c>
      <c r="G27" s="11"/>
    </row>
    <row r="28" spans="1:38" x14ac:dyDescent="0.3">
      <c r="A28" s="7" t="s">
        <v>47</v>
      </c>
      <c r="B28">
        <v>6308</v>
      </c>
      <c r="C28" s="8" t="s">
        <v>21</v>
      </c>
      <c r="D28" s="15" t="s">
        <v>133</v>
      </c>
      <c r="E28" s="8">
        <v>8050119</v>
      </c>
      <c r="F28" s="13">
        <f>SUMIF($M$2:$M$15,A28,$AK$2:$AK$15)+SUMIF($M$2:$M$15,A28,$AI$2:$AI$15)+SUMIF($M$2:$M$15,A28,$AH$2:$AH$15)+SUMIF($M$2:$M$15,A28,$AG$2:$AG$15)+SUMIF($M$2:$M$15,A28,$AF$2:$AF$15)+SUMIF($M$2:$M$15,A28,$AJ$2:$AJ$15)</f>
        <v>824726</v>
      </c>
      <c r="G28" s="11"/>
    </row>
    <row r="29" spans="1:38" x14ac:dyDescent="0.3">
      <c r="A29" s="7" t="s">
        <v>47</v>
      </c>
      <c r="B29">
        <v>6326</v>
      </c>
      <c r="C29" s="8" t="s">
        <v>132</v>
      </c>
      <c r="D29" s="15" t="s">
        <v>133</v>
      </c>
      <c r="E29" s="8">
        <v>8050121</v>
      </c>
      <c r="F29" s="14"/>
      <c r="G29" s="11"/>
    </row>
    <row r="30" spans="1:38" x14ac:dyDescent="0.3">
      <c r="A30" s="7"/>
      <c r="C30" s="8"/>
      <c r="D30" s="16" t="s">
        <v>134</v>
      </c>
      <c r="E30" s="8"/>
      <c r="F30" s="10">
        <f>SUMIF($M$2:$M$15,A30,$Q$2:$Q$15)+SUMIF($M$2:$M$15,A30,$S$2:$S$15)+SUMIF($M$2:$M$15,A30,$R$2:$R$15)</f>
        <v>0</v>
      </c>
      <c r="G30" s="11"/>
    </row>
    <row r="31" spans="1:38" x14ac:dyDescent="0.3">
      <c r="A31" s="7"/>
      <c r="C31" s="8"/>
      <c r="D31" s="16" t="s">
        <v>134</v>
      </c>
      <c r="E31" s="8"/>
      <c r="F31" s="12">
        <f>SUMIF($M$2:$M$15,A31,$T$2:$T$15)</f>
        <v>0</v>
      </c>
      <c r="G31" s="11"/>
    </row>
    <row r="32" spans="1:38" x14ac:dyDescent="0.3">
      <c r="A32" s="7"/>
      <c r="C32" s="8"/>
      <c r="D32" s="16" t="s">
        <v>134</v>
      </c>
      <c r="E32" s="8"/>
      <c r="F32" s="13">
        <f>SUMIF($M$2:$M$15,A32,$AK$2:$AK$15)+SUMIF($M$2:$M$15,A32,$AI$2:$AI$15)+SUMIF($M$2:$M$15,A32,$AH$2:$AH$15)+SUMIF($M$2:$M$15,A32,$AG$2:$AG$15)+SUMIF($M$2:$M$15,A32,$AF$2:$AF$15)+SUMIF($M$2:$M$15,A32,$AJ$2:$AJ$15)</f>
        <v>0</v>
      </c>
      <c r="G32" s="11"/>
    </row>
    <row r="33" spans="1:7" x14ac:dyDescent="0.3">
      <c r="A33" s="7"/>
      <c r="C33" s="8"/>
      <c r="D33" s="16" t="s">
        <v>134</v>
      </c>
      <c r="E33" s="8"/>
      <c r="F33" s="11"/>
      <c r="G33" s="11"/>
    </row>
    <row r="34" spans="1:7" x14ac:dyDescent="0.3">
      <c r="A34" s="7" t="s">
        <v>61</v>
      </c>
      <c r="B34">
        <v>6301</v>
      </c>
      <c r="C34" s="8" t="s">
        <v>129</v>
      </c>
      <c r="D34" s="17" t="s">
        <v>135</v>
      </c>
      <c r="E34" s="8">
        <v>8050101</v>
      </c>
      <c r="F34" s="10">
        <f>SUMIF($M$2:$M$15,A34,$Q$2:$Q$15)+SUMIF($M$2:$M$15,A34,$S$2:$S$15)+SUMIF($M$2:$M$15,A34,$R$2:$R$15)</f>
        <v>16576969</v>
      </c>
      <c r="G34" s="11"/>
    </row>
    <row r="35" spans="1:7" x14ac:dyDescent="0.3">
      <c r="A35" s="7" t="s">
        <v>61</v>
      </c>
      <c r="B35">
        <v>6302</v>
      </c>
      <c r="C35" s="8" t="s">
        <v>131</v>
      </c>
      <c r="D35" s="17" t="s">
        <v>135</v>
      </c>
      <c r="E35" s="8">
        <v>8050102</v>
      </c>
      <c r="F35" s="12">
        <f>SUMIF($M$2:$M$15,A35,$T$2:$T$15)</f>
        <v>0</v>
      </c>
      <c r="G35" s="11"/>
    </row>
    <row r="36" spans="1:7" x14ac:dyDescent="0.3">
      <c r="A36" s="7" t="s">
        <v>61</v>
      </c>
      <c r="B36">
        <v>6303</v>
      </c>
      <c r="C36" s="8" t="s">
        <v>21</v>
      </c>
      <c r="D36" s="17" t="s">
        <v>135</v>
      </c>
      <c r="E36" s="8">
        <v>8050106</v>
      </c>
      <c r="F36" s="13">
        <f>SUMIF($M$2:$M$15,A36,$AK$2:$AK$15)+SUMIF($M$2:$M$15,A36,$AI$2:$AI$15)+SUMIF($M$2:$M$15,A36,$AH$2:$AH$15)+SUMIF($M$2:$M$15,A36,$AG$2:$AG$15)+SUMIF($M$2:$M$15,A36,$AF$2:$AF$15)+SUMIF($M$2:$M$15,A36,$AJ$2:$AJ$15)</f>
        <v>486169</v>
      </c>
      <c r="G36" s="11"/>
    </row>
    <row r="37" spans="1:7" x14ac:dyDescent="0.3">
      <c r="A37" s="7" t="s">
        <v>61</v>
      </c>
      <c r="B37">
        <v>6327</v>
      </c>
      <c r="C37" s="8" t="s">
        <v>132</v>
      </c>
      <c r="D37" s="17" t="s">
        <v>135</v>
      </c>
      <c r="E37" s="8">
        <v>8050120</v>
      </c>
      <c r="F37" s="11"/>
      <c r="G37" s="11"/>
    </row>
    <row r="38" spans="1:7" x14ac:dyDescent="0.3">
      <c r="A38" s="7" t="s">
        <v>92</v>
      </c>
      <c r="B38">
        <v>5211</v>
      </c>
      <c r="C38" s="8" t="s">
        <v>129</v>
      </c>
      <c r="D38" s="18" t="s">
        <v>136</v>
      </c>
      <c r="E38" s="8">
        <v>7020205</v>
      </c>
      <c r="F38" s="10">
        <f>SUMIF($M$2:$M$15,A38,$Q$2:$Q$15)+SUMIF($M$2:$M$15,A38,$S$2:$S$15)+SUMIF($M$2:$M$15,A38,$R$2:$R$15)</f>
        <v>2109396</v>
      </c>
      <c r="G38" s="11"/>
    </row>
    <row r="39" spans="1:7" x14ac:dyDescent="0.3">
      <c r="A39" s="7" t="s">
        <v>92</v>
      </c>
      <c r="B39">
        <v>5211</v>
      </c>
      <c r="C39" s="8" t="s">
        <v>131</v>
      </c>
      <c r="D39" s="18" t="s">
        <v>136</v>
      </c>
      <c r="E39" s="8">
        <v>7020206</v>
      </c>
      <c r="F39" s="12">
        <f>SUMIF($M$2:$M$15,A39,$T$2:$T$15)</f>
        <v>0</v>
      </c>
      <c r="G39" s="11"/>
    </row>
    <row r="40" spans="1:7" x14ac:dyDescent="0.3">
      <c r="A40" s="7" t="s">
        <v>92</v>
      </c>
      <c r="B40">
        <v>5213</v>
      </c>
      <c r="C40" s="8" t="s">
        <v>21</v>
      </c>
      <c r="D40" s="18" t="s">
        <v>136</v>
      </c>
      <c r="E40" s="8">
        <v>7020207</v>
      </c>
      <c r="F40" s="13">
        <f>SUMIF($M$2:$M$15,A40,$AK$2:$AK$15)+SUMIF($M$2:$M$15,A40,$AI$2:$AI$15)+SUMIF($M$2:$M$15,A40,$AH$2:$AH$15)+SUMIF($M$2:$M$15,A40,$AG$2:$AG$15)+SUMIF($M$2:$M$15,A40,$AF$2:$AF$15)+SUMIF($M$2:$M$15,A40,$AJ$2:$AJ$15)</f>
        <v>122766</v>
      </c>
      <c r="G40" s="11"/>
    </row>
    <row r="41" spans="1:7" x14ac:dyDescent="0.3">
      <c r="A41" s="7" t="s">
        <v>92</v>
      </c>
      <c r="B41">
        <v>5215</v>
      </c>
      <c r="C41" s="8" t="s">
        <v>132</v>
      </c>
      <c r="D41" s="18" t="s">
        <v>136</v>
      </c>
      <c r="E41" s="8">
        <v>7020208</v>
      </c>
      <c r="F41" s="11"/>
      <c r="G41" s="11"/>
    </row>
    <row r="42" spans="1:7" x14ac:dyDescent="0.3">
      <c r="A42" s="7"/>
      <c r="B42">
        <v>2414</v>
      </c>
      <c r="C42" s="8" t="s">
        <v>137</v>
      </c>
      <c r="D42" s="8"/>
      <c r="E42" s="8">
        <v>3031302</v>
      </c>
      <c r="F42" s="11"/>
      <c r="G42" s="14">
        <f>SUM(V17:AA18,AZ16:BG16)+SUM(AF17:AK17)</f>
        <v>12270780</v>
      </c>
    </row>
    <row r="43" spans="1:7" x14ac:dyDescent="0.3">
      <c r="A43" s="7"/>
      <c r="B43">
        <v>2414</v>
      </c>
      <c r="C43" s="8" t="s">
        <v>138</v>
      </c>
      <c r="D43" s="8"/>
      <c r="E43" s="8">
        <v>8050305</v>
      </c>
      <c r="F43" s="11"/>
      <c r="G43" s="14"/>
    </row>
    <row r="44" spans="1:7" x14ac:dyDescent="0.3">
      <c r="A44" s="7"/>
      <c r="B44">
        <v>2411</v>
      </c>
      <c r="C44" s="8" t="s">
        <v>139</v>
      </c>
      <c r="D44" s="8"/>
      <c r="E44" s="8">
        <v>3031204</v>
      </c>
      <c r="F44" s="11"/>
      <c r="G44" s="11">
        <f>+AE17</f>
        <v>70762897</v>
      </c>
    </row>
    <row r="45" spans="1:7" x14ac:dyDescent="0.3">
      <c r="A45" s="7"/>
      <c r="B45" s="7">
        <v>2554</v>
      </c>
      <c r="C45" s="8" t="s">
        <v>140</v>
      </c>
      <c r="D45" s="8"/>
      <c r="E45" s="8">
        <v>3031505</v>
      </c>
      <c r="F45" s="11"/>
      <c r="G45" s="11">
        <f>+AC17</f>
        <v>177543</v>
      </c>
    </row>
    <row r="46" spans="1:7" x14ac:dyDescent="0.3">
      <c r="A46" s="7"/>
      <c r="B46" s="7">
        <v>2554</v>
      </c>
      <c r="C46" s="8" t="s">
        <v>141</v>
      </c>
      <c r="D46" s="8"/>
      <c r="E46" s="8">
        <v>3031501</v>
      </c>
      <c r="F46" s="11"/>
      <c r="G46" s="11">
        <f>+AB17</f>
        <v>11765793</v>
      </c>
    </row>
    <row r="47" spans="1:7" x14ac:dyDescent="0.3">
      <c r="A47" s="7"/>
      <c r="B47">
        <v>2411</v>
      </c>
      <c r="C47" s="8" t="s">
        <v>142</v>
      </c>
      <c r="E47" s="8">
        <v>3031204</v>
      </c>
      <c r="F47" s="19"/>
      <c r="G47" s="19">
        <v>0</v>
      </c>
    </row>
  </sheetData>
  <pageMargins left="0.75" right="0.75" top="1" bottom="1" header="0.5" footer="0.5"/>
  <pageSetup paperSize="9" orientation="portrait" r:id="rId1"/>
  <headerFooter>
    <oddFooter>&amp;C_x000D_&amp;1#&amp;"Aptos"&amp;10&amp;K000000 Clasificación: Confidencial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E65CC3-0BDD-4842-B46F-12CD50BE3CA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customXml/itemProps2.xml><?xml version="1.0" encoding="utf-8"?>
<ds:datastoreItem xmlns:ds="http://schemas.openxmlformats.org/officeDocument/2006/customXml" ds:itemID="{8244A304-D994-478E-9575-68B1CBFC410D}"/>
</file>

<file path=customXml/itemProps3.xml><?xml version="1.0" encoding="utf-8"?>
<ds:datastoreItem xmlns:ds="http://schemas.openxmlformats.org/officeDocument/2006/customXml" ds:itemID="{E00AC7CE-F1A1-4CDC-808A-AA4F82D3BC9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06f45df-088f-4365-900b-21d873817b2f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10.2025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Carolina Cabrera</cp:lastModifiedBy>
  <dcterms:created xsi:type="dcterms:W3CDTF">2025-10-20T07:04:34Z</dcterms:created>
  <dcterms:modified xsi:type="dcterms:W3CDTF">2025-11-28T14:02:36Z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