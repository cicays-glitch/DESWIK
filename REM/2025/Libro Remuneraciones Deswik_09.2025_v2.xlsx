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29" documentId="13_ncr:1_{A93DC1AB-8344-4E8B-8590-887DEC5D082E}" xr6:coauthVersionLast="47" xr6:coauthVersionMax="47" xr10:uidLastSave="{737C78CC-CF15-4213-8CF6-8D10C98F22B0}"/>
  <bookViews>
    <workbookView minimized="1" xWindow="-20375" yWindow="4621" windowWidth="19913" windowHeight="6695" xr2:uid="{00000000-000D-0000-FFFF-FFFF00000000}"/>
  </bookViews>
  <sheets>
    <sheet name="09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G44" i="1"/>
  <c r="G49" i="1"/>
  <c r="G48" i="1"/>
  <c r="G47" i="1"/>
  <c r="G46" i="1"/>
  <c r="F42" i="1"/>
  <c r="F41" i="1"/>
  <c r="F40" i="1"/>
  <c r="F38" i="1"/>
  <c r="F37" i="1"/>
  <c r="F36" i="1"/>
  <c r="F34" i="1"/>
  <c r="F33" i="1"/>
  <c r="F32" i="1"/>
  <c r="F30" i="1"/>
  <c r="F29" i="1"/>
  <c r="F28" i="1"/>
  <c r="F26" i="1"/>
  <c r="F25" i="1"/>
  <c r="G45" i="1"/>
  <c r="AV24" i="1"/>
  <c r="AH26" i="1"/>
  <c r="AH25" i="1"/>
  <c r="AI25" i="1"/>
  <c r="AI23" i="1"/>
  <c r="AH22" i="1"/>
  <c r="AY17" i="1"/>
  <c r="AZ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Q17" i="1"/>
  <c r="G23" i="1" l="1"/>
  <c r="G22" i="1" s="1"/>
  <c r="F23" i="1"/>
  <c r="F22" i="1" s="1"/>
</calcChain>
</file>

<file path=xl/sharedStrings.xml><?xml version="1.0" encoding="utf-8"?>
<sst xmlns="http://schemas.openxmlformats.org/spreadsheetml/2006/main" count="325" uniqueCount="161">
  <si>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</si>
  <si>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</si>
  <si>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</si>
  <si>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</si>
  <si>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</si>
  <si>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</si>
  <si>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</si>
  <si>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</si>
  <si>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</si>
  <si>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</si>
  <si>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</si>
  <si>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</si>
  <si>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</si>
  <si>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</si>
  <si>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</si>
  <si>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</si>
  <si>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</si>
  <si>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</si>
  <si>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</si>
  <si>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</si>
  <si>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Aguinaldo fiestas patrias</t>
  </si>
  <si>
    <t>Suma de Haberes Afectos</t>
  </si>
  <si>
    <t>Bono Reliquidado Actualizado</t>
  </si>
  <si>
    <t>Suma de Haberes Exentos</t>
  </si>
  <si>
    <t>AFP</t>
  </si>
  <si>
    <t>Afp Reliquidada</t>
  </si>
  <si>
    <t>Seguro Cesantia Trabajador</t>
  </si>
  <si>
    <t>Seguro Cesantia Trabajador Reliquidado</t>
  </si>
  <si>
    <t>Salud 7% (Fonasa)</t>
  </si>
  <si>
    <t>Isapre</t>
  </si>
  <si>
    <t>Isapre sobre 7%</t>
  </si>
  <si>
    <t>Isapre Reliquidada</t>
  </si>
  <si>
    <t>APV (Régimen A)</t>
  </si>
  <si>
    <t>Impuestos</t>
  </si>
  <si>
    <t>Impuestos Reliquidado</t>
  </si>
  <si>
    <t>Anticipo Aguinaldo</t>
  </si>
  <si>
    <t>Retención Préstamo Solidario SII</t>
  </si>
  <si>
    <t>Suma de Descuentos</t>
  </si>
  <si>
    <t>Liquido a Pago</t>
  </si>
  <si>
    <t>Seguro accidentes del Trabajo</t>
  </si>
  <si>
    <t>Seguro accidentes del Trabajo reliquidado</t>
  </si>
  <si>
    <t>Seguro Cesantia Empleador</t>
  </si>
  <si>
    <t>Seguro Cesantia Empleador Reliquidado</t>
  </si>
  <si>
    <t>Seguro Cesantia (Fondo Solidario)</t>
  </si>
  <si>
    <t>Seguro Cesantia Fondo Solidario Reliquidado</t>
  </si>
  <si>
    <t>Seguro Invalidez y Supervivencia (SIS)</t>
  </si>
  <si>
    <t>Seguro Invalidez Y Supervivencia Reliquidado</t>
  </si>
  <si>
    <t>Capitalización Individual AFP Reliquidado</t>
  </si>
  <si>
    <t>Expectativa de Vida</t>
  </si>
  <si>
    <t>Expectativa de Vida Reliquidado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</si>
  <si>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</si>
  <si>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</si>
  <si>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</si>
  <si>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</si>
  <si>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</si>
  <si>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</si>
  <si>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</si>
  <si>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</si>
  <si>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</si>
  <si>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</si>
  <si>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</si>
  <si>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</si>
  <si>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</si>
  <si>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</si>
  <si>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</si>
  <si>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</si>
  <si>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</si>
  <si>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</si>
  <si>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</si>
  <si>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</si>
  <si>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15460999-7</t>
  </si>
  <si>
    <t>KATHERINE MARLENE</t>
  </si>
  <si>
    <t>BOLLMANN</t>
  </si>
  <si>
    <t>NILIAN</t>
  </si>
  <si>
    <t>01/04/2020</t>
  </si>
  <si>
    <t>Ventas y marketing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</si>
  <si>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</si>
  <si>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</si>
  <si>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</si>
  <si>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</si>
  <si>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</si>
  <si>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</si>
  <si>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</si>
  <si>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</si>
  <si>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</si>
  <si>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</si>
  <si>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</si>
  <si>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</si>
  <si>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</si>
  <si>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</si>
  <si>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</si>
  <si>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</si>
  <si>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</si>
  <si>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</si>
  <si>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</si>
  <si>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</si>
  <si>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</si>
  <si>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</si>
  <si>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</si>
  <si>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</si>
  <si>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</si>
  <si>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</si>
  <si>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</si>
  <si>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</si>
  <si>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</si>
  <si>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</si>
  <si>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</si>
  <si>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</si>
  <si>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</si>
  <si>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</si>
  <si>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</si>
  <si>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</si>
  <si>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</si>
  <si>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</si>
  <si>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</si>
  <si>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</si>
  <si>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</si>
  <si>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</si>
  <si>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</si>
  <si>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</si>
  <si>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</si>
  <si>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</si>
  <si>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</si>
  <si>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</si>
  <si>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</si>
  <si>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</si>
  <si>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</si>
  <si>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</si>
  <si>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</si>
  <si>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</si>
  <si>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</si>
  <si>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</si>
  <si>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</si>
  <si>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</si>
  <si>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</si>
  <si>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</si>
  <si>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</si>
  <si>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</si>
  <si>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</si>
  <si>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</si>
  <si>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Previred</t>
  </si>
  <si>
    <t>Pagado Normal</t>
  </si>
  <si>
    <t>Pagado Relq 04 A 07 .2025</t>
  </si>
  <si>
    <t xml:space="preserve">Falta Pagar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</si>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</sst>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165" fontId="0" fillId="0" borderId="0" xfId="0" applyNumberFormat="1"/>
    <xf numFmtId="0" fontId="0" fillId="2" borderId="0" xfId="0" applyFill="1"/>
    <xf numFmtId="165" fontId="0" fillId="2" borderId="0" xfId="1" applyNumberFormat="1" applyFont="1" applyFill="1"/>
    <xf numFmtId="165" fontId="3" fillId="2" borderId="0" xfId="1" applyNumberFormat="1" applyFont="1" applyFill="1"/>
    <xf numFmtId="165" fontId="4" fillId="0" borderId="0" xfId="1" applyNumberFormat="1" applyFont="1"/>
    <xf numFmtId="166" fontId="0" fillId="0" borderId="0" xfId="0" applyNumberFormat="1"/>
    <xf numFmtId="0" fontId="2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0" fontId="3" fillId="0" borderId="0" xfId="0" applyFont="1"/>
    <xf numFmtId="0" fontId="6" fillId="0" borderId="0" xfId="0" applyFont="1"/>
    <xf numFmtId="0" fontId="6" fillId="3" borderId="0" xfId="0" applyFont="1" applyFill="1"/>
    <xf numFmtId="41" fontId="7" fillId="4" borderId="0" xfId="2" applyFont="1" applyFill="1"/>
    <xf numFmtId="41" fontId="6" fillId="5" borderId="0" xfId="2" applyFont="1" applyFill="1"/>
    <xf numFmtId="41" fontId="7" fillId="2" borderId="0" xfId="2" applyFont="1" applyFill="1"/>
    <xf numFmtId="166" fontId="0" fillId="6" borderId="0" xfId="3" applyNumberFormat="1" applyFont="1" applyFill="1"/>
    <xf numFmtId="41" fontId="7" fillId="5" borderId="0" xfId="2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41" fontId="0" fillId="5" borderId="0" xfId="2" applyFont="1" applyFill="1"/>
  </cellXfs>
  <cellStyles count="4">
    <cellStyle name="Millares [0]" xfId="2" builtinId="6"/>
    <cellStyle name="Moneda" xfId="1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"/>
  <sheetViews>
    <sheetView showGridLines="0" tabSelected="1" topLeftCell="D1" zoomScale="80" zoomScaleNormal="80" workbookViewId="0">
      <selection activeCell="H29" sqref="H29"/>
    </sheetView>
  </sheetViews>
  <sheetFormatPr baseColWidth="10" defaultColWidth="9.09765625" defaultRowHeight="14" x14ac:dyDescent="0.3"/>
  <cols>
    <col min="6" max="6" width="16.3984375" bestFit="1" customWidth="1"/>
    <col min="7" max="7" width="17.3984375" bestFit="1" customWidth="1"/>
    <col min="17" max="17" width="14.8984375" bestFit="1" customWidth="1"/>
    <col min="18" max="21" width="13.8984375" bestFit="1" customWidth="1"/>
    <col min="22" max="22" width="14.8984375" bestFit="1" customWidth="1"/>
    <col min="23" max="25" width="13.8984375" bestFit="1" customWidth="1"/>
    <col min="26" max="27" width="12.296875" bestFit="1" customWidth="1"/>
    <col min="28" max="28" width="11.296875" bestFit="1" customWidth="1"/>
    <col min="29" max="29" width="12.296875" bestFit="1" customWidth="1"/>
    <col min="30" max="30" width="13.8984375" bestFit="1" customWidth="1"/>
    <col min="31" max="31" width="12.296875" bestFit="1" customWidth="1"/>
    <col min="32" max="32" width="11.296875" bestFit="1" customWidth="1"/>
    <col min="33" max="33" width="12.296875" bestFit="1" customWidth="1"/>
    <col min="34" max="34" width="14.8984375" bestFit="1" customWidth="1"/>
    <col min="35" max="35" width="12.296875" bestFit="1" customWidth="1"/>
    <col min="36" max="36" width="13.8984375" bestFit="1" customWidth="1"/>
    <col min="37" max="37" width="12.296875" bestFit="1" customWidth="1"/>
    <col min="38" max="38" width="13.8984375" bestFit="1" customWidth="1"/>
    <col min="39" max="39" width="14.8984375" bestFit="1" customWidth="1"/>
    <col min="40" max="40" width="12.296875" bestFit="1" customWidth="1"/>
    <col min="41" max="41" width="11.296875" bestFit="1" customWidth="1"/>
    <col min="42" max="42" width="13.8984375" bestFit="1" customWidth="1"/>
    <col min="43" max="44" width="12.296875" bestFit="1" customWidth="1"/>
    <col min="45" max="45" width="11.296875" bestFit="1" customWidth="1"/>
    <col min="46" max="46" width="12.296875" bestFit="1" customWidth="1"/>
    <col min="47" max="47" width="11.296875" bestFit="1" customWidth="1"/>
    <col min="48" max="48" width="9" bestFit="1" customWidth="1"/>
    <col min="49" max="49" width="12.296875" bestFit="1" customWidth="1"/>
    <col min="50" max="50" width="10.296875" bestFit="1" customWidth="1"/>
    <col min="51" max="51" width="11.296875" bestFit="1" customWidth="1"/>
    <col min="52" max="52" width="15.6992187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I2" t="s">
        <v>59</v>
      </c>
      <c r="J2" t="s">
        <v>60</v>
      </c>
      <c r="K2">
        <v>6.47</v>
      </c>
      <c r="L2">
        <v>6231500</v>
      </c>
      <c r="M2" t="s">
        <v>61</v>
      </c>
      <c r="N2">
        <v>30</v>
      </c>
      <c r="O2">
        <v>3</v>
      </c>
      <c r="P2">
        <v>0</v>
      </c>
      <c r="Q2" s="1">
        <v>6231500</v>
      </c>
      <c r="R2" s="1">
        <v>209396</v>
      </c>
      <c r="S2" s="1">
        <v>150000</v>
      </c>
      <c r="T2" s="1">
        <v>0</v>
      </c>
      <c r="U2" s="1">
        <v>259741</v>
      </c>
      <c r="V2" s="1">
        <v>6850637</v>
      </c>
      <c r="W2" s="1">
        <v>0</v>
      </c>
      <c r="X2" s="1">
        <v>0</v>
      </c>
      <c r="Y2" s="1">
        <v>396953</v>
      </c>
      <c r="Z2" s="1">
        <v>0</v>
      </c>
      <c r="AA2" s="1">
        <v>31249</v>
      </c>
      <c r="AB2" s="1">
        <v>0</v>
      </c>
      <c r="AC2" s="1">
        <v>0</v>
      </c>
      <c r="AD2" s="1">
        <v>242679</v>
      </c>
      <c r="AE2" s="1">
        <v>12872</v>
      </c>
      <c r="AF2" s="1">
        <v>0</v>
      </c>
      <c r="AG2" s="1">
        <v>0</v>
      </c>
      <c r="AH2" s="1">
        <v>649732</v>
      </c>
      <c r="AI2" s="1">
        <v>0</v>
      </c>
      <c r="AJ2" s="1">
        <v>200000</v>
      </c>
      <c r="AK2" s="1">
        <v>185393</v>
      </c>
      <c r="AL2" s="1">
        <v>385393</v>
      </c>
      <c r="AM2" s="1">
        <v>5131759</v>
      </c>
      <c r="AN2" s="1">
        <v>32242</v>
      </c>
      <c r="AO2" s="1">
        <v>0</v>
      </c>
      <c r="AP2" s="1">
        <v>83331</v>
      </c>
      <c r="AQ2" s="1">
        <v>0</v>
      </c>
      <c r="AR2" s="1">
        <v>41665</v>
      </c>
      <c r="AS2" s="1">
        <v>0</v>
      </c>
      <c r="AT2" s="1">
        <v>65177</v>
      </c>
      <c r="AU2" s="1">
        <v>0</v>
      </c>
      <c r="AV2" s="1">
        <v>0</v>
      </c>
      <c r="AW2" s="1">
        <v>31202</v>
      </c>
      <c r="AX2" s="1">
        <v>0</v>
      </c>
      <c r="AY2" s="1">
        <v>3467</v>
      </c>
      <c r="AZ2" s="1">
        <v>7107721</v>
      </c>
    </row>
    <row r="3" spans="1:52" x14ac:dyDescent="0.3">
      <c r="A3" t="s">
        <v>52</v>
      </c>
      <c r="B3" t="s">
        <v>53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I3" t="s">
        <v>67</v>
      </c>
      <c r="J3" t="s">
        <v>68</v>
      </c>
      <c r="K3">
        <v>11.81</v>
      </c>
      <c r="L3">
        <v>6395833</v>
      </c>
      <c r="M3" t="s">
        <v>69</v>
      </c>
      <c r="N3">
        <v>30</v>
      </c>
      <c r="O3">
        <v>3</v>
      </c>
      <c r="P3">
        <v>0</v>
      </c>
      <c r="Q3" s="1">
        <v>6395833</v>
      </c>
      <c r="R3" s="1">
        <v>209396</v>
      </c>
      <c r="S3" s="1">
        <v>150000</v>
      </c>
      <c r="T3" s="1">
        <v>0</v>
      </c>
      <c r="U3" s="1">
        <v>271497</v>
      </c>
      <c r="V3" s="1">
        <v>7026726</v>
      </c>
      <c r="W3" s="1">
        <v>0</v>
      </c>
      <c r="X3" s="1">
        <v>0</v>
      </c>
      <c r="Y3" s="1">
        <v>396607</v>
      </c>
      <c r="Z3" s="1">
        <v>0</v>
      </c>
      <c r="AA3" s="1">
        <v>31249</v>
      </c>
      <c r="AB3" s="1">
        <v>0</v>
      </c>
      <c r="AC3" s="1">
        <v>0</v>
      </c>
      <c r="AD3" s="1">
        <v>242679</v>
      </c>
      <c r="AE3" s="1">
        <v>223489</v>
      </c>
      <c r="AF3" s="1">
        <v>0</v>
      </c>
      <c r="AG3" s="1">
        <v>0</v>
      </c>
      <c r="AH3" s="1">
        <v>699365</v>
      </c>
      <c r="AI3" s="1">
        <v>0</v>
      </c>
      <c r="AJ3" s="1">
        <v>200000</v>
      </c>
      <c r="AK3" s="1">
        <v>0</v>
      </c>
      <c r="AL3" s="1">
        <v>200000</v>
      </c>
      <c r="AM3" s="1">
        <v>5233337</v>
      </c>
      <c r="AN3" s="1">
        <v>32242</v>
      </c>
      <c r="AO3" s="1">
        <v>0</v>
      </c>
      <c r="AP3" s="1">
        <v>83331</v>
      </c>
      <c r="AQ3" s="1">
        <v>0</v>
      </c>
      <c r="AR3" s="1">
        <v>41665</v>
      </c>
      <c r="AS3" s="1">
        <v>0</v>
      </c>
      <c r="AT3" s="1">
        <v>65177</v>
      </c>
      <c r="AU3" s="1">
        <v>0</v>
      </c>
      <c r="AV3" s="1">
        <v>0</v>
      </c>
      <c r="AW3" s="1">
        <v>31202</v>
      </c>
      <c r="AX3" s="1">
        <v>0</v>
      </c>
      <c r="AY3" s="1">
        <v>3467</v>
      </c>
      <c r="AZ3" s="1">
        <v>7283810</v>
      </c>
    </row>
    <row r="4" spans="1:52" x14ac:dyDescent="0.3">
      <c r="A4" t="s">
        <v>52</v>
      </c>
      <c r="B4" t="s">
        <v>53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I4" t="s">
        <v>67</v>
      </c>
      <c r="J4" t="s">
        <v>68</v>
      </c>
      <c r="K4">
        <v>6.3</v>
      </c>
      <c r="L4">
        <v>4766250</v>
      </c>
      <c r="M4" t="s">
        <v>75</v>
      </c>
      <c r="N4">
        <v>30</v>
      </c>
      <c r="O4">
        <v>3</v>
      </c>
      <c r="P4">
        <v>0</v>
      </c>
      <c r="Q4" s="1">
        <v>4766250</v>
      </c>
      <c r="R4" s="1">
        <v>209396</v>
      </c>
      <c r="S4" s="1">
        <v>150000</v>
      </c>
      <c r="T4" s="1">
        <v>0</v>
      </c>
      <c r="U4" s="1">
        <v>231710</v>
      </c>
      <c r="V4" s="1">
        <v>5357356</v>
      </c>
      <c r="W4" s="1">
        <v>0</v>
      </c>
      <c r="X4" s="1">
        <v>0</v>
      </c>
      <c r="Y4" s="1">
        <v>396607</v>
      </c>
      <c r="Z4" s="1">
        <v>0</v>
      </c>
      <c r="AA4" s="1">
        <v>31249</v>
      </c>
      <c r="AB4" s="1">
        <v>0</v>
      </c>
      <c r="AC4" s="1">
        <v>0</v>
      </c>
      <c r="AD4" s="1">
        <v>242679</v>
      </c>
      <c r="AE4" s="1">
        <v>6239</v>
      </c>
      <c r="AF4" s="1">
        <v>0</v>
      </c>
      <c r="AG4" s="1">
        <v>0</v>
      </c>
      <c r="AH4" s="1">
        <v>321721</v>
      </c>
      <c r="AI4" s="1">
        <v>0</v>
      </c>
      <c r="AJ4" s="1">
        <v>200000</v>
      </c>
      <c r="AK4" s="1">
        <v>0</v>
      </c>
      <c r="AL4" s="1">
        <v>200000</v>
      </c>
      <c r="AM4" s="1">
        <v>4158861</v>
      </c>
      <c r="AN4" s="1">
        <v>32242</v>
      </c>
      <c r="AO4" s="1">
        <v>0</v>
      </c>
      <c r="AP4" s="1">
        <v>83331</v>
      </c>
      <c r="AQ4" s="1">
        <v>0</v>
      </c>
      <c r="AR4" s="1">
        <v>41665</v>
      </c>
      <c r="AS4" s="1">
        <v>0</v>
      </c>
      <c r="AT4" s="1">
        <v>65177</v>
      </c>
      <c r="AU4" s="1">
        <v>0</v>
      </c>
      <c r="AV4" s="1">
        <v>0</v>
      </c>
      <c r="AW4" s="1">
        <v>31202</v>
      </c>
      <c r="AX4" s="1">
        <v>0</v>
      </c>
      <c r="AY4" s="1">
        <v>3467</v>
      </c>
      <c r="AZ4" s="1">
        <v>5614440</v>
      </c>
    </row>
    <row r="5" spans="1:52" x14ac:dyDescent="0.3">
      <c r="A5" t="s">
        <v>52</v>
      </c>
      <c r="B5" t="s">
        <v>53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I5" t="s">
        <v>67</v>
      </c>
      <c r="J5" t="s">
        <v>81</v>
      </c>
      <c r="K5">
        <v>7.17</v>
      </c>
      <c r="L5">
        <v>7500000</v>
      </c>
      <c r="M5" t="s">
        <v>69</v>
      </c>
      <c r="N5">
        <v>30</v>
      </c>
      <c r="O5">
        <v>3</v>
      </c>
      <c r="P5">
        <v>0</v>
      </c>
      <c r="Q5" s="1">
        <v>7500000</v>
      </c>
      <c r="R5" s="1">
        <v>209396</v>
      </c>
      <c r="S5" s="1">
        <v>150000</v>
      </c>
      <c r="T5" s="1">
        <v>0</v>
      </c>
      <c r="U5" s="1">
        <v>287356</v>
      </c>
      <c r="V5" s="1">
        <v>8146752</v>
      </c>
      <c r="W5" s="1">
        <v>0</v>
      </c>
      <c r="X5" s="1">
        <v>0</v>
      </c>
      <c r="Y5" s="1">
        <v>396607</v>
      </c>
      <c r="Z5" s="1">
        <v>0</v>
      </c>
      <c r="AA5" s="1">
        <v>31249</v>
      </c>
      <c r="AB5" s="1">
        <v>0</v>
      </c>
      <c r="AC5" s="1">
        <v>0</v>
      </c>
      <c r="AD5" s="1">
        <v>242679</v>
      </c>
      <c r="AE5" s="1">
        <v>40473</v>
      </c>
      <c r="AF5" s="1">
        <v>0</v>
      </c>
      <c r="AG5" s="1">
        <v>0</v>
      </c>
      <c r="AH5" s="1">
        <v>1039853</v>
      </c>
      <c r="AI5" s="1">
        <v>0</v>
      </c>
      <c r="AJ5" s="1">
        <v>200000</v>
      </c>
      <c r="AK5" s="1">
        <v>0</v>
      </c>
      <c r="AL5" s="1">
        <v>200000</v>
      </c>
      <c r="AM5" s="1">
        <v>6195891</v>
      </c>
      <c r="AN5" s="1">
        <v>32242</v>
      </c>
      <c r="AO5" s="1">
        <v>0</v>
      </c>
      <c r="AP5" s="1">
        <v>83331</v>
      </c>
      <c r="AQ5" s="1">
        <v>0</v>
      </c>
      <c r="AR5" s="1">
        <v>41665</v>
      </c>
      <c r="AS5" s="1">
        <v>0</v>
      </c>
      <c r="AT5" s="1">
        <v>65177</v>
      </c>
      <c r="AU5" s="1">
        <v>0</v>
      </c>
      <c r="AV5" s="1">
        <v>0</v>
      </c>
      <c r="AW5" s="1">
        <v>31202</v>
      </c>
      <c r="AX5" s="1">
        <v>0</v>
      </c>
      <c r="AY5" s="1">
        <v>3467</v>
      </c>
      <c r="AZ5" s="1">
        <v>8403836</v>
      </c>
    </row>
    <row r="6" spans="1:52" x14ac:dyDescent="0.3">
      <c r="A6" t="s">
        <v>52</v>
      </c>
      <c r="B6" t="s">
        <v>53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I6" t="s">
        <v>87</v>
      </c>
      <c r="J6" t="s">
        <v>88</v>
      </c>
      <c r="L6">
        <v>1500000</v>
      </c>
      <c r="M6" t="s">
        <v>61</v>
      </c>
      <c r="N6">
        <v>0</v>
      </c>
      <c r="O6">
        <v>0</v>
      </c>
      <c r="P6">
        <v>30</v>
      </c>
      <c r="Q6" s="1">
        <v>0</v>
      </c>
      <c r="R6" s="1">
        <v>0</v>
      </c>
      <c r="S6" s="1">
        <v>150000</v>
      </c>
      <c r="T6" s="1">
        <v>0</v>
      </c>
      <c r="U6" s="1">
        <v>244440</v>
      </c>
      <c r="V6" s="1">
        <v>394440</v>
      </c>
      <c r="W6" s="1">
        <v>0</v>
      </c>
      <c r="X6" s="1">
        <v>0</v>
      </c>
      <c r="Y6" s="1">
        <v>41732</v>
      </c>
      <c r="Z6" s="1">
        <v>0</v>
      </c>
      <c r="AA6" s="1">
        <v>2367</v>
      </c>
      <c r="AB6" s="1">
        <v>0</v>
      </c>
      <c r="AC6" s="1">
        <v>27611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200000</v>
      </c>
      <c r="AK6" s="1">
        <v>0</v>
      </c>
      <c r="AL6" s="1">
        <v>200000</v>
      </c>
      <c r="AM6" s="1">
        <v>122730</v>
      </c>
      <c r="AN6" s="1">
        <v>4239</v>
      </c>
      <c r="AO6" s="1">
        <v>0</v>
      </c>
      <c r="AP6" s="1">
        <v>36759</v>
      </c>
      <c r="AQ6" s="1">
        <v>0</v>
      </c>
      <c r="AR6" s="1">
        <v>18380</v>
      </c>
      <c r="AS6" s="1">
        <v>0</v>
      </c>
      <c r="AT6" s="1">
        <v>43192</v>
      </c>
      <c r="AU6" s="1">
        <v>0</v>
      </c>
      <c r="AV6" s="1">
        <v>0</v>
      </c>
      <c r="AW6" s="1">
        <v>20677</v>
      </c>
      <c r="AX6" s="1">
        <v>0</v>
      </c>
      <c r="AY6" s="1">
        <v>394</v>
      </c>
      <c r="AZ6" s="1">
        <v>518081</v>
      </c>
    </row>
    <row r="7" spans="1:52" x14ac:dyDescent="0.3">
      <c r="A7" t="s">
        <v>52</v>
      </c>
      <c r="B7" t="s">
        <v>53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I7" t="s">
        <v>94</v>
      </c>
      <c r="J7" t="s">
        <v>81</v>
      </c>
      <c r="K7">
        <v>9.58</v>
      </c>
      <c r="L7">
        <v>6562600</v>
      </c>
      <c r="M7" t="s">
        <v>69</v>
      </c>
      <c r="N7">
        <v>30</v>
      </c>
      <c r="O7">
        <v>3</v>
      </c>
      <c r="P7">
        <v>0</v>
      </c>
      <c r="Q7" s="1">
        <v>6562600</v>
      </c>
      <c r="R7" s="1">
        <v>209396</v>
      </c>
      <c r="S7" s="1">
        <v>150000</v>
      </c>
      <c r="T7" s="1">
        <v>0</v>
      </c>
      <c r="U7" s="1">
        <v>287356</v>
      </c>
      <c r="V7" s="1">
        <v>7209352</v>
      </c>
      <c r="W7" s="1">
        <v>0</v>
      </c>
      <c r="X7" s="1">
        <v>0</v>
      </c>
      <c r="Y7" s="1">
        <v>390713</v>
      </c>
      <c r="Z7" s="1">
        <v>0</v>
      </c>
      <c r="AA7" s="1">
        <v>31249</v>
      </c>
      <c r="AB7" s="1">
        <v>0</v>
      </c>
      <c r="AC7" s="1">
        <v>0</v>
      </c>
      <c r="AD7" s="1">
        <v>242679</v>
      </c>
      <c r="AE7" s="1">
        <v>135672</v>
      </c>
      <c r="AF7" s="1">
        <v>0</v>
      </c>
      <c r="AG7" s="1">
        <v>157943</v>
      </c>
      <c r="AH7" s="1">
        <v>756675</v>
      </c>
      <c r="AI7" s="1">
        <v>0</v>
      </c>
      <c r="AJ7" s="1">
        <v>200000</v>
      </c>
      <c r="AK7" s="1">
        <v>0</v>
      </c>
      <c r="AL7" s="1">
        <v>200000</v>
      </c>
      <c r="AM7" s="1">
        <v>5294421</v>
      </c>
      <c r="AN7" s="1">
        <v>32242</v>
      </c>
      <c r="AO7" s="1">
        <v>0</v>
      </c>
      <c r="AP7" s="1">
        <v>83331</v>
      </c>
      <c r="AQ7" s="1">
        <v>0</v>
      </c>
      <c r="AR7" s="1">
        <v>41665</v>
      </c>
      <c r="AS7" s="1">
        <v>0</v>
      </c>
      <c r="AT7" s="1">
        <v>65177</v>
      </c>
      <c r="AU7" s="1">
        <v>0</v>
      </c>
      <c r="AV7" s="1">
        <v>0</v>
      </c>
      <c r="AW7" s="1">
        <v>31202</v>
      </c>
      <c r="AX7" s="1">
        <v>0</v>
      </c>
      <c r="AY7" s="1">
        <v>3467</v>
      </c>
      <c r="AZ7" s="1">
        <v>7466436</v>
      </c>
    </row>
    <row r="8" spans="1:52" x14ac:dyDescent="0.3">
      <c r="A8" t="s">
        <v>52</v>
      </c>
      <c r="B8" t="s">
        <v>53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I8" t="s">
        <v>87</v>
      </c>
      <c r="J8" t="s">
        <v>81</v>
      </c>
      <c r="K8">
        <v>6.73</v>
      </c>
      <c r="L8">
        <v>6825000</v>
      </c>
      <c r="M8" t="s">
        <v>69</v>
      </c>
      <c r="N8">
        <v>30</v>
      </c>
      <c r="O8">
        <v>0</v>
      </c>
      <c r="P8">
        <v>0</v>
      </c>
      <c r="Q8" s="1">
        <v>6825000</v>
      </c>
      <c r="R8" s="1">
        <v>209396</v>
      </c>
      <c r="S8" s="1">
        <v>150000</v>
      </c>
      <c r="T8" s="1">
        <v>350000</v>
      </c>
      <c r="U8" s="1">
        <v>287356</v>
      </c>
      <c r="V8" s="1">
        <v>7821752</v>
      </c>
      <c r="W8" s="1">
        <v>0</v>
      </c>
      <c r="X8" s="1">
        <v>0</v>
      </c>
      <c r="Y8" s="1">
        <v>366792</v>
      </c>
      <c r="Z8" s="1">
        <v>0</v>
      </c>
      <c r="AA8" s="1">
        <v>31249</v>
      </c>
      <c r="AB8" s="1">
        <v>0</v>
      </c>
      <c r="AC8" s="1">
        <v>0</v>
      </c>
      <c r="AD8" s="1">
        <v>242679</v>
      </c>
      <c r="AE8" s="1">
        <v>23020</v>
      </c>
      <c r="AF8" s="1">
        <v>0</v>
      </c>
      <c r="AG8" s="1">
        <v>0</v>
      </c>
      <c r="AH8" s="1">
        <v>950117</v>
      </c>
      <c r="AI8" s="1">
        <v>0</v>
      </c>
      <c r="AJ8" s="1">
        <v>200000</v>
      </c>
      <c r="AK8" s="1">
        <v>0</v>
      </c>
      <c r="AL8" s="1">
        <v>200000</v>
      </c>
      <c r="AM8" s="1">
        <v>6007895</v>
      </c>
      <c r="AN8" s="1">
        <v>32242</v>
      </c>
      <c r="AO8" s="1">
        <v>0</v>
      </c>
      <c r="AP8" s="1">
        <v>83331</v>
      </c>
      <c r="AQ8" s="1">
        <v>0</v>
      </c>
      <c r="AR8" s="1">
        <v>41665</v>
      </c>
      <c r="AS8" s="1">
        <v>0</v>
      </c>
      <c r="AT8" s="1">
        <v>65177</v>
      </c>
      <c r="AU8" s="1">
        <v>0</v>
      </c>
      <c r="AV8" s="1">
        <v>0</v>
      </c>
      <c r="AW8" s="1">
        <v>31202</v>
      </c>
      <c r="AX8" s="1">
        <v>0</v>
      </c>
      <c r="AY8" s="1">
        <v>3467</v>
      </c>
      <c r="AZ8" s="1">
        <v>8078836</v>
      </c>
    </row>
    <row r="9" spans="1:52" x14ac:dyDescent="0.3">
      <c r="A9" t="s">
        <v>52</v>
      </c>
      <c r="B9" t="s">
        <v>53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I9" t="s">
        <v>105</v>
      </c>
      <c r="J9" t="s">
        <v>88</v>
      </c>
      <c r="L9">
        <v>1750000</v>
      </c>
      <c r="M9" t="s">
        <v>106</v>
      </c>
      <c r="N9">
        <v>30</v>
      </c>
      <c r="O9">
        <v>0</v>
      </c>
      <c r="P9">
        <v>0</v>
      </c>
      <c r="Q9" s="1">
        <v>1750000</v>
      </c>
      <c r="R9" s="1">
        <v>209396</v>
      </c>
      <c r="S9" s="1">
        <v>150000</v>
      </c>
      <c r="T9" s="1">
        <v>0</v>
      </c>
      <c r="U9" s="1">
        <v>254346</v>
      </c>
      <c r="V9" s="1">
        <v>2363742</v>
      </c>
      <c r="W9" s="1">
        <v>0</v>
      </c>
      <c r="X9" s="1">
        <v>0</v>
      </c>
      <c r="Y9" s="1">
        <v>247957</v>
      </c>
      <c r="Z9" s="1">
        <v>0</v>
      </c>
      <c r="AA9" s="1">
        <v>14182</v>
      </c>
      <c r="AB9" s="1">
        <v>0</v>
      </c>
      <c r="AC9" s="1">
        <v>165462</v>
      </c>
      <c r="AD9" s="1">
        <v>0</v>
      </c>
      <c r="AE9" s="1">
        <v>0</v>
      </c>
      <c r="AF9" s="1">
        <v>0</v>
      </c>
      <c r="AG9" s="1">
        <v>0</v>
      </c>
      <c r="AH9" s="1">
        <v>40043</v>
      </c>
      <c r="AI9" s="1">
        <v>0</v>
      </c>
      <c r="AJ9" s="1">
        <v>200000</v>
      </c>
      <c r="AK9" s="1">
        <v>0</v>
      </c>
      <c r="AL9" s="1">
        <v>200000</v>
      </c>
      <c r="AM9" s="1">
        <v>1696098</v>
      </c>
      <c r="AN9" s="1">
        <v>21983</v>
      </c>
      <c r="AO9" s="1">
        <v>0</v>
      </c>
      <c r="AP9" s="1">
        <v>37820</v>
      </c>
      <c r="AQ9" s="1">
        <v>0</v>
      </c>
      <c r="AR9" s="1">
        <v>18910</v>
      </c>
      <c r="AS9" s="1">
        <v>0</v>
      </c>
      <c r="AT9" s="1">
        <v>44438</v>
      </c>
      <c r="AU9" s="1">
        <v>0</v>
      </c>
      <c r="AV9" s="1">
        <v>0</v>
      </c>
      <c r="AW9" s="1">
        <v>21274</v>
      </c>
      <c r="AX9" s="1">
        <v>0</v>
      </c>
      <c r="AY9" s="1">
        <v>2364</v>
      </c>
      <c r="AZ9" s="1">
        <v>2510531</v>
      </c>
    </row>
    <row r="10" spans="1:52" x14ac:dyDescent="0.3">
      <c r="A10" t="s">
        <v>52</v>
      </c>
      <c r="B10" t="s">
        <v>53</v>
      </c>
      <c r="C10" t="s">
        <v>107</v>
      </c>
      <c r="D10" t="s">
        <v>108</v>
      </c>
      <c r="E10" t="s">
        <v>109</v>
      </c>
      <c r="F10" t="s">
        <v>110</v>
      </c>
      <c r="G10" t="s">
        <v>111</v>
      </c>
      <c r="I10" t="s">
        <v>112</v>
      </c>
      <c r="J10" t="s">
        <v>113</v>
      </c>
      <c r="K10">
        <v>6.48</v>
      </c>
      <c r="L10">
        <v>5500000</v>
      </c>
      <c r="M10" t="s">
        <v>69</v>
      </c>
      <c r="N10">
        <v>30</v>
      </c>
      <c r="O10">
        <v>1</v>
      </c>
      <c r="P10">
        <v>0</v>
      </c>
      <c r="Q10" s="1">
        <v>5500000</v>
      </c>
      <c r="R10" s="1">
        <v>209396</v>
      </c>
      <c r="S10" s="1">
        <v>150000</v>
      </c>
      <c r="T10" s="1">
        <v>750000</v>
      </c>
      <c r="U10" s="1">
        <v>259740</v>
      </c>
      <c r="V10" s="1">
        <v>6869136</v>
      </c>
      <c r="W10" s="1">
        <v>0</v>
      </c>
      <c r="X10" s="1">
        <v>0</v>
      </c>
      <c r="Y10" s="1">
        <v>386899</v>
      </c>
      <c r="Z10" s="1">
        <v>0</v>
      </c>
      <c r="AA10" s="1">
        <v>31249</v>
      </c>
      <c r="AB10" s="1">
        <v>0</v>
      </c>
      <c r="AC10" s="1">
        <v>0</v>
      </c>
      <c r="AD10" s="1">
        <v>242679</v>
      </c>
      <c r="AE10" s="1">
        <v>13227</v>
      </c>
      <c r="AF10" s="1">
        <v>0</v>
      </c>
      <c r="AG10" s="1">
        <v>0</v>
      </c>
      <c r="AH10" s="1">
        <v>656299</v>
      </c>
      <c r="AI10" s="1">
        <v>0</v>
      </c>
      <c r="AJ10" s="1">
        <v>200000</v>
      </c>
      <c r="AK10" s="1">
        <v>0</v>
      </c>
      <c r="AL10" s="1">
        <v>200000</v>
      </c>
      <c r="AM10" s="1">
        <v>5338783</v>
      </c>
      <c r="AN10" s="1">
        <v>32242</v>
      </c>
      <c r="AO10" s="1">
        <v>0</v>
      </c>
      <c r="AP10" s="1">
        <v>83331</v>
      </c>
      <c r="AQ10" s="1">
        <v>0</v>
      </c>
      <c r="AR10" s="1">
        <v>41665</v>
      </c>
      <c r="AS10" s="1">
        <v>0</v>
      </c>
      <c r="AT10" s="1">
        <v>65177</v>
      </c>
      <c r="AU10" s="1">
        <v>0</v>
      </c>
      <c r="AV10" s="1">
        <v>0</v>
      </c>
      <c r="AW10" s="1">
        <v>31202</v>
      </c>
      <c r="AX10" s="1">
        <v>0</v>
      </c>
      <c r="AY10" s="1">
        <v>3467</v>
      </c>
      <c r="AZ10" s="1">
        <v>7126220</v>
      </c>
    </row>
    <row r="11" spans="1:52" s="5" customFormat="1" x14ac:dyDescent="0.3">
      <c r="A11" s="5" t="s">
        <v>52</v>
      </c>
      <c r="B11" s="5" t="s">
        <v>53</v>
      </c>
      <c r="C11" s="5" t="s">
        <v>114</v>
      </c>
      <c r="D11" s="5" t="s">
        <v>115</v>
      </c>
      <c r="E11" s="5" t="s">
        <v>116</v>
      </c>
      <c r="F11" s="5" t="s">
        <v>110</v>
      </c>
      <c r="G11" s="5" t="s">
        <v>117</v>
      </c>
      <c r="I11" s="5" t="s">
        <v>112</v>
      </c>
      <c r="J11" s="5" t="s">
        <v>118</v>
      </c>
      <c r="K11" s="5">
        <v>6.03</v>
      </c>
      <c r="L11" s="5">
        <v>4510000</v>
      </c>
      <c r="M11" s="5" t="s">
        <v>61</v>
      </c>
      <c r="N11" s="5">
        <v>30</v>
      </c>
      <c r="O11" s="5">
        <v>0</v>
      </c>
      <c r="P11" s="5">
        <v>0</v>
      </c>
      <c r="Q11" s="6">
        <v>4510000</v>
      </c>
      <c r="R11" s="6">
        <v>209396</v>
      </c>
      <c r="S11" s="6">
        <v>150000</v>
      </c>
      <c r="T11" s="6">
        <v>0</v>
      </c>
      <c r="U11" s="6">
        <v>232609</v>
      </c>
      <c r="V11" s="6">
        <v>5102005</v>
      </c>
      <c r="W11" s="6">
        <v>9020000</v>
      </c>
      <c r="X11" s="6">
        <v>9020000</v>
      </c>
      <c r="Y11" s="6">
        <v>386899</v>
      </c>
      <c r="Z11" s="6">
        <v>208499</v>
      </c>
      <c r="AA11" s="6">
        <v>30612</v>
      </c>
      <c r="AB11" s="6">
        <v>54120</v>
      </c>
      <c r="AC11" s="6">
        <v>0</v>
      </c>
      <c r="AD11" s="6">
        <v>242679</v>
      </c>
      <c r="AE11" s="6">
        <v>0</v>
      </c>
      <c r="AF11" s="6">
        <v>50787</v>
      </c>
      <c r="AG11" s="6">
        <v>0</v>
      </c>
      <c r="AH11" s="6">
        <v>288645</v>
      </c>
      <c r="AI11" s="6">
        <v>910021</v>
      </c>
      <c r="AJ11" s="6">
        <v>200000</v>
      </c>
      <c r="AK11" s="6">
        <v>0</v>
      </c>
      <c r="AL11" s="6">
        <v>200000</v>
      </c>
      <c r="AM11" s="6">
        <v>11749743</v>
      </c>
      <c r="AN11" s="6">
        <v>32242</v>
      </c>
      <c r="AO11" s="6">
        <v>17374</v>
      </c>
      <c r="AP11" s="6">
        <v>81632</v>
      </c>
      <c r="AQ11" s="6">
        <v>144320</v>
      </c>
      <c r="AR11" s="6">
        <v>40816</v>
      </c>
      <c r="AS11" s="6">
        <v>72160</v>
      </c>
      <c r="AT11" s="6">
        <v>65177</v>
      </c>
      <c r="AU11" s="6">
        <v>33978</v>
      </c>
      <c r="AV11" s="7">
        <v>393</v>
      </c>
      <c r="AW11" s="6">
        <v>31202</v>
      </c>
      <c r="AX11" s="7">
        <v>3532</v>
      </c>
      <c r="AY11" s="6">
        <v>3467</v>
      </c>
      <c r="AZ11" s="6">
        <v>14648298</v>
      </c>
    </row>
    <row r="12" spans="1:52" x14ac:dyDescent="0.3">
      <c r="A12" t="s">
        <v>52</v>
      </c>
      <c r="B12" t="s">
        <v>53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I12" t="s">
        <v>112</v>
      </c>
      <c r="J12" t="s">
        <v>60</v>
      </c>
      <c r="K12">
        <v>6.96</v>
      </c>
      <c r="L12">
        <v>4715000</v>
      </c>
      <c r="M12" t="s">
        <v>69</v>
      </c>
      <c r="N12">
        <v>30</v>
      </c>
      <c r="O12">
        <v>0</v>
      </c>
      <c r="P12">
        <v>0</v>
      </c>
      <c r="Q12" s="1">
        <v>4715000</v>
      </c>
      <c r="R12" s="1">
        <v>209396</v>
      </c>
      <c r="S12" s="1">
        <v>150000</v>
      </c>
      <c r="T12" s="1">
        <v>400000</v>
      </c>
      <c r="U12" s="1">
        <v>255425</v>
      </c>
      <c r="V12" s="1">
        <v>5729821</v>
      </c>
      <c r="W12" s="1">
        <v>0</v>
      </c>
      <c r="X12" s="1">
        <v>0</v>
      </c>
      <c r="Y12" s="1">
        <v>386899</v>
      </c>
      <c r="Z12" s="1">
        <v>0</v>
      </c>
      <c r="AA12" s="1">
        <v>31249</v>
      </c>
      <c r="AB12" s="1">
        <v>0</v>
      </c>
      <c r="AC12" s="1">
        <v>0</v>
      </c>
      <c r="AD12" s="1">
        <v>242679</v>
      </c>
      <c r="AE12" s="1">
        <v>32339</v>
      </c>
      <c r="AF12" s="1">
        <v>0</v>
      </c>
      <c r="AG12" s="1">
        <v>0</v>
      </c>
      <c r="AH12" s="1">
        <v>394257</v>
      </c>
      <c r="AI12" s="1">
        <v>0</v>
      </c>
      <c r="AJ12" s="1">
        <v>200000</v>
      </c>
      <c r="AK12" s="1">
        <v>0</v>
      </c>
      <c r="AL12" s="1">
        <v>200000</v>
      </c>
      <c r="AM12" s="1">
        <v>4442398</v>
      </c>
      <c r="AN12" s="1">
        <v>32242</v>
      </c>
      <c r="AO12" s="1">
        <v>0</v>
      </c>
      <c r="AP12" s="1">
        <v>83331</v>
      </c>
      <c r="AQ12" s="1">
        <v>0</v>
      </c>
      <c r="AR12" s="1">
        <v>41665</v>
      </c>
      <c r="AS12" s="1">
        <v>0</v>
      </c>
      <c r="AT12" s="1">
        <v>65177</v>
      </c>
      <c r="AU12" s="1">
        <v>0</v>
      </c>
      <c r="AV12" s="1">
        <v>0</v>
      </c>
      <c r="AW12" s="1">
        <v>31202</v>
      </c>
      <c r="AX12" s="1">
        <v>0</v>
      </c>
      <c r="AY12" s="1">
        <v>3467</v>
      </c>
      <c r="AZ12" s="1">
        <v>5986905</v>
      </c>
    </row>
    <row r="13" spans="1:52" x14ac:dyDescent="0.3">
      <c r="A13" t="s">
        <v>52</v>
      </c>
      <c r="B13" t="s">
        <v>53</v>
      </c>
      <c r="C13" t="s">
        <v>124</v>
      </c>
      <c r="D13" t="s">
        <v>125</v>
      </c>
      <c r="E13" t="s">
        <v>126</v>
      </c>
      <c r="F13" t="s">
        <v>127</v>
      </c>
      <c r="G13" t="s">
        <v>117</v>
      </c>
      <c r="I13" t="s">
        <v>87</v>
      </c>
      <c r="J13" t="s">
        <v>128</v>
      </c>
      <c r="K13">
        <v>11.89</v>
      </c>
      <c r="L13">
        <v>11187677</v>
      </c>
      <c r="M13" t="s">
        <v>75</v>
      </c>
      <c r="N13">
        <v>30</v>
      </c>
      <c r="O13">
        <v>11</v>
      </c>
      <c r="P13">
        <v>0</v>
      </c>
      <c r="Q13" s="1">
        <v>11187677</v>
      </c>
      <c r="R13" s="1">
        <v>209396</v>
      </c>
      <c r="S13" s="1">
        <v>150000</v>
      </c>
      <c r="T13" s="1">
        <v>0</v>
      </c>
      <c r="U13" s="1">
        <v>307692</v>
      </c>
      <c r="V13" s="1">
        <v>11854765</v>
      </c>
      <c r="W13" s="1">
        <v>0</v>
      </c>
      <c r="X13" s="1">
        <v>0</v>
      </c>
      <c r="Y13" s="1">
        <v>366792</v>
      </c>
      <c r="Z13" s="1">
        <v>0</v>
      </c>
      <c r="AA13" s="1">
        <v>31249</v>
      </c>
      <c r="AB13" s="1">
        <v>0</v>
      </c>
      <c r="AC13" s="1">
        <v>0</v>
      </c>
      <c r="AD13" s="1">
        <v>242679</v>
      </c>
      <c r="AE13" s="1">
        <v>226805</v>
      </c>
      <c r="AF13" s="1">
        <v>0</v>
      </c>
      <c r="AG13" s="1">
        <v>0</v>
      </c>
      <c r="AH13" s="1">
        <v>2309656</v>
      </c>
      <c r="AI13" s="1">
        <v>0</v>
      </c>
      <c r="AJ13" s="1">
        <v>200000</v>
      </c>
      <c r="AK13" s="1">
        <v>0</v>
      </c>
      <c r="AL13" s="1">
        <v>200000</v>
      </c>
      <c r="AM13" s="1">
        <v>8477584</v>
      </c>
      <c r="AN13" s="1">
        <v>32242</v>
      </c>
      <c r="AO13" s="1">
        <v>0</v>
      </c>
      <c r="AP13" s="1">
        <v>83331</v>
      </c>
      <c r="AQ13" s="1">
        <v>0</v>
      </c>
      <c r="AR13" s="1">
        <v>41665</v>
      </c>
      <c r="AS13" s="1">
        <v>0</v>
      </c>
      <c r="AT13" s="1">
        <v>65177</v>
      </c>
      <c r="AU13" s="1">
        <v>0</v>
      </c>
      <c r="AV13" s="1">
        <v>0</v>
      </c>
      <c r="AW13" s="1">
        <v>31202</v>
      </c>
      <c r="AX13" s="1">
        <v>0</v>
      </c>
      <c r="AY13" s="1">
        <v>3467</v>
      </c>
      <c r="AZ13" s="1">
        <v>12111849</v>
      </c>
    </row>
    <row r="14" spans="1:52" x14ac:dyDescent="0.3">
      <c r="A14" t="s">
        <v>52</v>
      </c>
      <c r="B14" t="s">
        <v>53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I14" t="s">
        <v>87</v>
      </c>
      <c r="J14" t="s">
        <v>88</v>
      </c>
      <c r="L14">
        <v>17838939</v>
      </c>
      <c r="M14" t="s">
        <v>61</v>
      </c>
      <c r="N14">
        <v>30</v>
      </c>
      <c r="O14">
        <v>0</v>
      </c>
      <c r="P14">
        <v>0</v>
      </c>
      <c r="Q14" s="1">
        <v>17838939</v>
      </c>
      <c r="R14" s="1">
        <v>209396</v>
      </c>
      <c r="S14" s="1">
        <v>150000</v>
      </c>
      <c r="T14" s="1">
        <v>0</v>
      </c>
      <c r="U14" s="1">
        <v>307692</v>
      </c>
      <c r="V14" s="1">
        <v>18506027</v>
      </c>
      <c r="W14" s="1">
        <v>0</v>
      </c>
      <c r="X14" s="1">
        <v>0</v>
      </c>
      <c r="Y14" s="1">
        <v>366792</v>
      </c>
      <c r="Z14" s="1">
        <v>0</v>
      </c>
      <c r="AA14" s="1">
        <v>31249</v>
      </c>
      <c r="AB14" s="1">
        <v>0</v>
      </c>
      <c r="AC14" s="1">
        <v>242679</v>
      </c>
      <c r="AD14" s="1">
        <v>0</v>
      </c>
      <c r="AE14" s="1">
        <v>0</v>
      </c>
      <c r="AF14" s="1">
        <v>0</v>
      </c>
      <c r="AG14" s="1">
        <v>0</v>
      </c>
      <c r="AH14" s="1">
        <v>4637598</v>
      </c>
      <c r="AI14" s="1">
        <v>0</v>
      </c>
      <c r="AJ14" s="1">
        <v>200000</v>
      </c>
      <c r="AK14" s="1">
        <v>0</v>
      </c>
      <c r="AL14" s="1">
        <v>200000</v>
      </c>
      <c r="AM14" s="1">
        <v>13027709</v>
      </c>
      <c r="AN14" s="1">
        <v>32242</v>
      </c>
      <c r="AO14" s="1">
        <v>0</v>
      </c>
      <c r="AP14" s="1">
        <v>83331</v>
      </c>
      <c r="AQ14" s="1">
        <v>0</v>
      </c>
      <c r="AR14" s="1">
        <v>41665</v>
      </c>
      <c r="AS14" s="1">
        <v>0</v>
      </c>
      <c r="AT14" s="1">
        <v>65177</v>
      </c>
      <c r="AU14" s="1">
        <v>0</v>
      </c>
      <c r="AV14" s="1">
        <v>0</v>
      </c>
      <c r="AW14" s="1">
        <v>31202</v>
      </c>
      <c r="AX14" s="1">
        <v>0</v>
      </c>
      <c r="AY14" s="1">
        <v>3467</v>
      </c>
      <c r="AZ14" s="1">
        <v>18763111</v>
      </c>
    </row>
    <row r="15" spans="1:52" x14ac:dyDescent="0.3">
      <c r="A15" t="s">
        <v>52</v>
      </c>
      <c r="B15" t="s">
        <v>53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I15" t="s">
        <v>105</v>
      </c>
      <c r="J15" t="s">
        <v>68</v>
      </c>
      <c r="K15">
        <v>6.16</v>
      </c>
      <c r="L15">
        <v>3075000</v>
      </c>
      <c r="M15" t="s">
        <v>69</v>
      </c>
      <c r="N15">
        <v>30</v>
      </c>
      <c r="O15">
        <v>0</v>
      </c>
      <c r="P15">
        <v>0</v>
      </c>
      <c r="Q15" s="1">
        <v>3075000</v>
      </c>
      <c r="R15" s="1">
        <v>209396</v>
      </c>
      <c r="S15" s="1">
        <v>150000</v>
      </c>
      <c r="T15" s="1">
        <v>100000</v>
      </c>
      <c r="U15" s="1">
        <v>218704</v>
      </c>
      <c r="V15" s="1">
        <v>3753100</v>
      </c>
      <c r="W15" s="1">
        <v>0</v>
      </c>
      <c r="X15" s="1">
        <v>0</v>
      </c>
      <c r="Y15" s="1">
        <v>363672</v>
      </c>
      <c r="Z15" s="1">
        <v>0</v>
      </c>
      <c r="AA15" s="1">
        <v>22519</v>
      </c>
      <c r="AB15" s="1">
        <v>0</v>
      </c>
      <c r="AC15" s="1">
        <v>0</v>
      </c>
      <c r="AD15" s="1">
        <v>242679</v>
      </c>
      <c r="AE15" s="1">
        <v>553</v>
      </c>
      <c r="AF15" s="1">
        <v>0</v>
      </c>
      <c r="AG15" s="1">
        <v>0</v>
      </c>
      <c r="AH15" s="1">
        <v>129417</v>
      </c>
      <c r="AI15" s="1">
        <v>0</v>
      </c>
      <c r="AJ15" s="1">
        <v>200000</v>
      </c>
      <c r="AK15" s="1">
        <v>0</v>
      </c>
      <c r="AL15" s="1">
        <v>200000</v>
      </c>
      <c r="AM15" s="1">
        <v>2794260</v>
      </c>
      <c r="AN15" s="1">
        <v>32242</v>
      </c>
      <c r="AO15" s="1">
        <v>0</v>
      </c>
      <c r="AP15" s="1">
        <v>60050</v>
      </c>
      <c r="AQ15" s="1">
        <v>0</v>
      </c>
      <c r="AR15" s="1">
        <v>30025</v>
      </c>
      <c r="AS15" s="1">
        <v>0</v>
      </c>
      <c r="AT15" s="1">
        <v>65177</v>
      </c>
      <c r="AU15" s="1">
        <v>0</v>
      </c>
      <c r="AV15" s="1">
        <v>0</v>
      </c>
      <c r="AW15" s="1">
        <v>31202</v>
      </c>
      <c r="AX15" s="1">
        <v>0</v>
      </c>
      <c r="AY15" s="1">
        <v>3467</v>
      </c>
      <c r="AZ15" s="1">
        <v>3975263</v>
      </c>
    </row>
    <row r="16" spans="1:52" x14ac:dyDescent="0.3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s="2" customFormat="1" x14ac:dyDescent="0.3">
      <c r="A17" s="2" t="s">
        <v>139</v>
      </c>
      <c r="B17" s="2" t="s">
        <v>139</v>
      </c>
      <c r="C17" s="2" t="s">
        <v>139</v>
      </c>
      <c r="D17" s="2" t="s">
        <v>139</v>
      </c>
      <c r="E17" s="2" t="s">
        <v>139</v>
      </c>
      <c r="F17" s="2" t="s">
        <v>139</v>
      </c>
      <c r="G17" s="2" t="s">
        <v>139</v>
      </c>
      <c r="H17" s="2" t="s">
        <v>139</v>
      </c>
      <c r="I17" s="2" t="s">
        <v>139</v>
      </c>
      <c r="J17" s="2" t="s">
        <v>139</v>
      </c>
      <c r="K17" s="2" t="s">
        <v>139</v>
      </c>
      <c r="L17" s="2" t="s">
        <v>139</v>
      </c>
      <c r="M17" s="2" t="s">
        <v>139</v>
      </c>
      <c r="N17" s="2" t="s">
        <v>139</v>
      </c>
      <c r="O17" s="2" t="s">
        <v>139</v>
      </c>
      <c r="P17" s="2" t="s">
        <v>139</v>
      </c>
      <c r="Q17" s="3">
        <f>SUM(Q2:Q16)</f>
        <v>86857799</v>
      </c>
      <c r="R17" s="3">
        <f t="shared" ref="R17:AX17" si="0">SUM(R2:R16)</f>
        <v>2722148</v>
      </c>
      <c r="S17" s="3">
        <f t="shared" si="0"/>
        <v>2100000</v>
      </c>
      <c r="T17" s="3">
        <f t="shared" si="0"/>
        <v>1600000</v>
      </c>
      <c r="U17" s="3">
        <f t="shared" si="0"/>
        <v>3705664</v>
      </c>
      <c r="V17" s="3">
        <f t="shared" si="0"/>
        <v>96985611</v>
      </c>
      <c r="W17" s="3">
        <f t="shared" si="0"/>
        <v>9020000</v>
      </c>
      <c r="X17" s="3">
        <f t="shared" si="0"/>
        <v>9020000</v>
      </c>
      <c r="Y17" s="3">
        <f t="shared" si="0"/>
        <v>4891921</v>
      </c>
      <c r="Z17" s="3">
        <f t="shared" si="0"/>
        <v>208499</v>
      </c>
      <c r="AA17" s="3">
        <f t="shared" si="0"/>
        <v>382170</v>
      </c>
      <c r="AB17" s="3">
        <f t="shared" si="0"/>
        <v>54120</v>
      </c>
      <c r="AC17" s="3">
        <f t="shared" si="0"/>
        <v>435752</v>
      </c>
      <c r="AD17" s="3">
        <f t="shared" si="0"/>
        <v>2669469</v>
      </c>
      <c r="AE17" s="3">
        <f t="shared" si="0"/>
        <v>714689</v>
      </c>
      <c r="AF17" s="3">
        <f t="shared" si="0"/>
        <v>50787</v>
      </c>
      <c r="AG17" s="3">
        <f t="shared" si="0"/>
        <v>157943</v>
      </c>
      <c r="AH17" s="3">
        <f t="shared" si="0"/>
        <v>12873378</v>
      </c>
      <c r="AI17" s="3">
        <f t="shared" si="0"/>
        <v>910021</v>
      </c>
      <c r="AJ17" s="3">
        <f t="shared" si="0"/>
        <v>2800000</v>
      </c>
      <c r="AK17" s="3">
        <f t="shared" si="0"/>
        <v>185393</v>
      </c>
      <c r="AL17" s="3">
        <f t="shared" si="0"/>
        <v>2985393</v>
      </c>
      <c r="AM17" s="3">
        <f t="shared" si="0"/>
        <v>79671469</v>
      </c>
      <c r="AN17" s="3">
        <f t="shared" si="0"/>
        <v>413126</v>
      </c>
      <c r="AO17" s="3">
        <f t="shared" si="0"/>
        <v>17374</v>
      </c>
      <c r="AP17" s="3">
        <f t="shared" si="0"/>
        <v>1049571</v>
      </c>
      <c r="AQ17" s="3">
        <f t="shared" si="0"/>
        <v>144320</v>
      </c>
      <c r="AR17" s="3">
        <f t="shared" si="0"/>
        <v>524781</v>
      </c>
      <c r="AS17" s="3">
        <f t="shared" si="0"/>
        <v>72160</v>
      </c>
      <c r="AT17" s="3">
        <f t="shared" si="0"/>
        <v>869754</v>
      </c>
      <c r="AU17" s="3">
        <f t="shared" si="0"/>
        <v>33978</v>
      </c>
      <c r="AV17" s="8">
        <f t="shared" si="0"/>
        <v>393</v>
      </c>
      <c r="AW17" s="3">
        <f t="shared" si="0"/>
        <v>416375</v>
      </c>
      <c r="AX17" s="8">
        <f t="shared" si="0"/>
        <v>3532</v>
      </c>
      <c r="AY17" s="3">
        <f>SUM(AY2:AY16)</f>
        <v>44362</v>
      </c>
      <c r="AZ17" s="3">
        <f t="shared" ref="AZ17" si="1">SUM(AZ2:AZ16)</f>
        <v>109595337</v>
      </c>
    </row>
    <row r="18" spans="1:52" x14ac:dyDescent="0.3">
      <c r="A18" t="s">
        <v>139</v>
      </c>
      <c r="B18" t="s">
        <v>139</v>
      </c>
      <c r="C18" t="s">
        <v>139</v>
      </c>
      <c r="D18" t="s">
        <v>139</v>
      </c>
      <c r="E18" t="s">
        <v>139</v>
      </c>
      <c r="F18" t="s">
        <v>139</v>
      </c>
      <c r="G18" t="s">
        <v>139</v>
      </c>
      <c r="H18" t="s">
        <v>139</v>
      </c>
      <c r="I18" t="s">
        <v>139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 t="s">
        <v>139</v>
      </c>
      <c r="T18" t="s">
        <v>139</v>
      </c>
      <c r="U18" t="s">
        <v>139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 t="s">
        <v>139</v>
      </c>
      <c r="AC18" t="s">
        <v>139</v>
      </c>
      <c r="AD18" t="s">
        <v>139</v>
      </c>
      <c r="AE18" t="s">
        <v>139</v>
      </c>
      <c r="AF18" t="s">
        <v>139</v>
      </c>
      <c r="AG18" t="s">
        <v>139</v>
      </c>
      <c r="AH18" t="s">
        <v>139</v>
      </c>
      <c r="AI18" t="s">
        <v>139</v>
      </c>
      <c r="AJ18" t="s">
        <v>139</v>
      </c>
      <c r="AK18" t="s">
        <v>139</v>
      </c>
      <c r="AL18" t="s">
        <v>139</v>
      </c>
      <c r="AM18" t="s">
        <v>139</v>
      </c>
      <c r="AN18" t="s">
        <v>139</v>
      </c>
      <c r="AO18" t="s">
        <v>139</v>
      </c>
      <c r="AP18" t="s">
        <v>139</v>
      </c>
      <c r="AQ18" t="s">
        <v>139</v>
      </c>
      <c r="AR18" t="s">
        <v>139</v>
      </c>
      <c r="AS18" t="s">
        <v>139</v>
      </c>
      <c r="AT18" t="s">
        <v>139</v>
      </c>
      <c r="AU18" t="s">
        <v>139</v>
      </c>
      <c r="AV18" t="s">
        <v>139</v>
      </c>
      <c r="AW18" t="s">
        <v>139</v>
      </c>
      <c r="AX18" t="s">
        <v>139</v>
      </c>
      <c r="AY18" t="s">
        <v>139</v>
      </c>
      <c r="AZ18" t="s">
        <v>139</v>
      </c>
    </row>
    <row r="22" spans="1:52" x14ac:dyDescent="0.3">
      <c r="F22" s="9">
        <f>F23-AZ17</f>
        <v>0</v>
      </c>
      <c r="G22" s="9">
        <f>G23-AZ17</f>
        <v>0</v>
      </c>
      <c r="AG22" t="s">
        <v>140</v>
      </c>
      <c r="AH22" s="1">
        <f>+Y17+Z17+AA17+AB17+AC17+AD17+AE17+AF17+AG17+AN17+AO17+AP17+AQ17+AR17+AS17+AT17+AU17+AV17++AW17+AX17+AY17</f>
        <v>13155076</v>
      </c>
      <c r="AI22" s="1">
        <v>12569913</v>
      </c>
      <c r="AJ22" t="s">
        <v>141</v>
      </c>
    </row>
    <row r="23" spans="1:52" x14ac:dyDescent="0.3">
      <c r="B23" s="10" t="s">
        <v>144</v>
      </c>
      <c r="C23" s="11" t="s">
        <v>145</v>
      </c>
      <c r="D23" s="11"/>
      <c r="E23" s="11" t="s">
        <v>146</v>
      </c>
      <c r="F23" s="12">
        <f>SUM(F24:F49)</f>
        <v>109595337</v>
      </c>
      <c r="G23" s="12">
        <f>SUM(G24:G49)</f>
        <v>109595337</v>
      </c>
      <c r="AI23" s="1">
        <f>407783+40587+13724</f>
        <v>462094</v>
      </c>
      <c r="AJ23" t="s">
        <v>142</v>
      </c>
    </row>
    <row r="24" spans="1:52" x14ac:dyDescent="0.3">
      <c r="A24" s="13" t="s">
        <v>69</v>
      </c>
      <c r="B24">
        <v>5011</v>
      </c>
      <c r="C24" s="14" t="s">
        <v>147</v>
      </c>
      <c r="D24" s="15" t="s">
        <v>148</v>
      </c>
      <c r="E24" s="14">
        <v>7020201</v>
      </c>
      <c r="F24" s="16">
        <f>SUMIF($M$2:$M$15,A24,$Q$2:$Q$15)+SUMIF($M$2:$M$15,A24,$S$2:$S$15)+SUMIF($M$2:$M$15,A24,$W$2:$W$15)+SUMIF($M$2:$M$15,A24,$U$2:$U$15)++SUMIF($M$2:$M$15,A24,$R$2:$R$15)</f>
        <v>44956639</v>
      </c>
      <c r="G24" s="17"/>
      <c r="AI24" s="1">
        <v>123069</v>
      </c>
      <c r="AJ24" t="s">
        <v>143</v>
      </c>
      <c r="AV24" s="4">
        <f>+AV17+AX17</f>
        <v>3925</v>
      </c>
    </row>
    <row r="25" spans="1:52" x14ac:dyDescent="0.3">
      <c r="A25" s="13" t="s">
        <v>69</v>
      </c>
      <c r="B25">
        <v>5012</v>
      </c>
      <c r="C25" s="14" t="s">
        <v>149</v>
      </c>
      <c r="D25" s="15" t="s">
        <v>148</v>
      </c>
      <c r="E25" s="14">
        <v>7020202</v>
      </c>
      <c r="F25" s="18">
        <f>SUMIF($M$2:$M$15,A25,$T$2:$T$15)</f>
        <v>1600000</v>
      </c>
      <c r="G25" s="17"/>
      <c r="AH25" s="4">
        <f>SUM(AH22:AH24)</f>
        <v>13155076</v>
      </c>
      <c r="AI25" s="4">
        <f>SUM(AI22:AI24)</f>
        <v>13155076</v>
      </c>
    </row>
    <row r="26" spans="1:52" x14ac:dyDescent="0.3">
      <c r="A26" s="13" t="s">
        <v>69</v>
      </c>
      <c r="B26">
        <v>5013</v>
      </c>
      <c r="C26" s="14" t="s">
        <v>24</v>
      </c>
      <c r="D26" s="15" t="s">
        <v>148</v>
      </c>
      <c r="E26" s="14">
        <v>7020203</v>
      </c>
      <c r="F26" s="19">
        <f>SUMIF($M$2:$M$15,A26,$AP$2:$AP$15)+SUMIF($M$2:$M$15,A26,$AO$2:$AO$15)+SUMIF($M$2:$M$15,A26,$AQ$2:$AQ$15)+SUMIF($M$2:$M$15,A26,$AR$2:$AR$15)+SUMIF($M$2:$M$15,A26,$AS$2:$AS$15)+SUMIF($M$2:$M$15,A26,$AT$2:$AT$15)+SUMIF($M$2:$M$15,A26,$AU$2:$AU$15)+SUMIF($M$2:$M$15,A26,$AV$2:$AV$15)+SUMIF($M$2:$M$15,A26,$AW$2:$AW$15)+SUMIF($M$2:$M$15,A26,$AX$2:$AX$15)+SUMIF($M$2:$M$15,A26,$AY$2:$AY$15)+SUMIF($M$2:$M$15,A26,$AN$2:$AN$15)</f>
        <v>1764667</v>
      </c>
      <c r="G26" s="17"/>
      <c r="AH26" s="4">
        <f>AH25-AI25</f>
        <v>0</v>
      </c>
    </row>
    <row r="27" spans="1:52" x14ac:dyDescent="0.3">
      <c r="A27" s="13" t="s">
        <v>69</v>
      </c>
      <c r="B27">
        <v>5015</v>
      </c>
      <c r="C27" s="14" t="s">
        <v>150</v>
      </c>
      <c r="D27" s="15" t="s">
        <v>148</v>
      </c>
      <c r="E27" s="14">
        <v>7020204</v>
      </c>
      <c r="F27" s="20"/>
      <c r="G27" s="17"/>
    </row>
    <row r="28" spans="1:52" x14ac:dyDescent="0.3">
      <c r="A28" s="13" t="s">
        <v>61</v>
      </c>
      <c r="B28">
        <v>6306</v>
      </c>
      <c r="C28" s="14" t="s">
        <v>147</v>
      </c>
      <c r="D28" s="21" t="s">
        <v>151</v>
      </c>
      <c r="E28" s="14">
        <v>8050117</v>
      </c>
      <c r="F28" s="16">
        <f>SUMIF($M$2:$M$15,A28,$Q$2:$Q$15)+SUMIF($M$2:$M$15,A28,$S$2:$S$15)+SUMIF($M$2:$M$15,A28,$W$2:$W$15)+SUMIF($M$2:$M$15,A28,$U$2:$U$15)++SUMIF($M$2:$M$15,A28,$R$2:$R$15)</f>
        <v>39873109</v>
      </c>
      <c r="G28" s="17"/>
    </row>
    <row r="29" spans="1:52" x14ac:dyDescent="0.3">
      <c r="A29" s="13" t="s">
        <v>61</v>
      </c>
      <c r="B29">
        <v>6307</v>
      </c>
      <c r="C29" s="14" t="s">
        <v>149</v>
      </c>
      <c r="D29" s="21" t="s">
        <v>151</v>
      </c>
      <c r="E29" s="14">
        <v>8050118</v>
      </c>
      <c r="F29" s="18">
        <f>SUMIF($M$2:$M$15,A29,$T$2:$T$15)</f>
        <v>0</v>
      </c>
      <c r="G29" s="17"/>
    </row>
    <row r="30" spans="1:52" x14ac:dyDescent="0.3">
      <c r="A30" s="13" t="s">
        <v>61</v>
      </c>
      <c r="B30">
        <v>6308</v>
      </c>
      <c r="C30" s="14" t="s">
        <v>24</v>
      </c>
      <c r="D30" s="21" t="s">
        <v>151</v>
      </c>
      <c r="E30" s="14">
        <v>8050119</v>
      </c>
      <c r="F30" s="19">
        <f>SUMIF($M$2:$M$15,A30,$AP$2:$AP$15)+SUMIF($M$2:$M$15,A30,$AO$2:$AO$15)+SUMIF($M$2:$M$15,A30,$AQ$2:$AQ$15)+SUMIF($M$2:$M$15,A30,$AR$2:$AR$15)+SUMIF($M$2:$M$15,A30,$AS$2:$AS$15)+SUMIF($M$2:$M$15,A30,$AT$2:$AT$15)+SUMIF($M$2:$M$15,A30,$AU$2:$AU$15)+SUMIF($M$2:$M$15,A30,$AV$2:$AV$15)+SUMIF($M$2:$M$15,A30,$AW$2:$AW$15)+SUMIF($M$2:$M$15,A30,$AX$2:$AX$15)+SUMIF($M$2:$M$15,A30,$AY$2:$AY$15)+SUMIF($M$2:$M$15,A30,$AN$2:$AN$15)</f>
        <v>1164102</v>
      </c>
      <c r="G30" s="17"/>
    </row>
    <row r="31" spans="1:52" x14ac:dyDescent="0.3">
      <c r="A31" s="13" t="s">
        <v>61</v>
      </c>
      <c r="B31">
        <v>6326</v>
      </c>
      <c r="C31" s="14" t="s">
        <v>150</v>
      </c>
      <c r="D31" s="21" t="s">
        <v>151</v>
      </c>
      <c r="E31" s="14">
        <v>8050121</v>
      </c>
      <c r="F31" s="20"/>
      <c r="G31" s="17"/>
    </row>
    <row r="32" spans="1:52" x14ac:dyDescent="0.3">
      <c r="A32" s="13"/>
      <c r="C32" s="14"/>
      <c r="D32" s="22" t="s">
        <v>152</v>
      </c>
      <c r="E32" s="14"/>
      <c r="F32" s="16">
        <f>SUMIF($M$2:$M$15,A32,$Q$2:$Q$15)+SUMIF($M$2:$M$15,A32,$S$2:$S$15)+SUMIF($M$2:$M$15,A32,$W$2:$W$15)+SUMIF($M$2:$M$15,A32,$U$2:$U$15)++SUMIF($M$2:$M$15,A32,$R$2:$R$15)</f>
        <v>0</v>
      </c>
      <c r="G32" s="17"/>
    </row>
    <row r="33" spans="1:7" x14ac:dyDescent="0.3">
      <c r="A33" s="13"/>
      <c r="C33" s="14"/>
      <c r="D33" s="22" t="s">
        <v>152</v>
      </c>
      <c r="E33" s="14"/>
      <c r="F33" s="18">
        <f>SUMIF($M$2:$M$15,A33,$T$2:$T$15)</f>
        <v>0</v>
      </c>
      <c r="G33" s="17"/>
    </row>
    <row r="34" spans="1:7" x14ac:dyDescent="0.3">
      <c r="A34" s="13"/>
      <c r="C34" s="14"/>
      <c r="D34" s="22" t="s">
        <v>152</v>
      </c>
      <c r="E34" s="14"/>
      <c r="F34" s="19">
        <f>SUMIF($M$2:$M$15,A34,$AP$2:$AP$15)+SUMIF($M$2:$M$15,A34,$AO$2:$AO$15)+SUMIF($M$2:$M$15,A34,$AQ$2:$AQ$15)+SUMIF($M$2:$M$15,A34,$AR$2:$AR$15)+SUMIF($M$2:$M$15,A34,$AS$2:$AS$15)+SUMIF($M$2:$M$15,A34,$AT$2:$AT$15)+SUMIF($M$2:$M$15,A34,$AU$2:$AU$15)+SUMIF($M$2:$M$15,A34,$AV$2:$AV$15)+SUMIF($M$2:$M$15,A34,$AW$2:$AW$15)+SUMIF($M$2:$M$15,A34,$AX$2:$AX$15)+SUMIF($M$2:$M$15,A34,$AY$2:$AY$15)+SUMIF($M$2:$M$15,A34,$AN$2:$AN$15)</f>
        <v>0</v>
      </c>
      <c r="G34" s="17"/>
    </row>
    <row r="35" spans="1:7" x14ac:dyDescent="0.3">
      <c r="A35" s="13"/>
      <c r="C35" s="14"/>
      <c r="D35" s="22" t="s">
        <v>152</v>
      </c>
      <c r="E35" s="14"/>
      <c r="F35" s="17"/>
      <c r="G35" s="17"/>
    </row>
    <row r="36" spans="1:7" x14ac:dyDescent="0.3">
      <c r="A36" s="13" t="s">
        <v>75</v>
      </c>
      <c r="B36">
        <v>6301</v>
      </c>
      <c r="C36" s="14" t="s">
        <v>147</v>
      </c>
      <c r="D36" s="23" t="s">
        <v>153</v>
      </c>
      <c r="E36" s="14">
        <v>8050101</v>
      </c>
      <c r="F36" s="16">
        <f>SUMIF($M$2:$M$15,A36,$Q$2:$Q$15)+SUMIF($M$2:$M$15,A36,$S$2:$S$15)+SUMIF($M$2:$M$15,A36,$W$2:$W$15)+SUMIF($M$2:$M$15,A36,$U$2:$U$15)++SUMIF($M$2:$M$15,A36,$R$2:$R$15)</f>
        <v>17212121</v>
      </c>
      <c r="G36" s="17"/>
    </row>
    <row r="37" spans="1:7" x14ac:dyDescent="0.3">
      <c r="A37" s="13" t="s">
        <v>75</v>
      </c>
      <c r="B37">
        <v>6302</v>
      </c>
      <c r="C37" s="14" t="s">
        <v>149</v>
      </c>
      <c r="D37" s="23" t="s">
        <v>153</v>
      </c>
      <c r="E37" s="14">
        <v>8050102</v>
      </c>
      <c r="F37" s="18">
        <f>SUMIF($M$2:$M$15,A37,$T$2:$T$15)</f>
        <v>0</v>
      </c>
      <c r="G37" s="17"/>
    </row>
    <row r="38" spans="1:7" x14ac:dyDescent="0.3">
      <c r="A38" s="13" t="s">
        <v>75</v>
      </c>
      <c r="B38">
        <v>6303</v>
      </c>
      <c r="C38" s="14" t="s">
        <v>24</v>
      </c>
      <c r="D38" s="23" t="s">
        <v>153</v>
      </c>
      <c r="E38" s="14">
        <v>8050106</v>
      </c>
      <c r="F38" s="19">
        <f>SUMIF($M$2:$M$15,A38,$AP$2:$AP$15)+SUMIF($M$2:$M$15,A38,$AO$2:$AO$15)+SUMIF($M$2:$M$15,A38,$AQ$2:$AQ$15)+SUMIF($M$2:$M$15,A38,$AR$2:$AR$15)+SUMIF($M$2:$M$15,A38,$AS$2:$AS$15)+SUMIF($M$2:$M$15,A38,$AT$2:$AT$15)+SUMIF($M$2:$M$15,A38,$AU$2:$AU$15)+SUMIF($M$2:$M$15,A38,$AV$2:$AV$15)+SUMIF($M$2:$M$15,A38,$AW$2:$AW$15)+SUMIF($M$2:$M$15,A38,$AX$2:$AX$15)+SUMIF($M$2:$M$15,A38,$AY$2:$AY$15)+SUMIF($M$2:$M$15,A38,$AN$2:$AN$15)</f>
        <v>514168</v>
      </c>
      <c r="G38" s="17"/>
    </row>
    <row r="39" spans="1:7" x14ac:dyDescent="0.3">
      <c r="A39" s="13" t="s">
        <v>75</v>
      </c>
      <c r="B39">
        <v>6327</v>
      </c>
      <c r="C39" s="14" t="s">
        <v>150</v>
      </c>
      <c r="D39" s="23" t="s">
        <v>153</v>
      </c>
      <c r="E39" s="14">
        <v>8050120</v>
      </c>
      <c r="F39" s="17"/>
      <c r="G39" s="17"/>
    </row>
    <row r="40" spans="1:7" x14ac:dyDescent="0.3">
      <c r="A40" s="13" t="s">
        <v>106</v>
      </c>
      <c r="B40">
        <v>5211</v>
      </c>
      <c r="C40" s="14" t="s">
        <v>147</v>
      </c>
      <c r="D40" s="24" t="s">
        <v>154</v>
      </c>
      <c r="E40" s="14">
        <v>7020205</v>
      </c>
      <c r="F40" s="16">
        <f>SUMIF($M$2:$M$15,A40,$Q$2:$Q$15)+SUMIF($M$2:$M$15,A40,$S$2:$S$15)+SUMIF($M$2:$M$15,A40,$W$2:$W$15)+SUMIF($M$2:$M$15,A40,$U$2:$U$15)++SUMIF($M$2:$M$15,A40,$R$2:$R$15)</f>
        <v>2363742</v>
      </c>
      <c r="G40" s="17"/>
    </row>
    <row r="41" spans="1:7" x14ac:dyDescent="0.3">
      <c r="A41" s="13" t="s">
        <v>106</v>
      </c>
      <c r="B41">
        <v>5212</v>
      </c>
      <c r="C41" s="14" t="s">
        <v>149</v>
      </c>
      <c r="D41" s="24" t="s">
        <v>154</v>
      </c>
      <c r="E41" s="14">
        <v>7020206</v>
      </c>
      <c r="F41" s="18">
        <f>SUMIF($M$2:$M$15,A41,$T$2:$T$15)</f>
        <v>0</v>
      </c>
      <c r="G41" s="17"/>
    </row>
    <row r="42" spans="1:7" x14ac:dyDescent="0.3">
      <c r="A42" s="13" t="s">
        <v>106</v>
      </c>
      <c r="B42">
        <v>5213</v>
      </c>
      <c r="C42" s="14" t="s">
        <v>24</v>
      </c>
      <c r="D42" s="24" t="s">
        <v>154</v>
      </c>
      <c r="E42" s="14">
        <v>7020207</v>
      </c>
      <c r="F42" s="19">
        <f>SUMIF($M$2:$M$15,A42,$AP$2:$AP$15)+SUMIF($M$2:$M$15,A42,$AO$2:$AO$15)+SUMIF($M$2:$M$15,A42,$AQ$2:$AQ$15)+SUMIF($M$2:$M$15,A42,$AR$2:$AR$15)+SUMIF($M$2:$M$15,A42,$AS$2:$AS$15)+SUMIF($M$2:$M$15,A42,$AT$2:$AT$15)+SUMIF($M$2:$M$15,A42,$AU$2:$AU$15)+SUMIF($M$2:$M$15,A42,$AV$2:$AV$15)+SUMIF($M$2:$M$15,A42,$AW$2:$AW$15)+SUMIF($M$2:$M$15,A42,$AX$2:$AX$15)+SUMIF($M$2:$M$15,A42,$AY$2:$AY$15)+SUMIF($M$2:$M$15,A42,$AN$2:$AN$15)</f>
        <v>146789</v>
      </c>
      <c r="G42" s="17"/>
    </row>
    <row r="43" spans="1:7" x14ac:dyDescent="0.3">
      <c r="A43" s="13" t="s">
        <v>106</v>
      </c>
      <c r="B43">
        <v>5215</v>
      </c>
      <c r="C43" s="14" t="s">
        <v>150</v>
      </c>
      <c r="D43" s="24" t="s">
        <v>154</v>
      </c>
      <c r="E43" s="14">
        <v>7020208</v>
      </c>
      <c r="F43" s="17"/>
      <c r="G43" s="17"/>
    </row>
    <row r="44" spans="1:7" x14ac:dyDescent="0.3">
      <c r="A44" s="13"/>
      <c r="B44">
        <v>2414</v>
      </c>
      <c r="C44" s="14" t="s">
        <v>155</v>
      </c>
      <c r="D44" s="14"/>
      <c r="E44" s="14">
        <v>3031302</v>
      </c>
      <c r="F44" s="17"/>
      <c r="G44" s="20">
        <f>SUM(Y17:AG18,AZ18:BG18)+SUM(AN17:AY17)</f>
        <v>13155076</v>
      </c>
    </row>
    <row r="45" spans="1:7" x14ac:dyDescent="0.3">
      <c r="A45" s="13"/>
      <c r="B45">
        <v>2414</v>
      </c>
      <c r="C45" s="14" t="s">
        <v>156</v>
      </c>
      <c r="D45" s="14"/>
      <c r="E45" s="14">
        <v>8050305</v>
      </c>
      <c r="F45" s="17"/>
      <c r="G45" s="20">
        <f>+AG19</f>
        <v>0</v>
      </c>
    </row>
    <row r="46" spans="1:7" x14ac:dyDescent="0.3">
      <c r="A46" s="13"/>
      <c r="B46">
        <v>2411</v>
      </c>
      <c r="C46" s="14" t="s">
        <v>157</v>
      </c>
      <c r="D46" s="14"/>
      <c r="E46" s="14">
        <v>3031204</v>
      </c>
      <c r="F46" s="17"/>
      <c r="G46" s="17">
        <f>+AM17</f>
        <v>79671469</v>
      </c>
    </row>
    <row r="47" spans="1:7" x14ac:dyDescent="0.3">
      <c r="A47" s="13"/>
      <c r="B47" s="13">
        <v>2554</v>
      </c>
      <c r="C47" s="14" t="s">
        <v>158</v>
      </c>
      <c r="D47" s="14"/>
      <c r="E47" s="14">
        <v>3031505</v>
      </c>
      <c r="F47" s="17"/>
      <c r="G47" s="17">
        <f>+AK17</f>
        <v>185393</v>
      </c>
    </row>
    <row r="48" spans="1:7" x14ac:dyDescent="0.3">
      <c r="A48" s="13"/>
      <c r="B48" s="13">
        <v>2554</v>
      </c>
      <c r="C48" s="14" t="s">
        <v>159</v>
      </c>
      <c r="D48" s="14"/>
      <c r="E48" s="14">
        <v>3031501</v>
      </c>
      <c r="F48" s="17"/>
      <c r="G48" s="17">
        <f>+AH17+AI17</f>
        <v>13783399</v>
      </c>
    </row>
    <row r="49" spans="1:7" x14ac:dyDescent="0.3">
      <c r="A49" s="13"/>
      <c r="B49">
        <v>2411</v>
      </c>
      <c r="C49" s="14" t="s">
        <v>160</v>
      </c>
      <c r="E49" s="14">
        <v>3031204</v>
      </c>
      <c r="F49" s="25"/>
      <c r="G49" s="25">
        <f>+AJ17</f>
        <v>2800000</v>
      </c>
    </row>
  </sheetData>
  <pageMargins left="0.75" right="0.75" top="1" bottom="1" header="0.5" footer="0.5"/>
  <headerFooter>
    <oddFooter>&amp;C_x000D_&amp;1#&amp;"Aptos"&amp;10&amp;K000000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8DF8F-C106-4AE3-94B4-DEAB17FD98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876B45C1-2C37-4D01-A075-2573319533FD}"/>
</file>

<file path=customXml/itemProps3.xml><?xml version="1.0" encoding="utf-8"?>
<ds:datastoreItem xmlns:ds="http://schemas.openxmlformats.org/officeDocument/2006/customXml" ds:itemID="{F386AEC9-0D76-4840-8029-80FCB25428D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2025-10-14T22:07:50Z</dcterms:created>
  <dcterms:modified xsi:type="dcterms:W3CDTF">2025-12-29T18:43:21Z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