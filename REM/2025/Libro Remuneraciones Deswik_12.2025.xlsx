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40" documentId="13_ncr:1_{112699A4-319D-4394-B817-4EB8EBF30D4E}" xr6:coauthVersionLast="47" xr6:coauthVersionMax="47" xr10:uidLastSave="{FAEE51CC-97EB-45C7-86CF-4147371BBE36}"/>
  <bookViews>
    <workbookView minimized="1" xWindow="20611" yWindow="4879" windowWidth="20418" windowHeight="6190" xr2:uid="{00000000-000D-0000-FFFF-FFFF00000000}"/>
  </bookViews>
  <sheets>
    <sheet name="12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G20" i="1"/>
  <c r="F38" i="1"/>
  <c r="F24" i="1"/>
  <c r="G47" i="1"/>
  <c r="G46" i="1"/>
  <c r="G45" i="1"/>
  <c r="G44" i="1"/>
  <c r="G42" i="1"/>
  <c r="F40" i="1"/>
  <c r="F36" i="1"/>
  <c r="F28" i="1"/>
  <c r="F34" i="1"/>
  <c r="F30" i="1"/>
  <c r="F26" i="1"/>
  <c r="F32" i="1" l="1"/>
  <c r="G21" i="1"/>
  <c r="F21" i="1" l="1"/>
  <c r="F20" i="1" s="1"/>
  <c r="R17" i="1" l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Q17" i="1"/>
</calcChain>
</file>

<file path=xl/sharedStrings.xml><?xml version="1.0" encoding="utf-8"?>
<sst xmlns="http://schemas.openxmlformats.org/spreadsheetml/2006/main" count="296" uniqueCount="145">
  <si>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</si>
  <si>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</si>
  <si>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</si>
  <si>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</si>
  <si>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</si>
  <si>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</si>
  <si>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</si>
  <si>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</si>
  <si>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</si>
  <si>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</si>
  <si>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</si>
  <si>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</si>
  <si>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</si>
  <si>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</si>
  <si>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</si>
  <si>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</si>
  <si>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</si>
  <si>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</si>
  <si>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</si>
  <si>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Aguinaldo navidad</t>
  </si>
  <si>
    <t>Suma de Haberes Afectos</t>
  </si>
  <si>
    <t>AFP</t>
  </si>
  <si>
    <t>Seguro Cesantia Trabajador</t>
  </si>
  <si>
    <t>Salud 7% (Fonasa)</t>
  </si>
  <si>
    <t>Isapre</t>
  </si>
  <si>
    <t>Isapre sobre 7%</t>
  </si>
  <si>
    <t>APV (Régimen A)</t>
  </si>
  <si>
    <t>Impuestos</t>
  </si>
  <si>
    <t>Anticipo Aguinaldo</t>
  </si>
  <si>
    <t>Retención Préstamo Solidario SII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</si>
  <si>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</si>
  <si>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</si>
  <si>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</si>
  <si>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</si>
  <si>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</si>
  <si>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</si>
  <si>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</si>
  <si>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</si>
  <si>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</si>
  <si>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</si>
  <si>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</si>
  <si>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</si>
  <si>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</si>
  <si>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</si>
  <si>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</si>
  <si>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</si>
  <si>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</si>
  <si>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</si>
  <si>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</si>
  <si>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</si>
  <si>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</si>
  <si>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</si>
  <si>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</si>
  <si>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</si>
  <si>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</si>
  <si>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</si>
  <si>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</si>
  <si>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13973582-K</t>
  </si>
  <si>
    <t>Carolina Alejandra</t>
  </si>
  <si>
    <t>Toro</t>
  </si>
  <si>
    <t>Segura</t>
  </si>
  <si>
    <t>15/12/2025</t>
  </si>
  <si>
    <t>15/06/2026</t>
  </si>
  <si>
    <t>Habitat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</si>
  <si>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</si>
  <si>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</si>
  <si>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</si>
  <si>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</si>
  <si>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</si>
  <si>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</si>
  <si>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</si>
  <si>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</si>
  <si>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</si>
  <si>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</si>
  <si>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</si>
  <si>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</si>
  <si>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</si>
  <si>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</si>
  <si>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</si>
  <si>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</si>
  <si>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</si>
  <si>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</si>
  <si>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</si>
  <si>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</si>
  <si>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</si>
  <si>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</si>
  <si>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</si>
  <si>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</si>
  <si>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</si>
  <si>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</si>
  <si>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</si>
  <si>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</si>
  <si>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</si>
  <si>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Soporte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</si>
  <si>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</si>
  <si>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</si>
  <si>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</si>
  <si>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</si>
  <si>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</si>
  <si>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</si>
  <si>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</si>
  <si>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</si>
  <si>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</si>
  <si>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</si>
  <si>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</si>
  <si>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</si>
  <si>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</si>
  <si>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</si>
  <si>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</si>
  <si>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</si>
  <si>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</si>
  <si>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</si>
  <si>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</si>
  <si>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</si>
  <si>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</si>
  <si>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</si>
  <si>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Ventas y marketing</t>
  </si>
  <si>
    <t>28741378-5</t>
  </si>
  <si>
    <t>CESAR FELIPE</t>
  </si>
  <si>
    <t>MACHADO</t>
  </si>
  <si>
    <t>RIBEIRO LOPES</t>
  </si>
  <si>
    <t>14/07/2023</t>
  </si>
  <si>
    <t>28794341-5</t>
  </si>
  <si>
    <t>Lucas Guilherme</t>
  </si>
  <si>
    <t>Cardoso</t>
  </si>
  <si>
    <t>Bittencourt</t>
  </si>
  <si>
    <t>01/11/2024</t>
  </si>
  <si>
    <t xml:space="preserve">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</si>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</sst>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_([$$-409]* #,##0_);_([$$-409]* \(#,##0\);_([$$-409]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42" fontId="0" fillId="0" borderId="0" xfId="1" applyFont="1"/>
    <xf numFmtId="42" fontId="2" fillId="0" borderId="0" xfId="1" applyFont="1"/>
    <xf numFmtId="0" fontId="2" fillId="2" borderId="0" xfId="0" applyFont="1" applyFill="1"/>
    <xf numFmtId="42" fontId="0" fillId="0" borderId="0" xfId="0" applyNumberFormat="1"/>
    <xf numFmtId="0" fontId="2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3" fillId="0" borderId="0" xfId="0" applyFont="1"/>
    <xf numFmtId="0" fontId="5" fillId="0" borderId="0" xfId="0" applyFont="1"/>
    <xf numFmtId="0" fontId="5" fillId="3" borderId="0" xfId="0" applyFont="1" applyFill="1"/>
    <xf numFmtId="41" fontId="6" fillId="4" borderId="0" xfId="2" applyFont="1" applyFill="1"/>
    <xf numFmtId="41" fontId="5" fillId="5" borderId="0" xfId="2" applyFont="1" applyFill="1"/>
    <xf numFmtId="41" fontId="6" fillId="6" borderId="0" xfId="2" applyFont="1" applyFill="1"/>
    <xf numFmtId="164" fontId="0" fillId="7" borderId="0" xfId="3" applyNumberFormat="1" applyFont="1" applyFill="1"/>
    <xf numFmtId="41" fontId="6" fillId="5" borderId="0" xfId="2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/>
    <xf numFmtId="41" fontId="0" fillId="5" borderId="0" xfId="2" applyFont="1" applyFill="1"/>
    <xf numFmtId="0" fontId="0" fillId="6" borderId="0" xfId="0" applyFill="1"/>
    <xf numFmtId="42" fontId="0" fillId="6" borderId="0" xfId="1" applyFont="1" applyFill="1"/>
    <xf numFmtId="42" fontId="2" fillId="6" borderId="0" xfId="1" applyFont="1" applyFill="1"/>
  </cellXfs>
  <cellStyles count="4">
    <cellStyle name="Millares [0]" xfId="2" builtinId="6"/>
    <cellStyle name="Moneda [0]" xfId="1" builtinId="7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7"/>
  <sheetViews>
    <sheetView showGridLines="0" tabSelected="1" topLeftCell="G1" zoomScaleNormal="100" workbookViewId="0">
      <pane ySplit="1" topLeftCell="A14" activePane="bottomLeft" state="frozen"/>
      <selection activeCell="Q1" sqref="Q1"/>
      <selection pane="bottomLeft" activeCell="F22" sqref="F22"/>
    </sheetView>
  </sheetViews>
  <sheetFormatPr baseColWidth="10" defaultColWidth="8.8984375" defaultRowHeight="14" x14ac:dyDescent="0.3"/>
  <cols>
    <col min="4" max="4" width="19.09765625" bestFit="1" customWidth="1"/>
    <col min="6" max="6" width="15.3984375" bestFit="1" customWidth="1"/>
    <col min="7" max="7" width="16.59765625" bestFit="1" customWidth="1"/>
    <col min="8" max="8" width="13" bestFit="1" customWidth="1"/>
    <col min="17" max="17" width="16.69921875" bestFit="1" customWidth="1"/>
    <col min="18" max="20" width="15.59765625" bestFit="1" customWidth="1"/>
    <col min="21" max="21" width="16.69921875" bestFit="1" customWidth="1"/>
    <col min="22" max="22" width="15.59765625" bestFit="1" customWidth="1"/>
    <col min="23" max="24" width="14" bestFit="1" customWidth="1"/>
    <col min="25" max="25" width="15.59765625" bestFit="1" customWidth="1"/>
    <col min="26" max="27" width="14" bestFit="1" customWidth="1"/>
    <col min="28" max="28" width="16.69921875" bestFit="1" customWidth="1"/>
    <col min="29" max="29" width="15.59765625" hidden="1" customWidth="1"/>
    <col min="30" max="30" width="14" bestFit="1" customWidth="1"/>
    <col min="31" max="31" width="15.59765625" bestFit="1" customWidth="1"/>
    <col min="32" max="32" width="16.69921875" style="21" bestFit="1" customWidth="1"/>
    <col min="33" max="33" width="14" bestFit="1" customWidth="1"/>
    <col min="34" max="34" width="15.59765625" bestFit="1" customWidth="1"/>
    <col min="35" max="37" width="14" bestFit="1" customWidth="1"/>
    <col min="38" max="38" width="13" bestFit="1" customWidth="1"/>
    <col min="39" max="39" width="16.69921875" bestFit="1" customWidth="1"/>
    <col min="40" max="40" width="11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2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I2" t="s">
        <v>46</v>
      </c>
      <c r="J2" t="s">
        <v>47</v>
      </c>
      <c r="K2">
        <v>6.47</v>
      </c>
      <c r="L2">
        <v>6231500</v>
      </c>
      <c r="M2" t="s">
        <v>48</v>
      </c>
      <c r="N2">
        <v>30</v>
      </c>
      <c r="O2">
        <v>0</v>
      </c>
      <c r="P2">
        <v>0</v>
      </c>
      <c r="Q2" s="1">
        <v>6231500</v>
      </c>
      <c r="R2" s="1">
        <v>209396</v>
      </c>
      <c r="S2" s="1">
        <v>150000</v>
      </c>
      <c r="T2" s="1">
        <v>259740</v>
      </c>
      <c r="U2" s="1">
        <v>6850636</v>
      </c>
      <c r="V2" s="1">
        <v>399389</v>
      </c>
      <c r="W2" s="1">
        <v>31441</v>
      </c>
      <c r="X2" s="1">
        <v>0</v>
      </c>
      <c r="Y2" s="1">
        <v>244168</v>
      </c>
      <c r="Z2" s="1">
        <v>12951</v>
      </c>
      <c r="AA2" s="1">
        <v>0</v>
      </c>
      <c r="AB2" s="1">
        <v>645699</v>
      </c>
      <c r="AC2" s="1">
        <v>200000</v>
      </c>
      <c r="AD2" s="1">
        <v>185269</v>
      </c>
      <c r="AE2" s="1">
        <v>385269</v>
      </c>
      <c r="AF2" s="22">
        <v>5131719</v>
      </c>
      <c r="AG2" s="1">
        <v>32439</v>
      </c>
      <c r="AH2" s="1">
        <v>83842</v>
      </c>
      <c r="AI2" s="1">
        <v>41921</v>
      </c>
      <c r="AJ2" s="1">
        <v>51973</v>
      </c>
      <c r="AK2" s="1">
        <v>31393</v>
      </c>
      <c r="AL2" s="1">
        <v>3488</v>
      </c>
      <c r="AM2" s="1">
        <v>7095692</v>
      </c>
    </row>
    <row r="3" spans="1:39" x14ac:dyDescent="0.3">
      <c r="A3" t="s">
        <v>39</v>
      </c>
      <c r="B3" t="s">
        <v>40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I3" t="s">
        <v>54</v>
      </c>
      <c r="J3" t="s">
        <v>55</v>
      </c>
      <c r="K3">
        <v>11.81</v>
      </c>
      <c r="L3">
        <v>6395833</v>
      </c>
      <c r="M3" t="s">
        <v>56</v>
      </c>
      <c r="N3">
        <v>30</v>
      </c>
      <c r="O3">
        <v>0</v>
      </c>
      <c r="P3">
        <v>0</v>
      </c>
      <c r="Q3" s="1">
        <v>6395833</v>
      </c>
      <c r="R3" s="1">
        <v>209396</v>
      </c>
      <c r="S3" s="1">
        <v>150000</v>
      </c>
      <c r="T3" s="1">
        <v>268410</v>
      </c>
      <c r="U3" s="1">
        <v>7023639</v>
      </c>
      <c r="V3" s="1">
        <v>399040</v>
      </c>
      <c r="W3" s="1">
        <v>31441</v>
      </c>
      <c r="X3" s="1">
        <v>0</v>
      </c>
      <c r="Y3" s="1">
        <v>244168</v>
      </c>
      <c r="Z3" s="1">
        <v>224860</v>
      </c>
      <c r="AA3" s="1">
        <v>0</v>
      </c>
      <c r="AB3" s="1">
        <v>692245</v>
      </c>
      <c r="AC3" s="1">
        <v>200000</v>
      </c>
      <c r="AD3" s="1">
        <v>0</v>
      </c>
      <c r="AE3" s="1">
        <v>200000</v>
      </c>
      <c r="AF3" s="22">
        <v>5231885</v>
      </c>
      <c r="AG3" s="1">
        <v>32439</v>
      </c>
      <c r="AH3" s="1">
        <v>83842</v>
      </c>
      <c r="AI3" s="1">
        <v>41921</v>
      </c>
      <c r="AJ3" s="1">
        <v>51973</v>
      </c>
      <c r="AK3" s="1">
        <v>31393</v>
      </c>
      <c r="AL3" s="1">
        <v>3488</v>
      </c>
      <c r="AM3" s="1">
        <v>7268695</v>
      </c>
    </row>
    <row r="4" spans="1:39" x14ac:dyDescent="0.3">
      <c r="A4" t="s">
        <v>39</v>
      </c>
      <c r="B4" t="s">
        <v>40</v>
      </c>
      <c r="C4" t="s">
        <v>57</v>
      </c>
      <c r="D4" t="s">
        <v>58</v>
      </c>
      <c r="E4" t="s">
        <v>59</v>
      </c>
      <c r="F4" t="s">
        <v>60</v>
      </c>
      <c r="G4" s="3" t="s">
        <v>61</v>
      </c>
      <c r="H4" s="3" t="s">
        <v>62</v>
      </c>
      <c r="I4" t="s">
        <v>63</v>
      </c>
      <c r="J4" t="s">
        <v>55</v>
      </c>
      <c r="K4">
        <v>7.64</v>
      </c>
      <c r="L4">
        <v>5500000</v>
      </c>
      <c r="M4" t="s">
        <v>48</v>
      </c>
      <c r="N4">
        <v>17</v>
      </c>
      <c r="O4">
        <v>0</v>
      </c>
      <c r="P4">
        <v>0</v>
      </c>
      <c r="Q4" s="1">
        <v>3116667</v>
      </c>
      <c r="R4" s="1">
        <v>209396</v>
      </c>
      <c r="S4" s="1">
        <v>150000</v>
      </c>
      <c r="T4" s="1">
        <v>0</v>
      </c>
      <c r="U4" s="1">
        <v>3476063</v>
      </c>
      <c r="V4" s="1">
        <v>391752</v>
      </c>
      <c r="W4" s="1">
        <v>0</v>
      </c>
      <c r="X4" s="1">
        <v>0</v>
      </c>
      <c r="Y4" s="1">
        <v>243324</v>
      </c>
      <c r="Z4" s="1">
        <v>60198</v>
      </c>
      <c r="AA4" s="1">
        <v>0</v>
      </c>
      <c r="AB4" s="1">
        <v>106208</v>
      </c>
      <c r="AC4" s="1"/>
      <c r="AD4" s="1">
        <v>0</v>
      </c>
      <c r="AE4" s="1">
        <v>0</v>
      </c>
      <c r="AF4" s="22">
        <v>2674581</v>
      </c>
      <c r="AG4" s="1">
        <v>32327</v>
      </c>
      <c r="AH4" s="1">
        <v>97330</v>
      </c>
      <c r="AI4" s="1">
        <v>6952</v>
      </c>
      <c r="AJ4" s="1">
        <v>51793</v>
      </c>
      <c r="AK4" s="1">
        <v>31285</v>
      </c>
      <c r="AL4" s="1">
        <v>3476</v>
      </c>
      <c r="AM4" s="1">
        <v>3699226</v>
      </c>
    </row>
    <row r="5" spans="1:39" x14ac:dyDescent="0.3">
      <c r="A5" t="s">
        <v>39</v>
      </c>
      <c r="B5" t="s">
        <v>40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I5" t="s">
        <v>54</v>
      </c>
      <c r="J5" t="s">
        <v>69</v>
      </c>
      <c r="K5">
        <v>7.17</v>
      </c>
      <c r="L5">
        <v>7500000</v>
      </c>
      <c r="M5" t="s">
        <v>56</v>
      </c>
      <c r="N5">
        <v>30</v>
      </c>
      <c r="O5">
        <v>0</v>
      </c>
      <c r="P5">
        <v>0</v>
      </c>
      <c r="Q5" s="1">
        <v>7500000</v>
      </c>
      <c r="R5" s="1">
        <v>209396</v>
      </c>
      <c r="S5" s="1">
        <v>150000</v>
      </c>
      <c r="T5" s="1">
        <v>287356</v>
      </c>
      <c r="U5" s="1">
        <v>8146752</v>
      </c>
      <c r="V5" s="1">
        <v>399040</v>
      </c>
      <c r="W5" s="1">
        <v>31441</v>
      </c>
      <c r="X5" s="1">
        <v>0</v>
      </c>
      <c r="Y5" s="1">
        <v>244168</v>
      </c>
      <c r="Z5" s="1">
        <v>40721</v>
      </c>
      <c r="AA5" s="1">
        <v>0</v>
      </c>
      <c r="AB5" s="1">
        <v>1033672</v>
      </c>
      <c r="AC5" s="1">
        <v>200000</v>
      </c>
      <c r="AD5" s="1">
        <v>0</v>
      </c>
      <c r="AE5" s="1">
        <v>200000</v>
      </c>
      <c r="AF5" s="22">
        <v>6197710</v>
      </c>
      <c r="AG5" s="1">
        <v>32439</v>
      </c>
      <c r="AH5" s="1">
        <v>83842</v>
      </c>
      <c r="AI5" s="1">
        <v>41921</v>
      </c>
      <c r="AJ5" s="1">
        <v>51973</v>
      </c>
      <c r="AK5" s="1">
        <v>31393</v>
      </c>
      <c r="AL5" s="1">
        <v>3488</v>
      </c>
      <c r="AM5" s="1">
        <v>8391808</v>
      </c>
    </row>
    <row r="6" spans="1:39" x14ac:dyDescent="0.3">
      <c r="A6" t="s">
        <v>39</v>
      </c>
      <c r="B6" t="s">
        <v>40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I6" t="s">
        <v>75</v>
      </c>
      <c r="J6" t="s">
        <v>76</v>
      </c>
      <c r="L6">
        <v>1500000</v>
      </c>
      <c r="M6" t="s">
        <v>48</v>
      </c>
      <c r="N6">
        <v>0</v>
      </c>
      <c r="O6">
        <v>0</v>
      </c>
      <c r="P6">
        <v>30</v>
      </c>
      <c r="Q6" s="1">
        <v>0</v>
      </c>
      <c r="R6" s="1">
        <v>0</v>
      </c>
      <c r="S6" s="1">
        <v>150000</v>
      </c>
      <c r="T6" s="1">
        <v>244439</v>
      </c>
      <c r="U6" s="1">
        <v>394439</v>
      </c>
      <c r="V6" s="1">
        <v>41732</v>
      </c>
      <c r="W6" s="1">
        <v>2367</v>
      </c>
      <c r="X6" s="1">
        <v>27611</v>
      </c>
      <c r="Y6" s="1">
        <v>0</v>
      </c>
      <c r="Z6" s="1">
        <v>0</v>
      </c>
      <c r="AA6" s="1">
        <v>0</v>
      </c>
      <c r="AB6" s="1">
        <v>0</v>
      </c>
      <c r="AC6" s="1">
        <v>200000</v>
      </c>
      <c r="AD6" s="1">
        <v>0</v>
      </c>
      <c r="AE6" s="1">
        <v>200000</v>
      </c>
      <c r="AF6" s="22">
        <v>122729</v>
      </c>
      <c r="AG6" s="1">
        <v>4239</v>
      </c>
      <c r="AH6" s="1">
        <v>36759</v>
      </c>
      <c r="AI6" s="1">
        <v>18380</v>
      </c>
      <c r="AJ6" s="1">
        <v>34232</v>
      </c>
      <c r="AK6" s="1">
        <v>20677</v>
      </c>
      <c r="AL6" s="1">
        <v>394</v>
      </c>
      <c r="AM6" s="1">
        <v>509120</v>
      </c>
    </row>
    <row r="7" spans="1:39" x14ac:dyDescent="0.3">
      <c r="A7" t="s">
        <v>39</v>
      </c>
      <c r="B7" t="s">
        <v>40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I7" t="s">
        <v>63</v>
      </c>
      <c r="J7" t="s">
        <v>69</v>
      </c>
      <c r="K7">
        <v>9.58</v>
      </c>
      <c r="L7">
        <v>6562600</v>
      </c>
      <c r="M7" t="s">
        <v>56</v>
      </c>
      <c r="N7">
        <v>30</v>
      </c>
      <c r="O7">
        <v>6</v>
      </c>
      <c r="P7">
        <v>0</v>
      </c>
      <c r="Q7" s="1">
        <v>6562600</v>
      </c>
      <c r="R7" s="1">
        <v>209396</v>
      </c>
      <c r="S7" s="1">
        <v>150000</v>
      </c>
      <c r="T7" s="1">
        <v>286770</v>
      </c>
      <c r="U7" s="1">
        <v>7208766</v>
      </c>
      <c r="V7" s="1">
        <v>393111</v>
      </c>
      <c r="W7" s="1">
        <v>31441</v>
      </c>
      <c r="X7" s="1">
        <v>0</v>
      </c>
      <c r="Y7" s="1">
        <v>244168</v>
      </c>
      <c r="Z7" s="1">
        <v>136505</v>
      </c>
      <c r="AA7" s="1">
        <v>158912</v>
      </c>
      <c r="AB7" s="1">
        <v>750326</v>
      </c>
      <c r="AC7" s="1">
        <v>200000</v>
      </c>
      <c r="AD7" s="1">
        <v>0</v>
      </c>
      <c r="AE7" s="1">
        <v>200000</v>
      </c>
      <c r="AF7" s="22">
        <v>5294303</v>
      </c>
      <c r="AG7" s="1">
        <v>32439</v>
      </c>
      <c r="AH7" s="1">
        <v>83842</v>
      </c>
      <c r="AI7" s="1">
        <v>41921</v>
      </c>
      <c r="AJ7" s="1">
        <v>51973</v>
      </c>
      <c r="AK7" s="1">
        <v>31393</v>
      </c>
      <c r="AL7" s="1">
        <v>3488</v>
      </c>
      <c r="AM7" s="1">
        <v>7453822</v>
      </c>
    </row>
    <row r="8" spans="1:39" x14ac:dyDescent="0.3">
      <c r="A8" t="s">
        <v>39</v>
      </c>
      <c r="B8" t="s">
        <v>40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I8" t="s">
        <v>75</v>
      </c>
      <c r="J8" t="s">
        <v>69</v>
      </c>
      <c r="K8">
        <v>6.73</v>
      </c>
      <c r="L8">
        <v>6825000</v>
      </c>
      <c r="M8" t="s">
        <v>56</v>
      </c>
      <c r="N8">
        <v>30</v>
      </c>
      <c r="O8">
        <v>0</v>
      </c>
      <c r="P8">
        <v>0</v>
      </c>
      <c r="Q8" s="1">
        <v>6825000</v>
      </c>
      <c r="R8" s="1">
        <v>209396</v>
      </c>
      <c r="S8" s="1">
        <v>150000</v>
      </c>
      <c r="T8" s="1">
        <v>287356</v>
      </c>
      <c r="U8" s="1">
        <v>7471752</v>
      </c>
      <c r="V8" s="1">
        <v>369043</v>
      </c>
      <c r="W8" s="1">
        <v>31441</v>
      </c>
      <c r="X8" s="1">
        <v>0</v>
      </c>
      <c r="Y8" s="1">
        <v>244168</v>
      </c>
      <c r="Z8" s="1">
        <v>23161</v>
      </c>
      <c r="AA8" s="1">
        <v>0</v>
      </c>
      <c r="AB8" s="1">
        <v>837591</v>
      </c>
      <c r="AC8" s="1">
        <v>200000</v>
      </c>
      <c r="AD8" s="1">
        <v>0</v>
      </c>
      <c r="AE8" s="1">
        <v>200000</v>
      </c>
      <c r="AF8" s="22">
        <v>5766348</v>
      </c>
      <c r="AG8" s="1">
        <v>32439</v>
      </c>
      <c r="AH8" s="1">
        <v>83842</v>
      </c>
      <c r="AI8" s="1">
        <v>41921</v>
      </c>
      <c r="AJ8" s="1">
        <v>51973</v>
      </c>
      <c r="AK8" s="1">
        <v>31393</v>
      </c>
      <c r="AL8" s="1">
        <v>3488</v>
      </c>
      <c r="AM8" s="1">
        <v>7716808</v>
      </c>
    </row>
    <row r="9" spans="1:39" x14ac:dyDescent="0.3">
      <c r="A9" t="s">
        <v>39</v>
      </c>
      <c r="B9" t="s">
        <v>40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I9" t="s">
        <v>92</v>
      </c>
      <c r="J9" t="s">
        <v>76</v>
      </c>
      <c r="L9">
        <v>1750000</v>
      </c>
      <c r="M9" t="s">
        <v>93</v>
      </c>
      <c r="N9">
        <v>30</v>
      </c>
      <c r="O9">
        <v>0</v>
      </c>
      <c r="P9">
        <v>0</v>
      </c>
      <c r="Q9" s="1">
        <v>1750000</v>
      </c>
      <c r="R9" s="1">
        <v>209396</v>
      </c>
      <c r="S9" s="1">
        <v>150000</v>
      </c>
      <c r="T9" s="1">
        <v>254252</v>
      </c>
      <c r="U9" s="1">
        <v>2363648</v>
      </c>
      <c r="V9" s="1">
        <v>247238</v>
      </c>
      <c r="W9" s="1">
        <v>14182</v>
      </c>
      <c r="X9" s="1">
        <v>165455</v>
      </c>
      <c r="Y9" s="1">
        <v>0</v>
      </c>
      <c r="Z9" s="1">
        <v>0</v>
      </c>
      <c r="AA9" s="1">
        <v>0</v>
      </c>
      <c r="AB9" s="1">
        <v>39918</v>
      </c>
      <c r="AC9" s="1">
        <v>200000</v>
      </c>
      <c r="AD9" s="1">
        <v>0</v>
      </c>
      <c r="AE9" s="1">
        <v>200000</v>
      </c>
      <c r="AF9" s="22">
        <v>1696855</v>
      </c>
      <c r="AG9" s="1">
        <v>21982</v>
      </c>
      <c r="AH9" s="1">
        <v>37818</v>
      </c>
      <c r="AI9" s="1">
        <v>18909</v>
      </c>
      <c r="AJ9" s="1">
        <v>35218</v>
      </c>
      <c r="AK9" s="1">
        <v>21273</v>
      </c>
      <c r="AL9" s="1">
        <v>2364</v>
      </c>
      <c r="AM9" s="1">
        <v>2501212</v>
      </c>
    </row>
    <row r="10" spans="1:39" x14ac:dyDescent="0.3">
      <c r="A10" t="s">
        <v>39</v>
      </c>
      <c r="B10" t="s">
        <v>40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I10" t="s">
        <v>99</v>
      </c>
      <c r="J10" t="s">
        <v>100</v>
      </c>
      <c r="K10">
        <v>6.48</v>
      </c>
      <c r="L10">
        <v>5500000</v>
      </c>
      <c r="M10" t="s">
        <v>56</v>
      </c>
      <c r="N10">
        <v>30</v>
      </c>
      <c r="O10">
        <v>0</v>
      </c>
      <c r="P10">
        <v>0</v>
      </c>
      <c r="Q10" s="1">
        <v>5500000</v>
      </c>
      <c r="R10" s="1">
        <v>209396</v>
      </c>
      <c r="S10" s="1">
        <v>150000</v>
      </c>
      <c r="T10" s="1">
        <v>259740</v>
      </c>
      <c r="U10" s="1">
        <v>6119136</v>
      </c>
      <c r="V10" s="1">
        <v>389274</v>
      </c>
      <c r="W10" s="1">
        <v>31441</v>
      </c>
      <c r="X10" s="1">
        <v>0</v>
      </c>
      <c r="Y10" s="1">
        <v>244168</v>
      </c>
      <c r="Z10" s="1">
        <v>13309</v>
      </c>
      <c r="AA10" s="1">
        <v>0</v>
      </c>
      <c r="AB10" s="1">
        <v>479780</v>
      </c>
      <c r="AC10" s="1">
        <v>200000</v>
      </c>
      <c r="AD10" s="1">
        <v>0</v>
      </c>
      <c r="AE10" s="1">
        <v>200000</v>
      </c>
      <c r="AF10" s="22">
        <v>4761164</v>
      </c>
      <c r="AG10" s="1">
        <v>32439</v>
      </c>
      <c r="AH10" s="1">
        <v>83842</v>
      </c>
      <c r="AI10" s="1">
        <v>41921</v>
      </c>
      <c r="AJ10" s="1">
        <v>51973</v>
      </c>
      <c r="AK10" s="1">
        <v>31393</v>
      </c>
      <c r="AL10" s="1">
        <v>3488</v>
      </c>
      <c r="AM10" s="1">
        <v>6364192</v>
      </c>
    </row>
    <row r="11" spans="1:39" x14ac:dyDescent="0.3">
      <c r="A11" t="s">
        <v>39</v>
      </c>
      <c r="B11" t="s">
        <v>40</v>
      </c>
      <c r="C11" t="s">
        <v>101</v>
      </c>
      <c r="D11" t="s">
        <v>102</v>
      </c>
      <c r="E11" t="s">
        <v>103</v>
      </c>
      <c r="F11" t="s">
        <v>97</v>
      </c>
      <c r="G11" t="s">
        <v>104</v>
      </c>
      <c r="I11" t="s">
        <v>99</v>
      </c>
      <c r="J11" t="s">
        <v>105</v>
      </c>
      <c r="K11">
        <v>6.03</v>
      </c>
      <c r="L11">
        <v>4510000</v>
      </c>
      <c r="M11" t="s">
        <v>48</v>
      </c>
      <c r="N11">
        <v>30</v>
      </c>
      <c r="O11">
        <v>1</v>
      </c>
      <c r="P11">
        <v>0</v>
      </c>
      <c r="Q11" s="1">
        <v>4510000</v>
      </c>
      <c r="R11" s="1">
        <v>209396</v>
      </c>
      <c r="S11" s="1">
        <v>150000</v>
      </c>
      <c r="T11" s="1">
        <v>232609</v>
      </c>
      <c r="U11" s="1">
        <v>5102005</v>
      </c>
      <c r="V11" s="1">
        <v>389274</v>
      </c>
      <c r="W11" s="1">
        <v>30612</v>
      </c>
      <c r="X11" s="1">
        <v>0</v>
      </c>
      <c r="Y11" s="1">
        <v>244168</v>
      </c>
      <c r="Z11" s="1">
        <v>0</v>
      </c>
      <c r="AA11" s="1">
        <v>0</v>
      </c>
      <c r="AB11" s="1">
        <v>286880</v>
      </c>
      <c r="AC11" s="1">
        <v>200000</v>
      </c>
      <c r="AD11" s="1">
        <v>0</v>
      </c>
      <c r="AE11" s="1">
        <v>200000</v>
      </c>
      <c r="AF11" s="22">
        <v>3951071</v>
      </c>
      <c r="AG11" s="1">
        <v>32439</v>
      </c>
      <c r="AH11" s="1">
        <v>81632</v>
      </c>
      <c r="AI11" s="1">
        <v>40816</v>
      </c>
      <c r="AJ11" s="1">
        <v>51973</v>
      </c>
      <c r="AK11" s="1">
        <v>31393</v>
      </c>
      <c r="AL11" s="1">
        <v>3488</v>
      </c>
      <c r="AM11" s="1">
        <v>5343746</v>
      </c>
    </row>
    <row r="12" spans="1:39" x14ac:dyDescent="0.3">
      <c r="A12" t="s">
        <v>39</v>
      </c>
      <c r="B12" t="s">
        <v>40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I12" t="s">
        <v>99</v>
      </c>
      <c r="J12" t="s">
        <v>47</v>
      </c>
      <c r="K12">
        <v>6.96</v>
      </c>
      <c r="L12">
        <v>5500000</v>
      </c>
      <c r="M12" t="s">
        <v>56</v>
      </c>
      <c r="N12">
        <v>30</v>
      </c>
      <c r="O12">
        <v>6</v>
      </c>
      <c r="P12">
        <v>0</v>
      </c>
      <c r="Q12" s="1">
        <v>5500000</v>
      </c>
      <c r="R12" s="1">
        <v>209396</v>
      </c>
      <c r="S12" s="1">
        <v>150000</v>
      </c>
      <c r="T12" s="1">
        <v>232209</v>
      </c>
      <c r="U12" s="1">
        <v>6091605</v>
      </c>
      <c r="V12" s="1">
        <v>389274</v>
      </c>
      <c r="W12" s="1">
        <v>31441</v>
      </c>
      <c r="X12" s="1">
        <v>0</v>
      </c>
      <c r="Y12" s="1">
        <v>244168</v>
      </c>
      <c r="Z12" s="1">
        <v>32537</v>
      </c>
      <c r="AA12" s="1">
        <v>0</v>
      </c>
      <c r="AB12" s="1">
        <v>473448</v>
      </c>
      <c r="AC12" s="1">
        <v>200000</v>
      </c>
      <c r="AD12" s="1">
        <v>0</v>
      </c>
      <c r="AE12" s="1">
        <v>200000</v>
      </c>
      <c r="AF12" s="22">
        <v>4720737</v>
      </c>
      <c r="AG12" s="1">
        <v>32439</v>
      </c>
      <c r="AH12" s="1">
        <v>83842</v>
      </c>
      <c r="AI12" s="1">
        <v>41921</v>
      </c>
      <c r="AJ12" s="1">
        <v>51973</v>
      </c>
      <c r="AK12" s="1">
        <v>31393</v>
      </c>
      <c r="AL12" s="1">
        <v>3488</v>
      </c>
      <c r="AM12" s="1">
        <v>6336661</v>
      </c>
    </row>
    <row r="13" spans="1:39" x14ac:dyDescent="0.3">
      <c r="A13" t="s">
        <v>39</v>
      </c>
      <c r="B13" t="s">
        <v>40</v>
      </c>
      <c r="C13" t="s">
        <v>111</v>
      </c>
      <c r="D13" t="s">
        <v>112</v>
      </c>
      <c r="E13" t="s">
        <v>113</v>
      </c>
      <c r="F13" t="s">
        <v>114</v>
      </c>
      <c r="G13" t="s">
        <v>104</v>
      </c>
      <c r="I13" t="s">
        <v>75</v>
      </c>
      <c r="J13" t="s">
        <v>115</v>
      </c>
      <c r="K13">
        <v>11.89</v>
      </c>
      <c r="L13">
        <v>10596548</v>
      </c>
      <c r="M13" t="s">
        <v>116</v>
      </c>
      <c r="N13">
        <v>30</v>
      </c>
      <c r="O13">
        <v>0</v>
      </c>
      <c r="P13">
        <v>0</v>
      </c>
      <c r="Q13" s="1">
        <v>10596548</v>
      </c>
      <c r="R13" s="1">
        <v>209396</v>
      </c>
      <c r="S13" s="1">
        <v>150000</v>
      </c>
      <c r="T13" s="1">
        <v>307692</v>
      </c>
      <c r="U13" s="1">
        <v>11263636</v>
      </c>
      <c r="V13" s="1">
        <v>369043</v>
      </c>
      <c r="W13" s="1">
        <v>31441</v>
      </c>
      <c r="X13" s="1">
        <v>0</v>
      </c>
      <c r="Y13" s="1">
        <v>244168</v>
      </c>
      <c r="Z13" s="1">
        <v>228197</v>
      </c>
      <c r="AA13" s="1">
        <v>0</v>
      </c>
      <c r="AB13" s="1">
        <v>2094925</v>
      </c>
      <c r="AC13" s="1">
        <v>200000</v>
      </c>
      <c r="AD13" s="1">
        <v>0</v>
      </c>
      <c r="AE13" s="1">
        <v>200000</v>
      </c>
      <c r="AF13" s="22">
        <v>8095862</v>
      </c>
      <c r="AG13" s="1">
        <v>32439</v>
      </c>
      <c r="AH13" s="1">
        <v>83842</v>
      </c>
      <c r="AI13" s="1">
        <v>41921</v>
      </c>
      <c r="AJ13" s="1">
        <v>51973</v>
      </c>
      <c r="AK13" s="1">
        <v>31393</v>
      </c>
      <c r="AL13" s="1">
        <v>3488</v>
      </c>
      <c r="AM13" s="1">
        <v>11508692</v>
      </c>
    </row>
    <row r="14" spans="1:39" x14ac:dyDescent="0.3">
      <c r="A14" t="s">
        <v>39</v>
      </c>
      <c r="B14" t="s">
        <v>40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I14" t="s">
        <v>75</v>
      </c>
      <c r="J14" t="s">
        <v>76</v>
      </c>
      <c r="L14">
        <v>16896374</v>
      </c>
      <c r="M14" t="s">
        <v>48</v>
      </c>
      <c r="N14">
        <v>30</v>
      </c>
      <c r="O14">
        <v>0</v>
      </c>
      <c r="P14">
        <v>0</v>
      </c>
      <c r="Q14" s="1">
        <v>16896374</v>
      </c>
      <c r="R14" s="1">
        <v>209396</v>
      </c>
      <c r="S14" s="1">
        <v>150000</v>
      </c>
      <c r="T14" s="1">
        <v>307692</v>
      </c>
      <c r="U14" s="1">
        <v>17563462</v>
      </c>
      <c r="V14" s="1">
        <v>369043</v>
      </c>
      <c r="W14" s="1">
        <v>31441</v>
      </c>
      <c r="X14" s="1">
        <v>244168</v>
      </c>
      <c r="Y14" s="1">
        <v>0</v>
      </c>
      <c r="Z14" s="1">
        <v>0</v>
      </c>
      <c r="AA14" s="1">
        <v>0</v>
      </c>
      <c r="AB14" s="1">
        <v>4299864</v>
      </c>
      <c r="AC14" s="1">
        <v>200000</v>
      </c>
      <c r="AD14" s="1">
        <v>0</v>
      </c>
      <c r="AE14" s="1">
        <v>200000</v>
      </c>
      <c r="AF14" s="22">
        <v>12418946</v>
      </c>
      <c r="AG14" s="1">
        <v>32439</v>
      </c>
      <c r="AH14" s="1">
        <v>83842</v>
      </c>
      <c r="AI14" s="1">
        <v>41921</v>
      </c>
      <c r="AJ14" s="1">
        <v>51973</v>
      </c>
      <c r="AK14" s="1">
        <v>31393</v>
      </c>
      <c r="AL14" s="1">
        <v>3488</v>
      </c>
      <c r="AM14" s="1">
        <v>17808518</v>
      </c>
    </row>
    <row r="15" spans="1:39" x14ac:dyDescent="0.3">
      <c r="A15" t="s">
        <v>39</v>
      </c>
      <c r="B15" t="s">
        <v>40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I15" t="s">
        <v>92</v>
      </c>
      <c r="J15" t="s">
        <v>55</v>
      </c>
      <c r="K15">
        <v>6.16</v>
      </c>
      <c r="L15">
        <v>3075000</v>
      </c>
      <c r="M15" t="s">
        <v>56</v>
      </c>
      <c r="N15">
        <v>30</v>
      </c>
      <c r="O15">
        <v>7</v>
      </c>
      <c r="P15">
        <v>0</v>
      </c>
      <c r="Q15" s="1">
        <v>3075000</v>
      </c>
      <c r="R15" s="1">
        <v>209396</v>
      </c>
      <c r="S15" s="1">
        <v>150000</v>
      </c>
      <c r="T15" s="1">
        <v>224356</v>
      </c>
      <c r="U15" s="1">
        <v>3658752</v>
      </c>
      <c r="V15" s="1">
        <v>364857</v>
      </c>
      <c r="W15" s="1">
        <v>21953</v>
      </c>
      <c r="X15" s="1">
        <v>0</v>
      </c>
      <c r="Y15" s="1">
        <v>244168</v>
      </c>
      <c r="Z15" s="1">
        <v>556</v>
      </c>
      <c r="AA15" s="1">
        <v>0</v>
      </c>
      <c r="AB15" s="1">
        <v>121219</v>
      </c>
      <c r="AC15" s="1">
        <v>200000</v>
      </c>
      <c r="AD15" s="1">
        <v>0</v>
      </c>
      <c r="AE15" s="1">
        <v>200000</v>
      </c>
      <c r="AF15" s="22">
        <v>2705999</v>
      </c>
      <c r="AG15" s="1">
        <v>32439</v>
      </c>
      <c r="AH15" s="1">
        <v>58540</v>
      </c>
      <c r="AI15" s="1">
        <v>29270</v>
      </c>
      <c r="AJ15" s="1">
        <v>51973</v>
      </c>
      <c r="AK15" s="1">
        <v>31393</v>
      </c>
      <c r="AL15" s="1">
        <v>3488</v>
      </c>
      <c r="AM15" s="1">
        <v>3865855</v>
      </c>
    </row>
    <row r="16" spans="1:39" x14ac:dyDescent="0.3"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22"/>
      <c r="AG16" s="1"/>
      <c r="AH16" s="1"/>
      <c r="AI16" s="1"/>
      <c r="AJ16" s="1"/>
      <c r="AK16" s="1"/>
      <c r="AL16" s="1"/>
      <c r="AM16" s="1"/>
    </row>
    <row r="17" spans="1:40" x14ac:dyDescent="0.3">
      <c r="A17" t="s">
        <v>127</v>
      </c>
      <c r="B17" t="s">
        <v>127</v>
      </c>
      <c r="C17" t="s">
        <v>127</v>
      </c>
      <c r="D17" t="s">
        <v>127</v>
      </c>
      <c r="E17" t="s">
        <v>127</v>
      </c>
      <c r="F17" t="s">
        <v>127</v>
      </c>
      <c r="G17" t="s">
        <v>127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127</v>
      </c>
      <c r="P17" t="s">
        <v>127</v>
      </c>
      <c r="Q17" s="2">
        <f>+SUM(Q2:Q15)</f>
        <v>84459522</v>
      </c>
      <c r="R17" s="2">
        <f t="shared" ref="R17:AM17" si="0">+SUM(R2:R15)</f>
        <v>2722148</v>
      </c>
      <c r="S17" s="2">
        <f t="shared" si="0"/>
        <v>2100000</v>
      </c>
      <c r="T17" s="2">
        <f t="shared" si="0"/>
        <v>3452621</v>
      </c>
      <c r="U17" s="2">
        <f t="shared" si="0"/>
        <v>92734291</v>
      </c>
      <c r="V17" s="2">
        <f t="shared" si="0"/>
        <v>4911110</v>
      </c>
      <c r="W17" s="2">
        <f t="shared" si="0"/>
        <v>352083</v>
      </c>
      <c r="X17" s="2">
        <f t="shared" si="0"/>
        <v>437234</v>
      </c>
      <c r="Y17" s="2">
        <f t="shared" si="0"/>
        <v>2685004</v>
      </c>
      <c r="Z17" s="2">
        <f t="shared" si="0"/>
        <v>772995</v>
      </c>
      <c r="AA17" s="2">
        <f t="shared" si="0"/>
        <v>158912</v>
      </c>
      <c r="AB17" s="2">
        <f t="shared" si="0"/>
        <v>11861775</v>
      </c>
      <c r="AC17" s="2">
        <f t="shared" si="0"/>
        <v>2600000</v>
      </c>
      <c r="AD17" s="2">
        <f t="shared" si="0"/>
        <v>185269</v>
      </c>
      <c r="AE17" s="2">
        <f t="shared" si="0"/>
        <v>2785269</v>
      </c>
      <c r="AF17" s="23">
        <f t="shared" si="0"/>
        <v>68769909</v>
      </c>
      <c r="AG17" s="2">
        <f t="shared" si="0"/>
        <v>415377</v>
      </c>
      <c r="AH17" s="2">
        <f t="shared" si="0"/>
        <v>1066657</v>
      </c>
      <c r="AI17" s="2">
        <f t="shared" si="0"/>
        <v>491616</v>
      </c>
      <c r="AJ17" s="2">
        <f t="shared" si="0"/>
        <v>692946</v>
      </c>
      <c r="AK17" s="2">
        <f t="shared" si="0"/>
        <v>418558</v>
      </c>
      <c r="AL17" s="2">
        <f t="shared" si="0"/>
        <v>44602</v>
      </c>
      <c r="AM17" s="2">
        <f t="shared" si="0"/>
        <v>95864047</v>
      </c>
      <c r="AN17" s="4"/>
    </row>
    <row r="18" spans="1:40" x14ac:dyDescent="0.3">
      <c r="A18" t="s">
        <v>127</v>
      </c>
      <c r="B18" t="s">
        <v>127</v>
      </c>
      <c r="C18" t="s">
        <v>127</v>
      </c>
      <c r="D18" t="s">
        <v>127</v>
      </c>
      <c r="E18" t="s">
        <v>127</v>
      </c>
      <c r="F18" t="s">
        <v>127</v>
      </c>
      <c r="G18" t="s">
        <v>127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127</v>
      </c>
      <c r="X18" t="s">
        <v>127</v>
      </c>
      <c r="Y18" t="s">
        <v>127</v>
      </c>
      <c r="Z18" t="s">
        <v>127</v>
      </c>
      <c r="AA18" t="s">
        <v>127</v>
      </c>
      <c r="AB18" t="s">
        <v>127</v>
      </c>
      <c r="AC18" t="s">
        <v>127</v>
      </c>
      <c r="AD18" t="s">
        <v>127</v>
      </c>
      <c r="AE18" t="s">
        <v>127</v>
      </c>
      <c r="AF18" s="21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</row>
    <row r="20" spans="1:40" x14ac:dyDescent="0.3">
      <c r="F20" s="4">
        <f>F21-AM17</f>
        <v>0</v>
      </c>
      <c r="G20" s="4">
        <f>G21-AM17</f>
        <v>0</v>
      </c>
    </row>
    <row r="21" spans="1:40" x14ac:dyDescent="0.3">
      <c r="B21" s="5" t="s">
        <v>128</v>
      </c>
      <c r="C21" s="6" t="s">
        <v>129</v>
      </c>
      <c r="D21" s="6"/>
      <c r="E21" s="6" t="s">
        <v>130</v>
      </c>
      <c r="F21" s="7">
        <f>SUM(F22:F47)</f>
        <v>95864047</v>
      </c>
      <c r="G21" s="7">
        <f>SUM(G22:G47)</f>
        <v>95864047</v>
      </c>
    </row>
    <row r="22" spans="1:40" x14ac:dyDescent="0.3">
      <c r="A22" s="8" t="s">
        <v>56</v>
      </c>
      <c r="B22">
        <v>5011</v>
      </c>
      <c r="C22" s="9" t="s">
        <v>131</v>
      </c>
      <c r="D22" s="10" t="s">
        <v>132</v>
      </c>
      <c r="E22" s="9">
        <v>7020201</v>
      </c>
      <c r="F22" s="11">
        <f>SUMIF($M$2:$M$15,A22,$Q$2:$Q$15)+SUMIF($M$2:$M$15,A22,$S$2:$S$15)+SUMIF($M$2:$M$15,A22,$T$2:$T$15)+SUMIF($M$2:$M$15,A22,$R$2:$R$15)</f>
        <v>45720402</v>
      </c>
      <c r="G22" s="12"/>
    </row>
    <row r="23" spans="1:40" x14ac:dyDescent="0.3">
      <c r="A23" s="8" t="s">
        <v>56</v>
      </c>
      <c r="B23">
        <v>5012</v>
      </c>
      <c r="C23" s="9" t="s">
        <v>133</v>
      </c>
      <c r="D23" s="10" t="s">
        <v>132</v>
      </c>
      <c r="E23" s="9">
        <v>7020202</v>
      </c>
      <c r="F23" s="13">
        <v>0</v>
      </c>
      <c r="G23" s="12"/>
    </row>
    <row r="24" spans="1:40" x14ac:dyDescent="0.3">
      <c r="A24" s="8" t="s">
        <v>56</v>
      </c>
      <c r="B24">
        <v>5013</v>
      </c>
      <c r="C24" s="9" t="s">
        <v>21</v>
      </c>
      <c r="D24" s="10" t="s">
        <v>132</v>
      </c>
      <c r="E24" s="9">
        <v>7020203</v>
      </c>
      <c r="F24" s="14">
        <f>SUMIF($M$2:$M$15,A24,$AK$2:$AK$15)+SUMIF($M$2:$M$15,A24,$AI$2:$AI$15)+SUMIF($M$2:$M$15,A24,$AH$2:$AH$15)+SUMIF($M$2:$M$15,A24,$AG$2:$AG$15)+SUMIF($M$2:$M$15,A24,$AL$2:$AL$15)+SUMIF($M$2:$M$15,A24,$AJ$2:$AJ$15)</f>
        <v>1677439</v>
      </c>
      <c r="G24" s="12"/>
    </row>
    <row r="25" spans="1:40" x14ac:dyDescent="0.3">
      <c r="A25" s="8" t="s">
        <v>56</v>
      </c>
      <c r="B25">
        <v>5015</v>
      </c>
      <c r="C25" s="9" t="s">
        <v>134</v>
      </c>
      <c r="D25" s="10" t="s">
        <v>132</v>
      </c>
      <c r="E25" s="9">
        <v>7020204</v>
      </c>
      <c r="F25" s="15"/>
      <c r="G25" s="12"/>
    </row>
    <row r="26" spans="1:40" x14ac:dyDescent="0.3">
      <c r="A26" s="8" t="s">
        <v>48</v>
      </c>
      <c r="B26">
        <v>6306</v>
      </c>
      <c r="C26" s="9" t="s">
        <v>131</v>
      </c>
      <c r="D26" s="16" t="s">
        <v>135</v>
      </c>
      <c r="E26" s="9">
        <v>8050117</v>
      </c>
      <c r="F26" s="11">
        <f>SUMIF($M$2:$M$15,A26,$Q$2:$Q$15)+SUMIF($M$2:$M$15,A26,$S$2:$S$15)+SUMIF($M$2:$M$15,A26,$T$2:$T$15)+SUMIF($M$2:$M$15,A26,$R$2:$R$15)</f>
        <v>33386605</v>
      </c>
      <c r="G26" s="12"/>
    </row>
    <row r="27" spans="1:40" x14ac:dyDescent="0.3">
      <c r="A27" s="8" t="s">
        <v>48</v>
      </c>
      <c r="B27">
        <v>6307</v>
      </c>
      <c r="C27" s="9" t="s">
        <v>133</v>
      </c>
      <c r="D27" s="16" t="s">
        <v>135</v>
      </c>
      <c r="E27" s="9">
        <v>8050118</v>
      </c>
      <c r="F27" s="13">
        <v>0</v>
      </c>
      <c r="G27" s="12"/>
    </row>
    <row r="28" spans="1:40" x14ac:dyDescent="0.3">
      <c r="A28" s="8" t="s">
        <v>48</v>
      </c>
      <c r="B28">
        <v>6308</v>
      </c>
      <c r="C28" s="9" t="s">
        <v>21</v>
      </c>
      <c r="D28" s="16" t="s">
        <v>135</v>
      </c>
      <c r="E28" s="9">
        <v>8050119</v>
      </c>
      <c r="F28" s="14">
        <f>SUMIF($M$2:$M$15,A28,$AK$2:$AK$15)+SUMIF($M$2:$M$15,A28,$AI$2:$AI$15)+SUMIF($M$2:$M$15,A28,$AH$2:$AH$15)+SUMIF($M$2:$M$15,A28,$AG$2:$AG$15)+SUMIF($M$2:$M$15,A28,$AL$2:$AL$15)+SUMIF($M$2:$M$15,A28,$AJ$2:$AJ$15)</f>
        <v>1069697</v>
      </c>
      <c r="G28" s="12"/>
    </row>
    <row r="29" spans="1:40" x14ac:dyDescent="0.3">
      <c r="A29" s="8" t="s">
        <v>48</v>
      </c>
      <c r="B29">
        <v>6326</v>
      </c>
      <c r="C29" s="9" t="s">
        <v>134</v>
      </c>
      <c r="D29" s="16" t="s">
        <v>135</v>
      </c>
      <c r="E29" s="9">
        <v>8050121</v>
      </c>
      <c r="F29" s="15"/>
      <c r="G29" s="12"/>
    </row>
    <row r="30" spans="1:40" x14ac:dyDescent="0.3">
      <c r="A30" s="8"/>
      <c r="C30" s="9"/>
      <c r="D30" s="17" t="s">
        <v>136</v>
      </c>
      <c r="E30" s="9"/>
      <c r="F30" s="11">
        <f>SUMIF($M$2:$M$15,A30,$Q$2:$Q$15)+SUMIF($M$2:$M$15,A30,$S$2:$S$15)+SUMIF($M$2:$M$15,A30,$T$2:$T$15)+SUMIF($M$2:$M$15,A30,$R$2:$R$15)</f>
        <v>0</v>
      </c>
      <c r="G30" s="12"/>
    </row>
    <row r="31" spans="1:40" x14ac:dyDescent="0.3">
      <c r="A31" s="8"/>
      <c r="C31" s="9"/>
      <c r="D31" s="17" t="s">
        <v>136</v>
      </c>
      <c r="E31" s="9"/>
      <c r="F31" s="13">
        <v>0</v>
      </c>
      <c r="G31" s="12"/>
    </row>
    <row r="32" spans="1:40" x14ac:dyDescent="0.3">
      <c r="A32" s="8"/>
      <c r="C32" s="9"/>
      <c r="D32" s="17" t="s">
        <v>136</v>
      </c>
      <c r="E32" s="9"/>
      <c r="F32" s="14">
        <f>SUMIF($M$2:$M$15,A32,$AK$2:$AK$15)+SUMIF($M$2:$M$15,A32,$AI$2:$AI$15)+SUMIF($M$2:$M$15,A32,$AH$2:$AH$15)+SUMIF($M$2:$M$15,A32,$AG$2:$AG$15)+SUMIF($M$2:$M$15,A32,$AF$2:$AF$15)+SUMIF($M$2:$M$15,A32,$AJ$2:$AJ$15)</f>
        <v>0</v>
      </c>
      <c r="G32" s="12"/>
    </row>
    <row r="33" spans="1:7" x14ac:dyDescent="0.3">
      <c r="A33" s="8"/>
      <c r="C33" s="9"/>
      <c r="D33" s="17" t="s">
        <v>136</v>
      </c>
      <c r="E33" s="9"/>
      <c r="F33" s="12"/>
      <c r="G33" s="12"/>
    </row>
    <row r="34" spans="1:7" x14ac:dyDescent="0.3">
      <c r="A34" s="8" t="s">
        <v>116</v>
      </c>
      <c r="B34">
        <v>6301</v>
      </c>
      <c r="C34" s="9" t="s">
        <v>131</v>
      </c>
      <c r="D34" s="18" t="s">
        <v>137</v>
      </c>
      <c r="E34" s="9">
        <v>8050101</v>
      </c>
      <c r="F34" s="11">
        <f>SUMIF($M$2:$M$15,A34,$Q$2:$Q$15)+SUMIF($M$2:$M$15,A34,$S$2:$S$15)+SUMIF($M$2:$M$15,A34,$T$2:$T$15)+SUMIF($M$2:$M$15,A34,$R$2:$R$15)</f>
        <v>11263636</v>
      </c>
      <c r="G34" s="12"/>
    </row>
    <row r="35" spans="1:7" x14ac:dyDescent="0.3">
      <c r="A35" s="8" t="s">
        <v>116</v>
      </c>
      <c r="B35">
        <v>6302</v>
      </c>
      <c r="C35" s="9" t="s">
        <v>133</v>
      </c>
      <c r="D35" s="18" t="s">
        <v>137</v>
      </c>
      <c r="E35" s="9">
        <v>8050102</v>
      </c>
      <c r="F35" s="13">
        <v>0</v>
      </c>
      <c r="G35" s="12"/>
    </row>
    <row r="36" spans="1:7" x14ac:dyDescent="0.3">
      <c r="A36" s="8" t="s">
        <v>116</v>
      </c>
      <c r="B36">
        <v>6303</v>
      </c>
      <c r="C36" s="9" t="s">
        <v>21</v>
      </c>
      <c r="D36" s="18" t="s">
        <v>137</v>
      </c>
      <c r="E36" s="9">
        <v>8050106</v>
      </c>
      <c r="F36" s="14">
        <f>SUMIF($M$2:$M$15,A36,$AK$2:$AK$15)+SUMIF($M$2:$M$15,A36,$AI$2:$AI$15)+SUMIF($M$2:$M$15,A36,$AH$2:$AH$15)+SUMIF($M$2:$M$15,A36,$AG$2:$AG$15)+SUMIF($M$2:$M$15,A36,$AL$2:$AL$15)+SUMIF($M$2:$M$15,A36,$AJ$2:$AJ$15)</f>
        <v>245056</v>
      </c>
      <c r="G36" s="12"/>
    </row>
    <row r="37" spans="1:7" x14ac:dyDescent="0.3">
      <c r="A37" s="8" t="s">
        <v>116</v>
      </c>
      <c r="B37">
        <v>6327</v>
      </c>
      <c r="C37" s="9" t="s">
        <v>134</v>
      </c>
      <c r="D37" s="18" t="s">
        <v>137</v>
      </c>
      <c r="E37" s="9">
        <v>8050120</v>
      </c>
      <c r="F37" s="12"/>
      <c r="G37" s="12"/>
    </row>
    <row r="38" spans="1:7" x14ac:dyDescent="0.3">
      <c r="A38" s="8" t="s">
        <v>93</v>
      </c>
      <c r="B38">
        <v>5211</v>
      </c>
      <c r="C38" s="9" t="s">
        <v>131</v>
      </c>
      <c r="D38" s="19" t="s">
        <v>138</v>
      </c>
      <c r="E38" s="9">
        <v>7020205</v>
      </c>
      <c r="F38" s="11">
        <f>SUMIF($M$2:$M$15,A38,$Q$2:$Q$15)+SUMIF($M$2:$M$15,A38,$S$2:$S$15)+SUMIF($M$2:$M$15,A38,$T$2:$T$15)+SUMIF($M$2:$M$15,A38,$R$2:$R$15)</f>
        <v>2363648</v>
      </c>
      <c r="G38" s="12"/>
    </row>
    <row r="39" spans="1:7" x14ac:dyDescent="0.3">
      <c r="A39" s="8" t="s">
        <v>93</v>
      </c>
      <c r="B39">
        <v>5211</v>
      </c>
      <c r="C39" s="9" t="s">
        <v>133</v>
      </c>
      <c r="D39" s="19" t="s">
        <v>138</v>
      </c>
      <c r="E39" s="9">
        <v>7020206</v>
      </c>
      <c r="F39" s="13">
        <v>0</v>
      </c>
      <c r="G39" s="12"/>
    </row>
    <row r="40" spans="1:7" x14ac:dyDescent="0.3">
      <c r="A40" s="8" t="s">
        <v>93</v>
      </c>
      <c r="B40">
        <v>5213</v>
      </c>
      <c r="C40" s="9" t="s">
        <v>21</v>
      </c>
      <c r="D40" s="19" t="s">
        <v>138</v>
      </c>
      <c r="E40" s="9">
        <v>7020207</v>
      </c>
      <c r="F40" s="14">
        <f>SUMIF($M$2:$M$15,A40,$AK$2:$AK$15)+SUMIF($M$2:$M$15,A40,$AI$2:$AI$15)+SUMIF($M$2:$M$15,A40,$AH$2:$AH$15)+SUMIF($M$2:$M$15,A40,$AG$2:$AG$15)+SUMIF($M$2:$M$15,A40,$AL$2:$AL$15)+SUMIF($M$2:$M$15,A40,$AJ$2:$AJ$15)</f>
        <v>137564</v>
      </c>
      <c r="G40" s="12"/>
    </row>
    <row r="41" spans="1:7" x14ac:dyDescent="0.3">
      <c r="A41" s="8" t="s">
        <v>93</v>
      </c>
      <c r="B41">
        <v>5215</v>
      </c>
      <c r="C41" s="9" t="s">
        <v>134</v>
      </c>
      <c r="D41" s="19" t="s">
        <v>138</v>
      </c>
      <c r="E41" s="9">
        <v>7020208</v>
      </c>
      <c r="F41" s="12"/>
      <c r="G41" s="12"/>
    </row>
    <row r="42" spans="1:7" x14ac:dyDescent="0.3">
      <c r="A42" s="8"/>
      <c r="B42">
        <v>2414</v>
      </c>
      <c r="C42" s="9" t="s">
        <v>139</v>
      </c>
      <c r="D42" s="9"/>
      <c r="E42" s="9">
        <v>3031302</v>
      </c>
      <c r="F42" s="12"/>
      <c r="G42" s="15">
        <f>SUM(V17:AA17,AZ16:BG16)+SUM(AG17:AL17)</f>
        <v>12447094</v>
      </c>
    </row>
    <row r="43" spans="1:7" x14ac:dyDescent="0.3">
      <c r="A43" s="8"/>
      <c r="B43">
        <v>2414</v>
      </c>
      <c r="C43" s="9" t="s">
        <v>140</v>
      </c>
      <c r="D43" s="9"/>
      <c r="E43" s="9">
        <v>8050305</v>
      </c>
      <c r="F43" s="12"/>
      <c r="G43" s="15"/>
    </row>
    <row r="44" spans="1:7" x14ac:dyDescent="0.3">
      <c r="A44" s="8"/>
      <c r="B44">
        <v>2411</v>
      </c>
      <c r="C44" s="9" t="s">
        <v>141</v>
      </c>
      <c r="D44" s="9"/>
      <c r="E44" s="9">
        <v>3031204</v>
      </c>
      <c r="F44" s="12"/>
      <c r="G44" s="12">
        <f>+AF17</f>
        <v>68769909</v>
      </c>
    </row>
    <row r="45" spans="1:7" x14ac:dyDescent="0.3">
      <c r="A45" s="8"/>
      <c r="B45" s="8">
        <v>2554</v>
      </c>
      <c r="C45" s="9" t="s">
        <v>142</v>
      </c>
      <c r="D45" s="9"/>
      <c r="E45" s="9">
        <v>3031505</v>
      </c>
      <c r="F45" s="12"/>
      <c r="G45" s="12">
        <f>+AD17</f>
        <v>185269</v>
      </c>
    </row>
    <row r="46" spans="1:7" x14ac:dyDescent="0.3">
      <c r="A46" s="8"/>
      <c r="B46" s="8">
        <v>2554</v>
      </c>
      <c r="C46" s="9" t="s">
        <v>143</v>
      </c>
      <c r="D46" s="9"/>
      <c r="E46" s="9">
        <v>3031501</v>
      </c>
      <c r="F46" s="12"/>
      <c r="G46" s="12">
        <f>+AB17</f>
        <v>11861775</v>
      </c>
    </row>
    <row r="47" spans="1:7" x14ac:dyDescent="0.3">
      <c r="A47" s="8"/>
      <c r="B47">
        <v>2411</v>
      </c>
      <c r="C47" s="9" t="s">
        <v>144</v>
      </c>
      <c r="E47" s="9">
        <v>3031204</v>
      </c>
      <c r="F47" s="20"/>
      <c r="G47" s="20">
        <f>+AC17</f>
        <v>2600000</v>
      </c>
    </row>
  </sheetData>
  <pageMargins left="0.75" right="0.75" top="1" bottom="1" header="0.5" footer="0.5"/>
  <headerFooter>
    <oddFooter>&amp;C_x000D_&amp;1#&amp;"Aptos"&amp;10&amp;K000000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6F7CA5-5B62-4F93-AE7A-CB8BF1E755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070397-73AA-485E-92B8-D74B1082D69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820C49CF-264B-4AA7-BFD8-F70DE0E90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2025-12-26T07:04:43Z</dcterms:created>
  <dcterms:modified xsi:type="dcterms:W3CDTF">2026-01-26T23:09:45Z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