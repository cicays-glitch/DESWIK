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86" documentId="13_ncr:1_{67C49DC2-9CBB-44AD-BA4F-151150F8EA36}" xr6:coauthVersionLast="47" xr6:coauthVersionMax="47" xr10:uidLastSave="{8D2D9670-0C4A-4BAA-89DF-41EDF8CCD80F}"/>
  <bookViews>
    <workbookView xWindow="-107" yWindow="-107" windowWidth="20847" windowHeight="11111" xr2:uid="{00000000-000D-0000-FFFF-FFFF00000000}"/>
  </bookViews>
  <sheets>
    <sheet name="01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5" i="1"/>
  <c r="I47" i="1" l="1"/>
  <c r="I43" i="1"/>
  <c r="I22" i="1"/>
  <c r="I21" i="1" s="1"/>
  <c r="I45" i="1"/>
  <c r="H39" i="1"/>
  <c r="H35" i="1"/>
  <c r="H31" i="1"/>
  <c r="H27" i="1"/>
  <c r="H41" i="1"/>
  <c r="H37" i="1"/>
  <c r="H33" i="1"/>
  <c r="H29" i="1"/>
  <c r="H22" i="1" l="1"/>
  <c r="H21" i="1" s="1"/>
  <c r="R18" i="1" l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Q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H21" authorId="0" shapeId="0" xr:uid="{D9F51E4F-CE95-4345-9603-235CFDCB579C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estos montos se comparan
 con el costo empresa</t>
        </r>
      </text>
    </comment>
  </commentList>
</comments>
</file>

<file path=xl/sharedStrings.xml><?xml version="1.0" encoding="utf-8"?>
<sst xmlns="http://schemas.openxmlformats.org/spreadsheetml/2006/main" count="304" uniqueCount="153">
  <si>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</si>
  <si>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</si>
  <si>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</si>
  <si>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</si>
  <si>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</si>
  <si>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</si>
  <si>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</si>
  <si>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</si>
  <si>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</si>
  <si>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</si>
  <si>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</si>
  <si>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</si>
  <si>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</si>
  <si>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</si>
  <si>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</si>
  <si>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</si>
  <si>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</si>
  <si>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</si>
  <si>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</si>
  <si>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</si>
  <si>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</si>
  <si>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</si>
  <si>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</si>
  <si>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</si>
  <si>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</si>
  <si>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</si>
  <si>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APV</t>
  </si>
  <si>
    <t>Impuestos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</si>
  <si>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</si>
  <si>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</si>
  <si>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</si>
  <si>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</si>
  <si>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</si>
  <si>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</si>
  <si>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</si>
  <si>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</si>
  <si>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</si>
  <si>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</si>
  <si>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</si>
  <si>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</si>
  <si>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</si>
  <si>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</si>
  <si>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</si>
  <si>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</si>
  <si>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</si>
  <si>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</si>
  <si>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</si>
  <si>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</si>
  <si>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</si>
  <si>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</si>
  <si>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</si>
  <si>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</si>
  <si>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</si>
  <si>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</si>
  <si>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</si>
  <si>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</si>
  <si>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</si>
  <si>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</si>
  <si>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</si>
  <si>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</si>
  <si>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</si>
  <si>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</si>
  <si>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</si>
  <si>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</si>
  <si>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</si>
  <si>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</si>
  <si>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</si>
  <si>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</si>
  <si>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</si>
  <si>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</si>
  <si>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</si>
  <si>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</si>
  <si>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</si>
  <si>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</si>
  <si>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</si>
  <si>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</si>
  <si>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</si>
  <si>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</si>
  <si>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</si>
  <si>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</si>
  <si>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</si>
  <si>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</si>
  <si>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</si>
  <si>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</si>
  <si>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</si>
  <si>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</si>
  <si>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</si>
  <si>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</si>
  <si>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</si>
  <si>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</si>
  <si>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</si>
  <si>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</si>
  <si>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</si>
  <si>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</si>
  <si>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</si>
  <si>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</si>
  <si>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</si>
  <si>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</si>
  <si>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</si>
  <si>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</si>
  <si>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</si>
  <si>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</si>
  <si>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</si>
  <si>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</si>
  <si>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</si>
  <si>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</si>
  <si>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</si>
  <si>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</si>
  <si>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</si>
  <si>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</si>
  <si>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</si>
  <si>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</si>
  <si>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</si>
  <si>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</si>
  <si>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</si>
  <si>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</si>
  <si>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</si>
  <si>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</si>
  <si>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</si>
  <si>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</si>
  <si>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</si>
  <si>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</si>
  <si>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</si>
  <si>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</si>
  <si>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</si>
  <si>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</si>
  <si>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</si>
  <si>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</si>
  <si>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</si>
  <si>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</si>
  <si>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</si>
  <si>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</si>
  <si>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</si>
  <si>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</si>
  <si>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</si>
  <si>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</si>
  <si>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</si>
  <si>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</si>
  <si>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</si>
  <si>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</si>
  <si>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</si>
  <si>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</si>
  <si>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</si>
  <si>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</si>
  <si>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</si>
  <si>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</si>
  <si>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</si>
  <si>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</si>
  <si>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</si>
  <si>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EN PLANILLA QUE ENVIA CAMILA, PEGAR DESDE A22 A I48</t>
  </si>
  <si>
    <t>COTEJAR QUESALARIO ESTE TOMANDO :SUELDO BASE, GRATIFICAICON, BONO SALUD</t>
  </si>
  <si>
    <t>COTEJAR QUE AFP ESTE TOMANDO DESDE SEG ACCIDENTE A CAPITALIZACION INDIVIDUAL</t>
  </si>
  <si>
    <t>TRASPASAR A PLANILLA DE ACUMULADO REMUNERACIONES QUE SE ENVIA A CAROLINA OTALVARO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</si>
</sst>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41" fontId="6" fillId="3" borderId="0" xfId="2" applyFont="1" applyFill="1"/>
    <xf numFmtId="41" fontId="5" fillId="4" borderId="0" xfId="2" applyFont="1" applyFill="1"/>
    <xf numFmtId="41" fontId="6" fillId="5" borderId="0" xfId="2" applyFont="1" applyFill="1"/>
    <xf numFmtId="166" fontId="0" fillId="6" borderId="0" xfId="3" applyNumberFormat="1" applyFont="1" applyFill="1"/>
    <xf numFmtId="41" fontId="6" fillId="4" borderId="0" xfId="2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41" fontId="0" fillId="4" borderId="0" xfId="2" applyFont="1" applyFill="1"/>
    <xf numFmtId="0" fontId="7" fillId="0" borderId="0" xfId="0" applyFont="1"/>
    <xf numFmtId="0" fontId="8" fillId="0" borderId="0" xfId="0" applyFont="1"/>
    <xf numFmtId="42" fontId="8" fillId="0" borderId="0" xfId="0" applyNumberFormat="1" applyFont="1"/>
    <xf numFmtId="0" fontId="0" fillId="11" borderId="0" xfId="0" applyFill="1"/>
    <xf numFmtId="165" fontId="0" fillId="11" borderId="0" xfId="1" applyNumberFormat="1" applyFont="1" applyFill="1"/>
    <xf numFmtId="165" fontId="2" fillId="11" borderId="0" xfId="1" applyNumberFormat="1" applyFont="1" applyFill="1"/>
    <xf numFmtId="0" fontId="8" fillId="0" borderId="0" xfId="0" applyFont="1" applyAlignment="1">
      <alignment horizontal="center" wrapText="1"/>
    </xf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909850</xdr:colOff>
      <xdr:row>19</xdr:row>
      <xdr:rowOff>53075</xdr:rowOff>
    </xdr:from>
    <xdr:to>
      <xdr:col>9</xdr:col>
      <xdr:colOff>432179</xdr:colOff>
      <xdr:row>20</xdr:row>
      <xdr:rowOff>53075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DB0BE32-F58E-E070-4799-51A93C3DD8D5}"/>
            </a:ext>
          </a:extLst>
        </xdr:cNvPr>
        <xdr:cNvCxnSpPr/>
      </xdr:nvCxnSpPr>
      <xdr:spPr>
        <a:xfrm flipV="1">
          <a:off x="7354627" y="3366448"/>
          <a:ext cx="561074" cy="174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689970</xdr:colOff>
      <xdr:row>19</xdr:row>
      <xdr:rowOff>98566</xdr:rowOff>
    </xdr:from>
    <xdr:to>
      <xdr:col>13</xdr:col>
      <xdr:colOff>68239</xdr:colOff>
      <xdr:row>51</xdr:row>
      <xdr:rowOff>113731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D9AE3D7E-C9C3-1224-EC6D-104122480D01}"/>
            </a:ext>
          </a:extLst>
        </xdr:cNvPr>
        <xdr:cNvSpPr/>
      </xdr:nvSpPr>
      <xdr:spPr>
        <a:xfrm>
          <a:off x="4587164" y="3411939"/>
          <a:ext cx="6475105" cy="559558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"/>
  <sheetViews>
    <sheetView showGridLines="0" tabSelected="1" topLeftCell="A13" zoomScale="90" zoomScaleNormal="90" workbookViewId="0">
      <selection activeCell="H35" activeCellId="3" sqref="H23 H27 H39 H35"/>
    </sheetView>
  </sheetViews>
  <sheetFormatPr baseColWidth="10" defaultColWidth="8.796875" defaultRowHeight="14" x14ac:dyDescent="0.3"/>
  <cols>
    <col min="3" max="3" width="10.69921875" bestFit="1" customWidth="1"/>
    <col min="4" max="6" width="14.3984375" customWidth="1"/>
    <col min="8" max="8" width="14.09765625" bestFit="1" customWidth="1"/>
    <col min="9" max="9" width="15.19921875" bestFit="1" customWidth="1"/>
    <col min="12" max="12" width="14.8984375" bestFit="1" customWidth="1"/>
    <col min="13" max="13" width="19" bestFit="1" customWidth="1"/>
    <col min="14" max="14" width="13.796875" customWidth="1"/>
    <col min="16" max="16" width="11.69921875" bestFit="1" customWidth="1"/>
    <col min="17" max="17" width="14.8984375" bestFit="1" customWidth="1"/>
    <col min="18" max="19" width="13.8984375" bestFit="1" customWidth="1"/>
    <col min="20" max="20" width="14.8984375" bestFit="1" customWidth="1"/>
    <col min="21" max="21" width="13.8984375" bestFit="1" customWidth="1"/>
    <col min="22" max="23" width="12.19921875" bestFit="1" customWidth="1"/>
    <col min="24" max="24" width="13.8984375" bestFit="1" customWidth="1"/>
    <col min="25" max="26" width="12.19921875" bestFit="1" customWidth="1"/>
    <col min="27" max="27" width="11.19921875" bestFit="1" customWidth="1"/>
    <col min="28" max="28" width="14.8984375" bestFit="1" customWidth="1"/>
    <col min="29" max="29" width="14.8984375" style="23" bestFit="1" customWidth="1"/>
    <col min="30" max="30" width="12.19921875" bestFit="1" customWidth="1"/>
    <col min="31" max="31" width="13.8984375" bestFit="1" customWidth="1"/>
    <col min="32" max="34" width="12.19921875" bestFit="1" customWidth="1"/>
    <col min="35" max="35" width="11.19921875" bestFit="1" customWidth="1"/>
    <col min="36" max="36" width="15.79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3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I2" t="s">
        <v>43</v>
      </c>
      <c r="J2" t="s">
        <v>44</v>
      </c>
      <c r="K2">
        <v>6.93</v>
      </c>
      <c r="L2" s="1">
        <v>6231500</v>
      </c>
      <c r="M2" t="s">
        <v>45</v>
      </c>
      <c r="N2">
        <v>30</v>
      </c>
      <c r="O2">
        <v>0</v>
      </c>
      <c r="P2">
        <v>0</v>
      </c>
      <c r="Q2" s="1">
        <v>6231500</v>
      </c>
      <c r="R2" s="1">
        <v>213354</v>
      </c>
      <c r="S2" s="1">
        <v>150000</v>
      </c>
      <c r="T2" s="1">
        <v>6594854</v>
      </c>
      <c r="U2" s="1">
        <v>408716</v>
      </c>
      <c r="V2" s="1">
        <v>32186</v>
      </c>
      <c r="W2" s="1">
        <v>0</v>
      </c>
      <c r="X2" s="1">
        <v>249870</v>
      </c>
      <c r="Y2" s="1">
        <v>25452</v>
      </c>
      <c r="Z2" s="1">
        <v>0</v>
      </c>
      <c r="AA2" s="1">
        <v>0</v>
      </c>
      <c r="AB2" s="1">
        <v>580913</v>
      </c>
      <c r="AC2" s="24">
        <v>5297717</v>
      </c>
      <c r="AD2" s="1">
        <v>33197</v>
      </c>
      <c r="AE2" s="1">
        <v>85829</v>
      </c>
      <c r="AF2" s="1">
        <v>42914</v>
      </c>
      <c r="AG2" s="1">
        <v>54971</v>
      </c>
      <c r="AH2" s="1">
        <v>32126</v>
      </c>
      <c r="AI2" s="1">
        <v>3570</v>
      </c>
      <c r="AJ2" s="1">
        <v>6847461</v>
      </c>
    </row>
    <row r="3" spans="1:36" x14ac:dyDescent="0.3">
      <c r="A3" t="s">
        <v>36</v>
      </c>
      <c r="B3" t="s">
        <v>37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I3" t="s">
        <v>51</v>
      </c>
      <c r="J3" t="s">
        <v>52</v>
      </c>
      <c r="K3">
        <v>12.87</v>
      </c>
      <c r="L3" s="1">
        <v>6395833</v>
      </c>
      <c r="M3" t="s">
        <v>53</v>
      </c>
      <c r="N3">
        <v>30</v>
      </c>
      <c r="O3">
        <v>0</v>
      </c>
      <c r="P3">
        <v>0</v>
      </c>
      <c r="Q3" s="1">
        <v>6395833</v>
      </c>
      <c r="R3" s="1">
        <v>213354</v>
      </c>
      <c r="S3" s="1">
        <v>150000</v>
      </c>
      <c r="T3" s="1">
        <v>6759187</v>
      </c>
      <c r="U3" s="1">
        <v>408359</v>
      </c>
      <c r="V3" s="1">
        <v>32186</v>
      </c>
      <c r="W3" s="1">
        <v>0</v>
      </c>
      <c r="X3" s="1">
        <v>249870</v>
      </c>
      <c r="Y3" s="1">
        <v>261147</v>
      </c>
      <c r="Z3" s="1">
        <v>0</v>
      </c>
      <c r="AA3" s="1">
        <v>0</v>
      </c>
      <c r="AB3" s="1">
        <v>618791</v>
      </c>
      <c r="AC3" s="24">
        <v>5188834</v>
      </c>
      <c r="AD3" s="1">
        <v>33197</v>
      </c>
      <c r="AE3" s="1">
        <v>85829</v>
      </c>
      <c r="AF3" s="1">
        <v>42914</v>
      </c>
      <c r="AG3" s="1">
        <v>54971</v>
      </c>
      <c r="AH3" s="1">
        <v>32126</v>
      </c>
      <c r="AI3" s="1">
        <v>3570</v>
      </c>
      <c r="AJ3" s="1">
        <v>7011794</v>
      </c>
    </row>
    <row r="4" spans="1:36" x14ac:dyDescent="0.3">
      <c r="A4" t="s">
        <v>36</v>
      </c>
      <c r="B4" t="s">
        <v>37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52</v>
      </c>
      <c r="K4">
        <v>7.64</v>
      </c>
      <c r="L4" s="1">
        <v>5500000</v>
      </c>
      <c r="M4" t="s">
        <v>45</v>
      </c>
      <c r="N4">
        <v>30</v>
      </c>
      <c r="O4">
        <v>0</v>
      </c>
      <c r="P4">
        <v>0</v>
      </c>
      <c r="Q4" s="1">
        <v>5500000</v>
      </c>
      <c r="R4" s="1">
        <v>213354</v>
      </c>
      <c r="S4" s="1">
        <v>150000</v>
      </c>
      <c r="T4" s="1">
        <v>5863354</v>
      </c>
      <c r="U4" s="1">
        <v>402291</v>
      </c>
      <c r="V4" s="1">
        <v>0</v>
      </c>
      <c r="W4" s="1">
        <v>0</v>
      </c>
      <c r="X4" s="1">
        <v>249870</v>
      </c>
      <c r="Y4" s="1">
        <v>53484</v>
      </c>
      <c r="Z4" s="1">
        <v>0</v>
      </c>
      <c r="AA4" s="1">
        <v>0</v>
      </c>
      <c r="AB4" s="1">
        <v>421548</v>
      </c>
      <c r="AC4" s="24">
        <v>4736161</v>
      </c>
      <c r="AD4" s="1">
        <v>33197</v>
      </c>
      <c r="AE4" s="1">
        <v>150200</v>
      </c>
      <c r="AF4" s="1">
        <v>10729</v>
      </c>
      <c r="AG4" s="1">
        <v>54971</v>
      </c>
      <c r="AH4" s="1">
        <v>32126</v>
      </c>
      <c r="AI4" s="1">
        <v>3570</v>
      </c>
      <c r="AJ4" s="1">
        <v>6148147</v>
      </c>
    </row>
    <row r="5" spans="1:36" x14ac:dyDescent="0.3">
      <c r="A5" t="s">
        <v>36</v>
      </c>
      <c r="B5" t="s">
        <v>37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I5" t="s">
        <v>51</v>
      </c>
      <c r="J5" t="s">
        <v>66</v>
      </c>
      <c r="K5">
        <v>7.33</v>
      </c>
      <c r="L5" s="1">
        <v>7500000</v>
      </c>
      <c r="M5" t="s">
        <v>53</v>
      </c>
      <c r="N5">
        <v>30</v>
      </c>
      <c r="O5">
        <v>0</v>
      </c>
      <c r="P5">
        <v>0</v>
      </c>
      <c r="Q5" s="1">
        <v>7500000</v>
      </c>
      <c r="R5" s="1">
        <v>213354</v>
      </c>
      <c r="S5" s="1">
        <v>150000</v>
      </c>
      <c r="T5" s="1">
        <v>7863354</v>
      </c>
      <c r="U5" s="1">
        <v>408359</v>
      </c>
      <c r="V5" s="1">
        <v>32186</v>
      </c>
      <c r="W5" s="1">
        <v>0</v>
      </c>
      <c r="X5" s="1">
        <v>249870</v>
      </c>
      <c r="Y5" s="1">
        <v>41374</v>
      </c>
      <c r="Z5" s="1">
        <v>0</v>
      </c>
      <c r="AA5" s="1">
        <v>50000</v>
      </c>
      <c r="AB5" s="1">
        <v>923806</v>
      </c>
      <c r="AC5" s="24">
        <v>6157759</v>
      </c>
      <c r="AD5" s="1">
        <v>33197</v>
      </c>
      <c r="AE5" s="1">
        <v>85829</v>
      </c>
      <c r="AF5" s="1">
        <v>42914</v>
      </c>
      <c r="AG5" s="1">
        <v>54971</v>
      </c>
      <c r="AH5" s="1">
        <v>32126</v>
      </c>
      <c r="AI5" s="1">
        <v>3570</v>
      </c>
      <c r="AJ5" s="1">
        <v>8115961</v>
      </c>
    </row>
    <row r="6" spans="1:36" x14ac:dyDescent="0.3">
      <c r="A6" t="s">
        <v>36</v>
      </c>
      <c r="B6" t="s">
        <v>37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I6" t="s">
        <v>72</v>
      </c>
      <c r="J6" t="s">
        <v>73</v>
      </c>
      <c r="L6" s="1">
        <v>1500000</v>
      </c>
      <c r="M6" t="s">
        <v>45</v>
      </c>
      <c r="N6">
        <v>0</v>
      </c>
      <c r="O6">
        <v>0</v>
      </c>
      <c r="P6">
        <v>30</v>
      </c>
      <c r="Q6" s="1">
        <v>0</v>
      </c>
      <c r="R6" s="1">
        <v>0</v>
      </c>
      <c r="S6" s="1">
        <v>150000</v>
      </c>
      <c r="T6" s="1">
        <v>150000</v>
      </c>
      <c r="U6" s="1">
        <v>15870</v>
      </c>
      <c r="V6" s="1">
        <v>900</v>
      </c>
      <c r="W6" s="1">
        <v>10500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24">
        <v>122730</v>
      </c>
      <c r="AD6" s="1">
        <v>1966</v>
      </c>
      <c r="AE6" s="1">
        <v>32848</v>
      </c>
      <c r="AF6" s="1">
        <v>16424</v>
      </c>
      <c r="AG6" s="1">
        <v>31616</v>
      </c>
      <c r="AH6" s="1">
        <v>18477</v>
      </c>
      <c r="AI6" s="1">
        <v>150</v>
      </c>
      <c r="AJ6" s="1">
        <v>251481</v>
      </c>
    </row>
    <row r="7" spans="1:36" x14ac:dyDescent="0.3">
      <c r="A7" t="s">
        <v>36</v>
      </c>
      <c r="B7" t="s">
        <v>37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I7" t="s">
        <v>60</v>
      </c>
      <c r="J7" t="s">
        <v>66</v>
      </c>
      <c r="K7">
        <v>9.75</v>
      </c>
      <c r="L7" s="1">
        <v>6562600</v>
      </c>
      <c r="M7" t="s">
        <v>53</v>
      </c>
      <c r="N7">
        <v>30</v>
      </c>
      <c r="O7">
        <v>1</v>
      </c>
      <c r="P7">
        <v>0</v>
      </c>
      <c r="Q7" s="1">
        <v>6562600</v>
      </c>
      <c r="R7" s="1">
        <v>213354</v>
      </c>
      <c r="S7" s="1">
        <v>150000</v>
      </c>
      <c r="T7" s="1">
        <v>6925954</v>
      </c>
      <c r="U7" s="1">
        <v>402291</v>
      </c>
      <c r="V7" s="1">
        <v>32186</v>
      </c>
      <c r="W7" s="1">
        <v>0</v>
      </c>
      <c r="X7" s="1">
        <v>249870</v>
      </c>
      <c r="Y7" s="1">
        <v>137105</v>
      </c>
      <c r="Z7" s="1">
        <v>158824</v>
      </c>
      <c r="AA7" s="1">
        <v>0</v>
      </c>
      <c r="AB7" s="1">
        <v>658543</v>
      </c>
      <c r="AC7" s="24">
        <v>5287135</v>
      </c>
      <c r="AD7" s="1">
        <v>33197</v>
      </c>
      <c r="AE7" s="1">
        <v>85829</v>
      </c>
      <c r="AF7" s="1">
        <v>42914</v>
      </c>
      <c r="AG7" s="1">
        <v>54971</v>
      </c>
      <c r="AH7" s="1">
        <v>32126</v>
      </c>
      <c r="AI7" s="1">
        <v>3570</v>
      </c>
      <c r="AJ7" s="1">
        <v>7178561</v>
      </c>
    </row>
    <row r="8" spans="1:36" x14ac:dyDescent="0.3">
      <c r="A8" t="s">
        <v>36</v>
      </c>
      <c r="B8" t="s">
        <v>37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I8" t="s">
        <v>72</v>
      </c>
      <c r="J8" t="s">
        <v>66</v>
      </c>
      <c r="K8">
        <v>6.89</v>
      </c>
      <c r="L8" s="1">
        <v>6825000</v>
      </c>
      <c r="M8" t="s">
        <v>53</v>
      </c>
      <c r="N8">
        <v>30</v>
      </c>
      <c r="O8">
        <v>2</v>
      </c>
      <c r="P8">
        <v>0</v>
      </c>
      <c r="Q8" s="1">
        <v>6825000</v>
      </c>
      <c r="R8" s="1">
        <v>213354</v>
      </c>
      <c r="S8" s="1">
        <v>150000</v>
      </c>
      <c r="T8" s="1">
        <v>7188354</v>
      </c>
      <c r="U8" s="1">
        <v>377661</v>
      </c>
      <c r="V8" s="1">
        <v>32186</v>
      </c>
      <c r="W8" s="1">
        <v>0</v>
      </c>
      <c r="X8" s="1">
        <v>249870</v>
      </c>
      <c r="Y8" s="1">
        <v>23824</v>
      </c>
      <c r="Z8" s="1">
        <v>0</v>
      </c>
      <c r="AA8" s="1">
        <v>0</v>
      </c>
      <c r="AB8" s="1">
        <v>743138</v>
      </c>
      <c r="AC8" s="24">
        <v>5761675</v>
      </c>
      <c r="AD8" s="1">
        <v>33197</v>
      </c>
      <c r="AE8" s="1">
        <v>85829</v>
      </c>
      <c r="AF8" s="1">
        <v>42914</v>
      </c>
      <c r="AG8" s="1">
        <v>54971</v>
      </c>
      <c r="AH8" s="1">
        <v>32126</v>
      </c>
      <c r="AI8" s="1">
        <v>3570</v>
      </c>
      <c r="AJ8" s="1">
        <v>7440961</v>
      </c>
    </row>
    <row r="9" spans="1:36" x14ac:dyDescent="0.3">
      <c r="A9" t="s">
        <v>36</v>
      </c>
      <c r="B9" t="s">
        <v>37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72</v>
      </c>
      <c r="J9" t="s">
        <v>90</v>
      </c>
      <c r="K9">
        <v>6.51</v>
      </c>
      <c r="L9" s="1">
        <v>5500000</v>
      </c>
      <c r="M9" t="s">
        <v>53</v>
      </c>
      <c r="N9">
        <v>27</v>
      </c>
      <c r="O9">
        <v>0</v>
      </c>
      <c r="P9">
        <v>0</v>
      </c>
      <c r="Q9" s="1">
        <v>4950000</v>
      </c>
      <c r="R9" s="1">
        <v>213354</v>
      </c>
      <c r="S9" s="1">
        <v>150000</v>
      </c>
      <c r="T9" s="1">
        <v>5313354</v>
      </c>
      <c r="U9" s="1">
        <v>377661</v>
      </c>
      <c r="V9" s="1">
        <v>0</v>
      </c>
      <c r="W9" s="1">
        <v>0</v>
      </c>
      <c r="X9" s="1">
        <v>249870</v>
      </c>
      <c r="Y9" s="1">
        <v>8775</v>
      </c>
      <c r="Z9" s="1">
        <v>0</v>
      </c>
      <c r="AA9" s="1">
        <v>0</v>
      </c>
      <c r="AB9" s="1">
        <v>319404</v>
      </c>
      <c r="AC9" s="24">
        <v>4357644</v>
      </c>
      <c r="AD9" s="1">
        <v>33197</v>
      </c>
      <c r="AE9" s="1">
        <v>148774</v>
      </c>
      <c r="AF9" s="1">
        <v>10627</v>
      </c>
      <c r="AG9" s="1">
        <v>54971</v>
      </c>
      <c r="AH9" s="1">
        <v>32126</v>
      </c>
      <c r="AI9" s="1">
        <v>3570</v>
      </c>
      <c r="AJ9" s="1">
        <v>5596619</v>
      </c>
    </row>
    <row r="10" spans="1:36" x14ac:dyDescent="0.3">
      <c r="A10" t="s">
        <v>36</v>
      </c>
      <c r="B10" t="s">
        <v>37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I10" t="s">
        <v>96</v>
      </c>
      <c r="J10" t="s">
        <v>73</v>
      </c>
      <c r="L10" s="1">
        <v>1750000</v>
      </c>
      <c r="M10" t="s">
        <v>97</v>
      </c>
      <c r="N10">
        <v>30</v>
      </c>
      <c r="O10">
        <v>0</v>
      </c>
      <c r="P10">
        <v>0</v>
      </c>
      <c r="Q10" s="1">
        <v>1750000</v>
      </c>
      <c r="R10" s="1">
        <v>213354</v>
      </c>
      <c r="S10" s="1">
        <v>150000</v>
      </c>
      <c r="T10" s="1">
        <v>2113354</v>
      </c>
      <c r="U10" s="1">
        <v>221057</v>
      </c>
      <c r="V10" s="1">
        <v>12680</v>
      </c>
      <c r="W10" s="1">
        <v>147935</v>
      </c>
      <c r="X10" s="1">
        <v>0</v>
      </c>
      <c r="Y10" s="1">
        <v>0</v>
      </c>
      <c r="Z10" s="1">
        <v>0</v>
      </c>
      <c r="AA10" s="1">
        <v>0</v>
      </c>
      <c r="AB10" s="1">
        <v>31602</v>
      </c>
      <c r="AC10" s="24">
        <v>1700080</v>
      </c>
      <c r="AD10" s="1">
        <v>19654</v>
      </c>
      <c r="AE10" s="1">
        <v>33814</v>
      </c>
      <c r="AF10" s="1">
        <v>16907</v>
      </c>
      <c r="AG10" s="1">
        <v>32546</v>
      </c>
      <c r="AH10" s="1">
        <v>19020</v>
      </c>
      <c r="AI10" s="1">
        <v>2113</v>
      </c>
      <c r="AJ10" s="1">
        <v>2237408</v>
      </c>
    </row>
    <row r="11" spans="1:36" x14ac:dyDescent="0.3">
      <c r="A11" t="s">
        <v>36</v>
      </c>
      <c r="B11" t="s">
        <v>37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I11" t="s">
        <v>103</v>
      </c>
      <c r="J11" t="s">
        <v>104</v>
      </c>
      <c r="K11">
        <v>6.66</v>
      </c>
      <c r="L11" s="1">
        <v>5500000</v>
      </c>
      <c r="M11" t="s">
        <v>53</v>
      </c>
      <c r="N11">
        <v>30</v>
      </c>
      <c r="O11">
        <v>0</v>
      </c>
      <c r="P11">
        <v>0</v>
      </c>
      <c r="Q11" s="1">
        <v>5500000</v>
      </c>
      <c r="R11" s="1">
        <v>213354</v>
      </c>
      <c r="S11" s="1">
        <v>150000</v>
      </c>
      <c r="T11" s="1">
        <v>5863354</v>
      </c>
      <c r="U11" s="1">
        <v>398365</v>
      </c>
      <c r="V11" s="1">
        <v>32186</v>
      </c>
      <c r="W11" s="1">
        <v>0</v>
      </c>
      <c r="X11" s="1">
        <v>249870</v>
      </c>
      <c r="Y11" s="1">
        <v>14453</v>
      </c>
      <c r="Z11" s="1">
        <v>0</v>
      </c>
      <c r="AA11" s="1">
        <v>0</v>
      </c>
      <c r="AB11" s="1">
        <v>415048</v>
      </c>
      <c r="AC11" s="24">
        <v>4753432</v>
      </c>
      <c r="AD11" s="1">
        <v>33197</v>
      </c>
      <c r="AE11" s="1">
        <v>85829</v>
      </c>
      <c r="AF11" s="1">
        <v>42914</v>
      </c>
      <c r="AG11" s="1">
        <v>54971</v>
      </c>
      <c r="AH11" s="1">
        <v>32126</v>
      </c>
      <c r="AI11" s="1">
        <v>3570</v>
      </c>
      <c r="AJ11" s="1">
        <v>6115961</v>
      </c>
    </row>
    <row r="12" spans="1:36" x14ac:dyDescent="0.3">
      <c r="A12" t="s">
        <v>36</v>
      </c>
      <c r="B12" t="s">
        <v>37</v>
      </c>
      <c r="C12" t="s">
        <v>105</v>
      </c>
      <c r="D12" t="s">
        <v>106</v>
      </c>
      <c r="E12" t="s">
        <v>107</v>
      </c>
      <c r="F12" t="s">
        <v>101</v>
      </c>
      <c r="G12" t="s">
        <v>108</v>
      </c>
      <c r="I12" t="s">
        <v>103</v>
      </c>
      <c r="J12" t="s">
        <v>109</v>
      </c>
      <c r="K12">
        <v>6.29</v>
      </c>
      <c r="L12" s="1">
        <v>4510000</v>
      </c>
      <c r="M12" t="s">
        <v>45</v>
      </c>
      <c r="N12">
        <v>30</v>
      </c>
      <c r="O12">
        <v>5</v>
      </c>
      <c r="P12">
        <v>0</v>
      </c>
      <c r="Q12" s="1">
        <v>4510000</v>
      </c>
      <c r="R12" s="1">
        <v>213354</v>
      </c>
      <c r="S12" s="1">
        <v>150000</v>
      </c>
      <c r="T12" s="1">
        <v>4873354</v>
      </c>
      <c r="U12" s="1">
        <v>398365</v>
      </c>
      <c r="V12" s="1">
        <v>29240</v>
      </c>
      <c r="W12" s="1">
        <v>0</v>
      </c>
      <c r="X12" s="1">
        <v>249870</v>
      </c>
      <c r="Y12" s="1">
        <v>0</v>
      </c>
      <c r="Z12" s="1">
        <v>0</v>
      </c>
      <c r="AA12" s="1">
        <v>0</v>
      </c>
      <c r="AB12" s="1">
        <v>253262</v>
      </c>
      <c r="AC12" s="24">
        <v>3942617</v>
      </c>
      <c r="AD12" s="1">
        <v>33197</v>
      </c>
      <c r="AE12" s="1">
        <v>77974</v>
      </c>
      <c r="AF12" s="1">
        <v>38987</v>
      </c>
      <c r="AG12" s="1">
        <v>54971</v>
      </c>
      <c r="AH12" s="1">
        <v>32126</v>
      </c>
      <c r="AI12" s="1">
        <v>3570</v>
      </c>
      <c r="AJ12" s="1">
        <v>5114179</v>
      </c>
    </row>
    <row r="13" spans="1:36" x14ac:dyDescent="0.3">
      <c r="A13" t="s">
        <v>36</v>
      </c>
      <c r="B13" t="s">
        <v>37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I13" t="s">
        <v>103</v>
      </c>
      <c r="J13" t="s">
        <v>44</v>
      </c>
      <c r="K13">
        <v>7.2</v>
      </c>
      <c r="L13" s="1">
        <v>5500000</v>
      </c>
      <c r="M13" t="s">
        <v>53</v>
      </c>
      <c r="N13">
        <v>30</v>
      </c>
      <c r="O13">
        <v>0</v>
      </c>
      <c r="P13">
        <v>0</v>
      </c>
      <c r="Q13" s="1">
        <v>5500000</v>
      </c>
      <c r="R13" s="1">
        <v>213354</v>
      </c>
      <c r="S13" s="1">
        <v>150000</v>
      </c>
      <c r="T13" s="1">
        <v>5863354</v>
      </c>
      <c r="U13" s="1">
        <v>398365</v>
      </c>
      <c r="V13" s="1">
        <v>32186</v>
      </c>
      <c r="W13" s="1">
        <v>0</v>
      </c>
      <c r="X13" s="1">
        <v>249870</v>
      </c>
      <c r="Y13" s="1">
        <v>35855</v>
      </c>
      <c r="Z13" s="1">
        <v>0</v>
      </c>
      <c r="AA13" s="1">
        <v>0</v>
      </c>
      <c r="AB13" s="1">
        <v>415048</v>
      </c>
      <c r="AC13" s="24">
        <v>4732030</v>
      </c>
      <c r="AD13" s="1">
        <v>33197</v>
      </c>
      <c r="AE13" s="1">
        <v>85829</v>
      </c>
      <c r="AF13" s="1">
        <v>42914</v>
      </c>
      <c r="AG13" s="1">
        <v>54971</v>
      </c>
      <c r="AH13" s="1">
        <v>32126</v>
      </c>
      <c r="AI13" s="1">
        <v>3570</v>
      </c>
      <c r="AJ13" s="1">
        <v>6115961</v>
      </c>
    </row>
    <row r="14" spans="1:36" x14ac:dyDescent="0.3">
      <c r="A14" t="s">
        <v>36</v>
      </c>
      <c r="B14" t="s">
        <v>37</v>
      </c>
      <c r="C14" t="s">
        <v>115</v>
      </c>
      <c r="D14" t="s">
        <v>116</v>
      </c>
      <c r="E14" t="s">
        <v>117</v>
      </c>
      <c r="F14" t="s">
        <v>118</v>
      </c>
      <c r="G14" t="s">
        <v>108</v>
      </c>
      <c r="I14" t="s">
        <v>72</v>
      </c>
      <c r="J14" t="s">
        <v>119</v>
      </c>
      <c r="K14">
        <v>12</v>
      </c>
      <c r="L14" s="1">
        <v>10596548</v>
      </c>
      <c r="M14" t="s">
        <v>120</v>
      </c>
      <c r="N14">
        <v>30</v>
      </c>
      <c r="O14">
        <v>2</v>
      </c>
      <c r="P14">
        <v>0</v>
      </c>
      <c r="Q14" s="1">
        <v>10596548</v>
      </c>
      <c r="R14" s="1">
        <v>213354</v>
      </c>
      <c r="S14" s="1">
        <v>150000</v>
      </c>
      <c r="T14" s="1">
        <v>10959902</v>
      </c>
      <c r="U14" s="1">
        <v>377661</v>
      </c>
      <c r="V14" s="1">
        <v>32186</v>
      </c>
      <c r="W14" s="1">
        <v>0</v>
      </c>
      <c r="X14" s="1">
        <v>249870</v>
      </c>
      <c r="Y14" s="1">
        <v>226603</v>
      </c>
      <c r="Z14" s="1">
        <v>0</v>
      </c>
      <c r="AA14" s="1">
        <v>0</v>
      </c>
      <c r="AB14" s="1">
        <v>1978471</v>
      </c>
      <c r="AC14" s="24">
        <v>8095111</v>
      </c>
      <c r="AD14" s="1">
        <v>33197</v>
      </c>
      <c r="AE14" s="1">
        <v>85829</v>
      </c>
      <c r="AF14" s="1">
        <v>42914</v>
      </c>
      <c r="AG14" s="1">
        <v>54971</v>
      </c>
      <c r="AH14" s="1">
        <v>32126</v>
      </c>
      <c r="AI14" s="1">
        <v>3570</v>
      </c>
      <c r="AJ14" s="1">
        <v>11212509</v>
      </c>
    </row>
    <row r="15" spans="1:36" s="23" customFormat="1" x14ac:dyDescent="0.3">
      <c r="A15" s="23" t="s">
        <v>36</v>
      </c>
      <c r="B15" s="23" t="s">
        <v>37</v>
      </c>
      <c r="C15" s="23" t="s">
        <v>121</v>
      </c>
      <c r="D15" s="23" t="s">
        <v>122</v>
      </c>
      <c r="E15" s="23" t="s">
        <v>123</v>
      </c>
      <c r="F15" s="23" t="s">
        <v>124</v>
      </c>
      <c r="G15" s="23" t="s">
        <v>125</v>
      </c>
      <c r="I15" s="23" t="s">
        <v>72</v>
      </c>
      <c r="J15" s="23" t="s">
        <v>73</v>
      </c>
      <c r="L15" s="24">
        <v>16896374</v>
      </c>
      <c r="M15" s="23" t="s">
        <v>45</v>
      </c>
      <c r="N15" s="23">
        <v>30</v>
      </c>
      <c r="O15" s="23">
        <v>6</v>
      </c>
      <c r="P15" s="23">
        <v>0</v>
      </c>
      <c r="Q15" s="24">
        <v>16896374</v>
      </c>
      <c r="R15" s="24">
        <v>213354</v>
      </c>
      <c r="S15" s="24">
        <v>150000</v>
      </c>
      <c r="T15" s="24">
        <v>17259728</v>
      </c>
      <c r="U15" s="24">
        <v>377661</v>
      </c>
      <c r="V15" s="24">
        <v>32186</v>
      </c>
      <c r="W15" s="24">
        <v>249870</v>
      </c>
      <c r="X15" s="24">
        <v>0</v>
      </c>
      <c r="Y15" s="24">
        <v>0</v>
      </c>
      <c r="Z15" s="24">
        <v>0</v>
      </c>
      <c r="AA15" s="24">
        <v>0</v>
      </c>
      <c r="AB15" s="24">
        <v>4183411</v>
      </c>
      <c r="AC15" s="24">
        <v>12416600</v>
      </c>
      <c r="AD15" s="24">
        <v>33197</v>
      </c>
      <c r="AE15" s="24">
        <v>85829</v>
      </c>
      <c r="AF15" s="24">
        <v>42914</v>
      </c>
      <c r="AG15" s="24">
        <v>54971</v>
      </c>
      <c r="AH15" s="24">
        <v>32126</v>
      </c>
      <c r="AI15" s="24">
        <v>3570</v>
      </c>
      <c r="AJ15" s="24">
        <v>17512335</v>
      </c>
    </row>
    <row r="16" spans="1:36" s="23" customFormat="1" x14ac:dyDescent="0.3">
      <c r="A16" s="23" t="s">
        <v>36</v>
      </c>
      <c r="B16" s="23" t="s">
        <v>37</v>
      </c>
      <c r="C16" s="23" t="s">
        <v>126</v>
      </c>
      <c r="D16" s="23" t="s">
        <v>127</v>
      </c>
      <c r="E16" s="23" t="s">
        <v>128</v>
      </c>
      <c r="F16" s="23" t="s">
        <v>129</v>
      </c>
      <c r="G16" s="23" t="s">
        <v>130</v>
      </c>
      <c r="I16" s="23" t="s">
        <v>96</v>
      </c>
      <c r="J16" s="23" t="s">
        <v>52</v>
      </c>
      <c r="K16" s="23">
        <v>6.43</v>
      </c>
      <c r="L16" s="24">
        <v>3075000</v>
      </c>
      <c r="M16" s="23" t="s">
        <v>53</v>
      </c>
      <c r="N16" s="23">
        <v>30</v>
      </c>
      <c r="O16" s="23">
        <v>1</v>
      </c>
      <c r="P16" s="23">
        <v>0</v>
      </c>
      <c r="Q16" s="24">
        <v>3075000</v>
      </c>
      <c r="R16" s="24">
        <v>213354</v>
      </c>
      <c r="S16" s="24">
        <v>150000</v>
      </c>
      <c r="T16" s="24">
        <v>3438354</v>
      </c>
      <c r="U16" s="24">
        <v>359652</v>
      </c>
      <c r="V16" s="24">
        <v>20630</v>
      </c>
      <c r="W16" s="24">
        <v>0</v>
      </c>
      <c r="X16" s="24">
        <v>240685</v>
      </c>
      <c r="Y16" s="24">
        <v>14466</v>
      </c>
      <c r="Z16" s="24">
        <v>0</v>
      </c>
      <c r="AA16" s="24">
        <v>0</v>
      </c>
      <c r="AB16" s="24">
        <v>103289</v>
      </c>
      <c r="AC16" s="24">
        <v>2699632</v>
      </c>
      <c r="AD16" s="24">
        <v>31977</v>
      </c>
      <c r="AE16" s="24">
        <v>55014</v>
      </c>
      <c r="AF16" s="24">
        <v>27507</v>
      </c>
      <c r="AG16" s="24">
        <v>52951</v>
      </c>
      <c r="AH16" s="24">
        <v>30945</v>
      </c>
      <c r="AI16" s="24">
        <v>3438</v>
      </c>
      <c r="AJ16" s="24">
        <v>3640186</v>
      </c>
    </row>
    <row r="17" spans="1:36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24"/>
      <c r="AD17" s="1"/>
      <c r="AE17" s="1"/>
      <c r="AF17" s="1"/>
      <c r="AG17" s="1"/>
      <c r="AH17" s="1"/>
      <c r="AI17" s="1"/>
      <c r="AJ17" s="1"/>
    </row>
    <row r="18" spans="1:36" s="2" customFormat="1" x14ac:dyDescent="0.3">
      <c r="A18" s="2" t="s">
        <v>131</v>
      </c>
      <c r="B18" s="2" t="s">
        <v>131</v>
      </c>
      <c r="C18" s="2" t="s">
        <v>131</v>
      </c>
      <c r="D18" s="2" t="s">
        <v>131</v>
      </c>
      <c r="E18" s="2" t="s">
        <v>131</v>
      </c>
      <c r="F18" s="2" t="s">
        <v>131</v>
      </c>
      <c r="G18" s="2" t="s">
        <v>131</v>
      </c>
      <c r="H18" s="2" t="s">
        <v>131</v>
      </c>
      <c r="I18" s="2" t="s">
        <v>131</v>
      </c>
      <c r="J18" s="2" t="s">
        <v>131</v>
      </c>
      <c r="K18" s="2" t="s">
        <v>131</v>
      </c>
      <c r="L18" s="2" t="s">
        <v>131</v>
      </c>
      <c r="M18" s="2" t="s">
        <v>131</v>
      </c>
      <c r="N18" s="2" t="s">
        <v>131</v>
      </c>
      <c r="O18" s="2" t="s">
        <v>131</v>
      </c>
      <c r="P18" s="2" t="s">
        <v>131</v>
      </c>
      <c r="Q18" s="3">
        <f>SUM(Q2:Q17)</f>
        <v>91792855</v>
      </c>
      <c r="R18" s="3">
        <f t="shared" ref="R18:AJ18" si="0">SUM(R2:R17)</f>
        <v>2986956</v>
      </c>
      <c r="S18" s="3">
        <f t="shared" si="0"/>
        <v>2250000</v>
      </c>
      <c r="T18" s="3">
        <f t="shared" si="0"/>
        <v>97029811</v>
      </c>
      <c r="U18" s="3">
        <f t="shared" si="0"/>
        <v>5332334</v>
      </c>
      <c r="V18" s="3">
        <f t="shared" si="0"/>
        <v>353124</v>
      </c>
      <c r="W18" s="3">
        <f t="shared" si="0"/>
        <v>408305</v>
      </c>
      <c r="X18" s="3">
        <f t="shared" si="0"/>
        <v>2989255</v>
      </c>
      <c r="Y18" s="3">
        <f t="shared" si="0"/>
        <v>842538</v>
      </c>
      <c r="Z18" s="3">
        <f t="shared" si="0"/>
        <v>158824</v>
      </c>
      <c r="AA18" s="3">
        <f t="shared" si="0"/>
        <v>50000</v>
      </c>
      <c r="AB18" s="3">
        <f t="shared" si="0"/>
        <v>11646274</v>
      </c>
      <c r="AC18" s="25">
        <f t="shared" si="0"/>
        <v>75249157</v>
      </c>
      <c r="AD18" s="3">
        <f t="shared" si="0"/>
        <v>451961</v>
      </c>
      <c r="AE18" s="3">
        <f t="shared" si="0"/>
        <v>1271085</v>
      </c>
      <c r="AF18" s="3">
        <f t="shared" si="0"/>
        <v>507407</v>
      </c>
      <c r="AG18" s="3">
        <f t="shared" si="0"/>
        <v>776765</v>
      </c>
      <c r="AH18" s="3">
        <f t="shared" si="0"/>
        <v>453954</v>
      </c>
      <c r="AI18" s="3">
        <f t="shared" si="0"/>
        <v>48541</v>
      </c>
      <c r="AJ18" s="3">
        <f t="shared" si="0"/>
        <v>100539524</v>
      </c>
    </row>
    <row r="19" spans="1:36" x14ac:dyDescent="0.3">
      <c r="A19" s="21" t="s">
        <v>149</v>
      </c>
      <c r="B19" t="s">
        <v>131</v>
      </c>
      <c r="C19" t="s">
        <v>131</v>
      </c>
      <c r="D19" t="s">
        <v>131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s="23" t="s">
        <v>131</v>
      </c>
      <c r="AD19" t="s">
        <v>131</v>
      </c>
      <c r="AE19" t="s">
        <v>131</v>
      </c>
      <c r="AF19" t="s">
        <v>131</v>
      </c>
      <c r="AG19" t="s">
        <v>131</v>
      </c>
      <c r="AH19" t="s">
        <v>131</v>
      </c>
      <c r="AI19" t="s">
        <v>131</v>
      </c>
      <c r="AJ19" t="s">
        <v>131</v>
      </c>
    </row>
    <row r="20" spans="1:36" x14ac:dyDescent="0.3">
      <c r="A20" s="20" t="s">
        <v>150</v>
      </c>
    </row>
    <row r="21" spans="1:36" x14ac:dyDescent="0.3">
      <c r="A21" s="20" t="s">
        <v>151</v>
      </c>
      <c r="H21" s="22">
        <f>H22-AJ18</f>
        <v>0</v>
      </c>
      <c r="I21" s="22">
        <f>I22-AJ18</f>
        <v>0</v>
      </c>
    </row>
    <row r="22" spans="1:36" x14ac:dyDescent="0.3">
      <c r="D22" s="4" t="s">
        <v>132</v>
      </c>
      <c r="E22" s="5" t="s">
        <v>133</v>
      </c>
      <c r="F22" s="5"/>
      <c r="G22" s="5" t="s">
        <v>134</v>
      </c>
      <c r="H22" s="6">
        <f>SUM(H23:H48)</f>
        <v>100539524</v>
      </c>
      <c r="I22" s="6">
        <f>SUM(I23:I48)</f>
        <v>100539524</v>
      </c>
    </row>
    <row r="23" spans="1:36" x14ac:dyDescent="0.3">
      <c r="C23" s="7" t="s">
        <v>53</v>
      </c>
      <c r="D23">
        <v>5011</v>
      </c>
      <c r="E23" s="8" t="s">
        <v>135</v>
      </c>
      <c r="F23" s="9" t="s">
        <v>136</v>
      </c>
      <c r="G23" s="8">
        <v>7020201</v>
      </c>
      <c r="H23" s="10">
        <f>SUMIF($M$2:$M$16,C23,$Q$2:$Q$16)+SUMIF($M$2:$M$16,C23,$S$2:$S$16)++SUMIF($M$2:$M$16,C23,$R$2:$R$16)</f>
        <v>49215265</v>
      </c>
      <c r="I23" s="11"/>
    </row>
    <row r="24" spans="1:36" x14ac:dyDescent="0.3">
      <c r="C24" s="7" t="s">
        <v>53</v>
      </c>
      <c r="D24">
        <v>5012</v>
      </c>
      <c r="E24" s="8" t="s">
        <v>137</v>
      </c>
      <c r="F24" s="9" t="s">
        <v>136</v>
      </c>
      <c r="G24" s="8">
        <v>7020202</v>
      </c>
      <c r="H24" s="12">
        <v>0</v>
      </c>
      <c r="I24" s="11"/>
    </row>
    <row r="25" spans="1:36" x14ac:dyDescent="0.3">
      <c r="C25" s="7" t="s">
        <v>53</v>
      </c>
      <c r="D25">
        <v>5013</v>
      </c>
      <c r="E25" s="8" t="s">
        <v>20</v>
      </c>
      <c r="F25" s="9" t="s">
        <v>136</v>
      </c>
      <c r="G25" s="8">
        <v>7020203</v>
      </c>
      <c r="H25" s="13">
        <f>SUMIF($M$2:$M$16,C25,$AF$2:$AF$16)+SUMIF($M$2:$M$16,C25,$AI$2:$AI$16)+SUMIF($M$2:$M$16,C25,$AH$2:$AH$16)+SUMIF($M$2:$M$16,C25,$AG$2:$AG$16)+SUMIF($M$2:$M$16,C25,$AE$2:$AE$16)+SUMIF($M$2:$M$16,C25,$AD$2:$AD$16)</f>
        <v>2000739</v>
      </c>
      <c r="I25" s="11"/>
    </row>
    <row r="26" spans="1:36" x14ac:dyDescent="0.3">
      <c r="C26" s="7" t="s">
        <v>53</v>
      </c>
      <c r="D26">
        <v>5015</v>
      </c>
      <c r="E26" s="8" t="s">
        <v>138</v>
      </c>
      <c r="F26" s="9" t="s">
        <v>136</v>
      </c>
      <c r="G26" s="8">
        <v>7020204</v>
      </c>
      <c r="H26" s="14"/>
      <c r="I26" s="11"/>
    </row>
    <row r="27" spans="1:36" x14ac:dyDescent="0.3">
      <c r="C27" s="7" t="s">
        <v>45</v>
      </c>
      <c r="D27">
        <v>6306</v>
      </c>
      <c r="E27" s="8" t="s">
        <v>135</v>
      </c>
      <c r="F27" s="15" t="s">
        <v>139</v>
      </c>
      <c r="G27" s="8">
        <v>8050117</v>
      </c>
      <c r="H27" s="10">
        <f>SUMIF($M$2:$M$16,C27,$Q$2:$Q$16)+SUMIF($M$2:$M$16,C27,$S$2:$S$16)++SUMIF($M$2:$M$16,C27,$R$2:$R$16)</f>
        <v>34741290</v>
      </c>
      <c r="I27" s="11"/>
    </row>
    <row r="28" spans="1:36" x14ac:dyDescent="0.3">
      <c r="C28" s="7" t="s">
        <v>45</v>
      </c>
      <c r="D28">
        <v>6307</v>
      </c>
      <c r="E28" s="8" t="s">
        <v>137</v>
      </c>
      <c r="F28" s="15" t="s">
        <v>139</v>
      </c>
      <c r="G28" s="8">
        <v>8050118</v>
      </c>
      <c r="H28" s="12">
        <v>0</v>
      </c>
      <c r="I28" s="11"/>
    </row>
    <row r="29" spans="1:36" x14ac:dyDescent="0.3">
      <c r="C29" s="7" t="s">
        <v>45</v>
      </c>
      <c r="D29">
        <v>6308</v>
      </c>
      <c r="E29" s="8" t="s">
        <v>20</v>
      </c>
      <c r="F29" s="15" t="s">
        <v>139</v>
      </c>
      <c r="G29" s="8">
        <v>8050119</v>
      </c>
      <c r="H29" s="13">
        <f>SUMIF($M$2:$M$16,C29,$AF$2:$AF$16)+SUMIF($M$2:$M$16,C29,$AI$2:$AI$16)+SUMIF($M$2:$M$16,C29,$AH$2:$AH$16)+SUMIF($M$2:$M$16,C29,$AG$2:$AG$16)+SUMIF($M$2:$M$16,C29,$AE$2:$AE$16)+SUMIF($M$2:$M$16,C29,$AD$2:$AD$16)</f>
        <v>1132313</v>
      </c>
      <c r="I29" s="11"/>
    </row>
    <row r="30" spans="1:36" x14ac:dyDescent="0.3">
      <c r="C30" s="7" t="s">
        <v>45</v>
      </c>
      <c r="D30">
        <v>6326</v>
      </c>
      <c r="E30" s="8" t="s">
        <v>138</v>
      </c>
      <c r="F30" s="15" t="s">
        <v>139</v>
      </c>
      <c r="G30" s="8">
        <v>8050121</v>
      </c>
      <c r="H30" s="14"/>
      <c r="I30" s="11"/>
    </row>
    <row r="31" spans="1:36" x14ac:dyDescent="0.3">
      <c r="C31" s="7"/>
      <c r="E31" s="8"/>
      <c r="F31" s="16" t="s">
        <v>140</v>
      </c>
      <c r="G31" s="8"/>
      <c r="H31" s="10">
        <f>SUMIF($M$2:$M$16,C31,$Q$2:$Q$16)+SUMIF($M$2:$M$16,C31,$S$2:$S$16)++SUMIF($M$2:$M$16,C31,$R$2:$R$16)</f>
        <v>0</v>
      </c>
      <c r="I31" s="11"/>
    </row>
    <row r="32" spans="1:36" x14ac:dyDescent="0.3">
      <c r="C32" s="7"/>
      <c r="E32" s="8"/>
      <c r="F32" s="16" t="s">
        <v>140</v>
      </c>
      <c r="G32" s="8"/>
      <c r="H32" s="12">
        <v>0</v>
      </c>
      <c r="I32" s="11"/>
    </row>
    <row r="33" spans="3:14" x14ac:dyDescent="0.3">
      <c r="C33" s="7"/>
      <c r="E33" s="8"/>
      <c r="F33" s="16" t="s">
        <v>140</v>
      </c>
      <c r="G33" s="8"/>
      <c r="H33" s="13">
        <f>SUMIF($M$2:$M$16,C33,$AF$2:$AF$16)+SUMIF($M$2:$M$16,C33,$AI$2:$AI$16)+SUMIF($M$2:$M$16,C33,$AH$2:$AH$16)+SUMIF($M$2:$M$16,C33,$AG$2:$AG$16)+SUMIF($M$2:$M$16,C33,$AE$2:$AE$16)+SUMIF($M$2:$M$16,C33,$AD$2:$AD$16)</f>
        <v>0</v>
      </c>
      <c r="I33" s="11"/>
    </row>
    <row r="34" spans="3:14" x14ac:dyDescent="0.3">
      <c r="C34" s="7"/>
      <c r="E34" s="8"/>
      <c r="F34" s="16" t="s">
        <v>140</v>
      </c>
      <c r="G34" s="8"/>
      <c r="H34" s="11"/>
      <c r="I34" s="11"/>
    </row>
    <row r="35" spans="3:14" x14ac:dyDescent="0.3">
      <c r="C35" s="7" t="s">
        <v>120</v>
      </c>
      <c r="D35">
        <v>6301</v>
      </c>
      <c r="E35" s="8" t="s">
        <v>135</v>
      </c>
      <c r="F35" s="17" t="s">
        <v>141</v>
      </c>
      <c r="G35" s="8">
        <v>8050101</v>
      </c>
      <c r="H35" s="10">
        <f>SUMIF($M$2:$M$16,C35,$Q$2:$Q$16)+SUMIF($M$2:$M$16,C35,$S$2:$S$16)++SUMIF($M$2:$M$16,C35,$R$2:$R$16)</f>
        <v>10959902</v>
      </c>
      <c r="I35" s="11"/>
    </row>
    <row r="36" spans="3:14" ht="14" customHeight="1" x14ac:dyDescent="0.3">
      <c r="C36" s="7" t="s">
        <v>120</v>
      </c>
      <c r="D36">
        <v>6302</v>
      </c>
      <c r="E36" s="8" t="s">
        <v>137</v>
      </c>
      <c r="F36" s="17" t="s">
        <v>141</v>
      </c>
      <c r="G36" s="8">
        <v>8050102</v>
      </c>
      <c r="H36" s="12">
        <v>0</v>
      </c>
      <c r="I36" s="11"/>
      <c r="N36" s="26" t="s">
        <v>152</v>
      </c>
    </row>
    <row r="37" spans="3:14" x14ac:dyDescent="0.3">
      <c r="C37" s="7" t="s">
        <v>120</v>
      </c>
      <c r="D37">
        <v>6303</v>
      </c>
      <c r="E37" s="8" t="s">
        <v>20</v>
      </c>
      <c r="F37" s="17" t="s">
        <v>141</v>
      </c>
      <c r="G37" s="8">
        <v>8050106</v>
      </c>
      <c r="H37" s="13">
        <f>SUMIF($M$2:$M$16,C37,$AF$2:$AF$16)+SUMIF($M$2:$M$16,C37,$AI$2:$AI$16)+SUMIF($M$2:$M$16,C37,$AH$2:$AH$16)+SUMIF($M$2:$M$16,C37,$AG$2:$AG$16)+SUMIF($M$2:$M$16,C37,$AE$2:$AE$16)+SUMIF($M$2:$M$16,C37,$AD$2:$AD$16)</f>
        <v>252607</v>
      </c>
      <c r="I37" s="11"/>
      <c r="N37" s="26"/>
    </row>
    <row r="38" spans="3:14" x14ac:dyDescent="0.3">
      <c r="C38" s="7" t="s">
        <v>120</v>
      </c>
      <c r="D38">
        <v>6327</v>
      </c>
      <c r="E38" s="8" t="s">
        <v>138</v>
      </c>
      <c r="F38" s="17" t="s">
        <v>141</v>
      </c>
      <c r="G38" s="8">
        <v>8050120</v>
      </c>
      <c r="H38" s="11"/>
      <c r="I38" s="11"/>
      <c r="N38" s="26"/>
    </row>
    <row r="39" spans="3:14" x14ac:dyDescent="0.3">
      <c r="C39" s="7" t="s">
        <v>97</v>
      </c>
      <c r="D39">
        <v>5211</v>
      </c>
      <c r="E39" s="8" t="s">
        <v>135</v>
      </c>
      <c r="F39" s="18" t="s">
        <v>142</v>
      </c>
      <c r="G39" s="8">
        <v>7020205</v>
      </c>
      <c r="H39" s="10">
        <f>SUMIF($M$2:$M$16,C39,$Q$2:$Q$16)+SUMIF($M$2:$M$16,C39,$S$2:$S$16)++SUMIF($M$2:$M$16,C39,$R$2:$R$16)</f>
        <v>2113354</v>
      </c>
      <c r="I39" s="11"/>
      <c r="N39" s="26"/>
    </row>
    <row r="40" spans="3:14" x14ac:dyDescent="0.3">
      <c r="C40" s="7" t="s">
        <v>97</v>
      </c>
      <c r="D40">
        <v>5211</v>
      </c>
      <c r="E40" s="8" t="s">
        <v>137</v>
      </c>
      <c r="F40" s="18" t="s">
        <v>142</v>
      </c>
      <c r="G40" s="8">
        <v>7020206</v>
      </c>
      <c r="H40" s="12">
        <v>0</v>
      </c>
      <c r="I40" s="11"/>
      <c r="N40" s="26"/>
    </row>
    <row r="41" spans="3:14" x14ac:dyDescent="0.3">
      <c r="C41" s="7" t="s">
        <v>97</v>
      </c>
      <c r="D41">
        <v>5213</v>
      </c>
      <c r="E41" s="8" t="s">
        <v>20</v>
      </c>
      <c r="F41" s="18" t="s">
        <v>142</v>
      </c>
      <c r="G41" s="8">
        <v>7020207</v>
      </c>
      <c r="H41" s="13">
        <f>SUMIF($M$2:$M$16,C41,$AF$2:$AF$16)+SUMIF($M$2:$M$16,C41,$AI$2:$AI$16)+SUMIF($M$2:$M$16,C41,$AH$2:$AH$16)+SUMIF($M$2:$M$16,C41,$AG$2:$AG$16)+SUMIF($M$2:$M$16,C41,$AE$2:$AE$16)+SUMIF($M$2:$M$16,C41,$AD$2:$AD$16)</f>
        <v>124054</v>
      </c>
      <c r="I41" s="11"/>
      <c r="N41" s="26"/>
    </row>
    <row r="42" spans="3:14" x14ac:dyDescent="0.3">
      <c r="C42" s="7" t="s">
        <v>97</v>
      </c>
      <c r="D42">
        <v>5215</v>
      </c>
      <c r="E42" s="8" t="s">
        <v>138</v>
      </c>
      <c r="F42" s="18" t="s">
        <v>142</v>
      </c>
      <c r="G42" s="8">
        <v>7020208</v>
      </c>
      <c r="H42" s="11"/>
      <c r="I42" s="11"/>
      <c r="N42" s="26"/>
    </row>
    <row r="43" spans="3:14" x14ac:dyDescent="0.3">
      <c r="C43" s="7"/>
      <c r="D43">
        <v>2414</v>
      </c>
      <c r="E43" s="8" t="s">
        <v>143</v>
      </c>
      <c r="F43" s="8"/>
      <c r="G43" s="8">
        <v>3031302</v>
      </c>
      <c r="H43" s="11"/>
      <c r="I43" s="14">
        <f>SUM(U18:AA18,BB17:BI17)+SUM(AD18:AI18)</f>
        <v>13644093</v>
      </c>
      <c r="N43" s="26"/>
    </row>
    <row r="44" spans="3:14" x14ac:dyDescent="0.3">
      <c r="C44" s="7"/>
      <c r="D44">
        <v>2414</v>
      </c>
      <c r="E44" s="8" t="s">
        <v>144</v>
      </c>
      <c r="F44" s="8"/>
      <c r="G44" s="8">
        <v>8050305</v>
      </c>
      <c r="H44" s="11"/>
      <c r="I44" s="14"/>
      <c r="N44" s="26"/>
    </row>
    <row r="45" spans="3:14" x14ac:dyDescent="0.3">
      <c r="C45" s="7"/>
      <c r="D45">
        <v>2411</v>
      </c>
      <c r="E45" s="8" t="s">
        <v>145</v>
      </c>
      <c r="F45" s="8"/>
      <c r="G45" s="8">
        <v>3031204</v>
      </c>
      <c r="H45" s="11"/>
      <c r="I45" s="11">
        <f>+AC18</f>
        <v>75249157</v>
      </c>
      <c r="N45" s="26"/>
    </row>
    <row r="46" spans="3:14" x14ac:dyDescent="0.3">
      <c r="C46" s="7"/>
      <c r="D46" s="7">
        <v>2554</v>
      </c>
      <c r="E46" s="8" t="s">
        <v>146</v>
      </c>
      <c r="F46" s="8"/>
      <c r="G46" s="8">
        <v>3031505</v>
      </c>
      <c r="H46" s="11"/>
      <c r="I46" s="11"/>
      <c r="N46" s="26"/>
    </row>
    <row r="47" spans="3:14" x14ac:dyDescent="0.3">
      <c r="C47" s="7"/>
      <c r="D47" s="7">
        <v>2554</v>
      </c>
      <c r="E47" s="8" t="s">
        <v>147</v>
      </c>
      <c r="F47" s="8"/>
      <c r="G47" s="8">
        <v>3031501</v>
      </c>
      <c r="H47" s="11"/>
      <c r="I47" s="11">
        <f>+AB18</f>
        <v>11646274</v>
      </c>
      <c r="N47" s="26"/>
    </row>
    <row r="48" spans="3:14" x14ac:dyDescent="0.3">
      <c r="C48" s="7"/>
      <c r="D48">
        <v>2411</v>
      </c>
      <c r="E48" s="8" t="s">
        <v>148</v>
      </c>
      <c r="G48" s="8">
        <v>3031204</v>
      </c>
      <c r="H48" s="19"/>
      <c r="I48" s="19">
        <v>0</v>
      </c>
    </row>
  </sheetData>
  <mergeCells count="1">
    <mergeCell ref="N36:N47"/>
  </mergeCells>
  <pageMargins left="0.75" right="0.75" top="1" bottom="1" header="0.5" footer="0.5"/>
  <pageSetup orientation="portrait" r:id="rId1"/>
  <headerFooter>
    <oddFooter>&amp;C_x000D_&amp;1#&amp;"Aptos"&amp;9&amp;K000000 Clasificación: Confidencial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183416-89A4-4974-AD01-F3324F544C2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E9E5919F-E930-44A5-A08A-68D2C860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EFDE9-4C03-4007-A2E9-C5FDD78E641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2026-01-26T06:19:25Z</dcterms:created>
  <dcterms:modified xsi:type="dcterms:W3CDTF">2026-03-26T19:55:49Z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