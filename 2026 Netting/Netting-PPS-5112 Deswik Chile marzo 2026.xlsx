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5 DESWIK/netting eerr/"/>
    </mc:Choice>
  </mc:AlternateContent>
  <xr:revisionPtr revIDLastSave="6" documentId="8_{15F28280-12EB-4FB1-BE57-8AE315D211AC}" xr6:coauthVersionLast="47" xr6:coauthVersionMax="47" xr10:uidLastSave="{8A01EB21-04E1-4ECE-8298-96FDC285D2C8}"/>
  <bookViews>
    <workbookView xWindow="20525" yWindow="-107" windowWidth="20848" windowHeight="11111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7" i="1" l="1"/>
  <c r="M25" i="1"/>
  <c r="L22" i="1"/>
  <c r="L19" i="1"/>
  <c r="L21" i="1"/>
  <c r="L20" i="1"/>
  <c r="L15" i="1"/>
</calcChain>
</file>

<file path=xl/sharedStrings.xml><?xml version="1.0" encoding="utf-8"?>
<sst xmlns="http://schemas.openxmlformats.org/spreadsheetml/2006/main" count="114" uniqueCount="67">
  <si>
    <t>Invoice Id</t>
  </si>
  <si>
    <t>Party</t>
  </si>
  <si>
    <t>Comment</t>
  </si>
  <si>
    <t>SAP Document Id</t>
  </si>
  <si>
    <t>Sales Order Reference</t>
  </si>
  <si>
    <t>Purchase Order Reference</t>
  </si>
  <si>
    <t>Original Invoice Id</t>
  </si>
  <si>
    <t>Issuer</t>
  </si>
  <si>
    <t>Issue Date</t>
  </si>
  <si>
    <t>Import Date</t>
  </si>
  <si>
    <t>Due Date</t>
  </si>
  <si>
    <t>Amount</t>
  </si>
  <si>
    <t>Currency</t>
  </si>
  <si>
    <t>90401071</t>
  </si>
  <si>
    <t>5112</t>
  </si>
  <si>
    <t>2004000661</t>
  </si>
  <si>
    <t>0030003837</t>
  </si>
  <si>
    <t>IT-Services</t>
  </si>
  <si>
    <t/>
  </si>
  <si>
    <t>0180</t>
  </si>
  <si>
    <t>2026-02-26T00:00:00</t>
  </si>
  <si>
    <t>2026-02-26T10:22:58.41</t>
  </si>
  <si>
    <t>2026-03-10T00:00:00</t>
  </si>
  <si>
    <t>CLP</t>
  </si>
  <si>
    <t>F.584 / W25-2596</t>
  </si>
  <si>
    <t>Wholesale Software</t>
  </si>
  <si>
    <t>9868</t>
  </si>
  <si>
    <t>2026-02-03T00:00:00</t>
  </si>
  <si>
    <t>2026-03-02T00:41:22.053</t>
  </si>
  <si>
    <t>2026-03-05T00:00:00</t>
  </si>
  <si>
    <t>USD</t>
  </si>
  <si>
    <t>F.585 / W26-0468</t>
  </si>
  <si>
    <t>2026-02-05T00:00:00</t>
  </si>
  <si>
    <t>2026-03-02T00:41:23.24</t>
  </si>
  <si>
    <t>2026-03-07T00:00:00</t>
  </si>
  <si>
    <t>F.591 &amp; 592 / W25-0714-C05</t>
  </si>
  <si>
    <t>Wholesale Consulting</t>
  </si>
  <si>
    <t>F.591 &amp; 592 / W25-07</t>
  </si>
  <si>
    <t>4749</t>
  </si>
  <si>
    <t>2026-02-11T00:00:00</t>
  </si>
  <si>
    <t>2026-02-27T01:15:37.803</t>
  </si>
  <si>
    <t>2026-03-13T00:00:00</t>
  </si>
  <si>
    <t>F.595 / W25-0354a</t>
  </si>
  <si>
    <t>2026-02-17T00:00:00</t>
  </si>
  <si>
    <t>2026-03-02T00:41:12.703</t>
  </si>
  <si>
    <t>2026-03-19T00:00:00</t>
  </si>
  <si>
    <t>F.597 / W25-4084</t>
  </si>
  <si>
    <t>2026-02-18T00:00:00</t>
  </si>
  <si>
    <t>2026-03-02T00:41:18.363</t>
  </si>
  <si>
    <t>2026-03-20T00:00:00</t>
  </si>
  <si>
    <t>F.598 / W24-4602</t>
  </si>
  <si>
    <t>2026-03-02T00:41:21.53</t>
  </si>
  <si>
    <t>F.601 / W24-4702</t>
  </si>
  <si>
    <t>2026-02-23T00:00:00</t>
  </si>
  <si>
    <t>2026-03-02T00:41:23.377</t>
  </si>
  <si>
    <t>2026-03-25T00:00:00</t>
  </si>
  <si>
    <t>Deswik Chile Spa</t>
  </si>
  <si>
    <t>Netting payment proposal</t>
  </si>
  <si>
    <t>Propuesta de pagos</t>
  </si>
  <si>
    <t>DMCA</t>
  </si>
  <si>
    <t>Sandvik</t>
  </si>
  <si>
    <t>Canada</t>
  </si>
  <si>
    <t>TOTAL</t>
  </si>
  <si>
    <t>Saldo en bancos</t>
  </si>
  <si>
    <t>CLP Citibank</t>
  </si>
  <si>
    <t>USD Citibank</t>
  </si>
  <si>
    <t>Total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</si>
</sst>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25">
    <xf numFmtId="0" fontId="0" fillId="0" borderId="0" xfId="0"/>
    <xf numFmtId="0" fontId="1" fillId="2" borderId="0" xfId="0" applyFont="1" applyFill="1"/>
    <xf numFmtId="0" fontId="3" fillId="0" borderId="0" xfId="0" applyFont="1"/>
    <xf numFmtId="0" fontId="4" fillId="0" borderId="0" xfId="0" applyFont="1"/>
    <xf numFmtId="17" fontId="4" fillId="0" borderId="0" xfId="0" applyNumberFormat="1" applyFont="1"/>
    <xf numFmtId="164" fontId="3" fillId="0" borderId="0" xfId="1" applyFont="1"/>
    <xf numFmtId="164" fontId="0" fillId="0" borderId="1" xfId="1" applyFont="1" applyBorder="1"/>
    <xf numFmtId="0" fontId="3" fillId="0" borderId="1" xfId="0" applyFont="1" applyBorder="1"/>
    <xf numFmtId="164" fontId="3" fillId="0" borderId="1" xfId="0" applyNumberFormat="1" applyFont="1" applyBorder="1"/>
    <xf numFmtId="0" fontId="0" fillId="0" borderId="2" xfId="0" applyBorder="1"/>
    <xf numFmtId="0" fontId="3" fillId="0" borderId="2" xfId="0" applyFont="1" applyBorder="1"/>
    <xf numFmtId="165" fontId="0" fillId="0" borderId="3" xfId="1" applyNumberFormat="1" applyFont="1" applyBorder="1"/>
    <xf numFmtId="165" fontId="0" fillId="0" borderId="4" xfId="1" applyNumberFormat="1" applyFont="1" applyBorder="1"/>
    <xf numFmtId="165" fontId="3" fillId="0" borderId="3" xfId="1" applyNumberFormat="1" applyFont="1" applyBorder="1"/>
    <xf numFmtId="165" fontId="3" fillId="4" borderId="4" xfId="1" applyNumberFormat="1" applyFont="1" applyFill="1" applyBorder="1"/>
    <xf numFmtId="0" fontId="0" fillId="3" borderId="1" xfId="0" applyFill="1" applyBorder="1"/>
    <xf numFmtId="0" fontId="0" fillId="3" borderId="0" xfId="0" applyFill="1"/>
    <xf numFmtId="164" fontId="0" fillId="3" borderId="0" xfId="1" applyFont="1" applyFill="1"/>
    <xf numFmtId="0" fontId="0" fillId="5" borderId="1" xfId="0" applyFill="1" applyBorder="1"/>
    <xf numFmtId="0" fontId="0" fillId="5" borderId="0" xfId="0" applyFill="1"/>
    <xf numFmtId="164" fontId="0" fillId="5" borderId="0" xfId="1" applyFont="1" applyFill="1"/>
    <xf numFmtId="0" fontId="0" fillId="6" borderId="0" xfId="0" applyFill="1"/>
    <xf numFmtId="164" fontId="0" fillId="6" borderId="0" xfId="1" applyFont="1" applyFill="1"/>
    <xf numFmtId="0" fontId="0" fillId="6" borderId="1" xfId="0" applyFill="1" applyBorder="1"/>
    <xf numFmtId="0" fontId="3" fillId="3" borderId="1" xfId="0" applyFont="1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showGridLines="0" tabSelected="1" workbookViewId="0">
      <pane ySplit="6" topLeftCell="A7" activePane="bottomLeft" state="frozen"/>
      <selection pane="bottomLeft" activeCell="L22" sqref="L22"/>
    </sheetView>
  </sheetViews>
  <sheetFormatPr baseColWidth="10" defaultColWidth="8.69921875" defaultRowHeight="15.05" customHeight="1" x14ac:dyDescent="0.3"/>
  <cols>
    <col min="1" max="1" width="24.69921875" customWidth="1"/>
    <col min="2" max="2" width="5.69921875" bestFit="1" customWidth="1"/>
    <col min="3" max="3" width="1.796875" customWidth="1"/>
    <col min="4" max="4" width="10.09765625" customWidth="1"/>
    <col min="5" max="5" width="21.69921875" bestFit="1" customWidth="1"/>
    <col min="6" max="6" width="18.8984375" customWidth="1"/>
    <col min="7" max="7" width="2" customWidth="1"/>
    <col min="8" max="8" width="6.69921875" bestFit="1" customWidth="1"/>
    <col min="9" max="9" width="19.69921875" bestFit="1" customWidth="1"/>
    <col min="10" max="10" width="23.69921875" bestFit="1" customWidth="1"/>
    <col min="11" max="11" width="19.69921875" bestFit="1" customWidth="1"/>
    <col min="12" max="12" width="14.5" bestFit="1" customWidth="1"/>
    <col min="13" max="13" width="11.19921875" bestFit="1" customWidth="1"/>
  </cols>
  <sheetData>
    <row r="1" spans="1:13" ht="15.05" customHeight="1" x14ac:dyDescent="0.4">
      <c r="A1" s="3" t="s">
        <v>56</v>
      </c>
    </row>
    <row r="2" spans="1:13" ht="15.05" customHeight="1" x14ac:dyDescent="0.4">
      <c r="A2" s="3" t="s">
        <v>57</v>
      </c>
    </row>
    <row r="3" spans="1:13" ht="15.05" customHeight="1" x14ac:dyDescent="0.4">
      <c r="A3" s="4">
        <v>46082</v>
      </c>
    </row>
    <row r="6" spans="1:13" ht="15.05" customHeight="1" x14ac:dyDescent="0.3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  <c r="J6" s="1" t="s">
        <v>9</v>
      </c>
      <c r="K6" s="1" t="s">
        <v>10</v>
      </c>
      <c r="L6" s="1" t="s">
        <v>11</v>
      </c>
      <c r="M6" s="1" t="s">
        <v>12</v>
      </c>
    </row>
    <row r="7" spans="1:13" ht="15.05" customHeight="1" x14ac:dyDescent="0.3">
      <c r="A7" s="19" t="s">
        <v>13</v>
      </c>
      <c r="B7" s="19" t="s">
        <v>14</v>
      </c>
      <c r="C7" s="19"/>
      <c r="D7" s="19" t="s">
        <v>15</v>
      </c>
      <c r="E7" s="19" t="s">
        <v>16</v>
      </c>
      <c r="F7" s="19" t="s">
        <v>17</v>
      </c>
      <c r="G7" s="19" t="s">
        <v>18</v>
      </c>
      <c r="H7" s="19" t="s">
        <v>19</v>
      </c>
      <c r="I7" s="19" t="s">
        <v>20</v>
      </c>
      <c r="J7" s="19" t="s">
        <v>21</v>
      </c>
      <c r="K7" s="19" t="s">
        <v>22</v>
      </c>
      <c r="L7" s="20">
        <v>683608</v>
      </c>
      <c r="M7" s="19" t="s">
        <v>23</v>
      </c>
    </row>
    <row r="8" spans="1:13" ht="15.05" customHeight="1" x14ac:dyDescent="0.3">
      <c r="A8" s="16" t="s">
        <v>24</v>
      </c>
      <c r="B8" s="16" t="s">
        <v>14</v>
      </c>
      <c r="C8" s="16"/>
      <c r="D8" s="16" t="s">
        <v>18</v>
      </c>
      <c r="E8" s="16" t="s">
        <v>25</v>
      </c>
      <c r="F8" s="16" t="s">
        <v>24</v>
      </c>
      <c r="G8" s="16" t="s">
        <v>18</v>
      </c>
      <c r="H8" s="16" t="s">
        <v>26</v>
      </c>
      <c r="I8" s="16" t="s">
        <v>27</v>
      </c>
      <c r="J8" s="16" t="s">
        <v>28</v>
      </c>
      <c r="K8" s="16" t="s">
        <v>29</v>
      </c>
      <c r="L8" s="17">
        <v>4173</v>
      </c>
      <c r="M8" s="16" t="s">
        <v>30</v>
      </c>
    </row>
    <row r="9" spans="1:13" ht="15.05" customHeight="1" x14ac:dyDescent="0.3">
      <c r="A9" s="16" t="s">
        <v>31</v>
      </c>
      <c r="B9" s="16" t="s">
        <v>14</v>
      </c>
      <c r="C9" s="16"/>
      <c r="D9" s="16" t="s">
        <v>18</v>
      </c>
      <c r="E9" s="16" t="s">
        <v>25</v>
      </c>
      <c r="F9" s="16" t="s">
        <v>31</v>
      </c>
      <c r="G9" s="16" t="s">
        <v>18</v>
      </c>
      <c r="H9" s="16" t="s">
        <v>26</v>
      </c>
      <c r="I9" s="16" t="s">
        <v>32</v>
      </c>
      <c r="J9" s="16" t="s">
        <v>33</v>
      </c>
      <c r="K9" s="16" t="s">
        <v>34</v>
      </c>
      <c r="L9" s="17">
        <v>710</v>
      </c>
      <c r="M9" s="16" t="s">
        <v>30</v>
      </c>
    </row>
    <row r="10" spans="1:13" ht="15.05" customHeight="1" x14ac:dyDescent="0.3">
      <c r="A10" s="21" t="s">
        <v>35</v>
      </c>
      <c r="B10" s="21" t="s">
        <v>14</v>
      </c>
      <c r="C10" s="21"/>
      <c r="D10" s="21" t="s">
        <v>18</v>
      </c>
      <c r="E10" s="21" t="s">
        <v>36</v>
      </c>
      <c r="F10" s="21" t="s">
        <v>37</v>
      </c>
      <c r="G10" s="21" t="s">
        <v>18</v>
      </c>
      <c r="H10" s="21" t="s">
        <v>38</v>
      </c>
      <c r="I10" s="21" t="s">
        <v>39</v>
      </c>
      <c r="J10" s="21" t="s">
        <v>40</v>
      </c>
      <c r="K10" s="21" t="s">
        <v>41</v>
      </c>
      <c r="L10" s="22">
        <v>65.63</v>
      </c>
      <c r="M10" s="21" t="s">
        <v>30</v>
      </c>
    </row>
    <row r="11" spans="1:13" ht="15.05" customHeight="1" x14ac:dyDescent="0.3">
      <c r="A11" s="16" t="s">
        <v>42</v>
      </c>
      <c r="B11" s="16" t="s">
        <v>14</v>
      </c>
      <c r="C11" s="16"/>
      <c r="D11" s="16" t="s">
        <v>18</v>
      </c>
      <c r="E11" s="16" t="s">
        <v>25</v>
      </c>
      <c r="F11" s="16" t="s">
        <v>42</v>
      </c>
      <c r="G11" s="16" t="s">
        <v>18</v>
      </c>
      <c r="H11" s="16" t="s">
        <v>26</v>
      </c>
      <c r="I11" s="16" t="s">
        <v>43</v>
      </c>
      <c r="J11" s="16" t="s">
        <v>44</v>
      </c>
      <c r="K11" s="16" t="s">
        <v>45</v>
      </c>
      <c r="L11" s="17">
        <v>4623</v>
      </c>
      <c r="M11" s="16" t="s">
        <v>30</v>
      </c>
    </row>
    <row r="12" spans="1:13" ht="15.05" customHeight="1" x14ac:dyDescent="0.3">
      <c r="A12" s="16" t="s">
        <v>46</v>
      </c>
      <c r="B12" s="16" t="s">
        <v>14</v>
      </c>
      <c r="C12" s="16"/>
      <c r="D12" s="16" t="s">
        <v>18</v>
      </c>
      <c r="E12" s="16" t="s">
        <v>25</v>
      </c>
      <c r="F12" s="16" t="s">
        <v>46</v>
      </c>
      <c r="G12" s="16" t="s">
        <v>18</v>
      </c>
      <c r="H12" s="16" t="s">
        <v>26</v>
      </c>
      <c r="I12" s="16" t="s">
        <v>47</v>
      </c>
      <c r="J12" s="16" t="s">
        <v>48</v>
      </c>
      <c r="K12" s="16" t="s">
        <v>49</v>
      </c>
      <c r="L12" s="17">
        <v>9648</v>
      </c>
      <c r="M12" s="16" t="s">
        <v>30</v>
      </c>
    </row>
    <row r="13" spans="1:13" ht="15.05" customHeight="1" x14ac:dyDescent="0.3">
      <c r="A13" s="16" t="s">
        <v>50</v>
      </c>
      <c r="B13" s="16" t="s">
        <v>14</v>
      </c>
      <c r="C13" s="16"/>
      <c r="D13" s="16" t="s">
        <v>18</v>
      </c>
      <c r="E13" s="16" t="s">
        <v>25</v>
      </c>
      <c r="F13" s="16" t="s">
        <v>50</v>
      </c>
      <c r="G13" s="16" t="s">
        <v>18</v>
      </c>
      <c r="H13" s="16" t="s">
        <v>26</v>
      </c>
      <c r="I13" s="16" t="s">
        <v>47</v>
      </c>
      <c r="J13" s="16" t="s">
        <v>51</v>
      </c>
      <c r="K13" s="16" t="s">
        <v>49</v>
      </c>
      <c r="L13" s="17">
        <v>37469</v>
      </c>
      <c r="M13" s="16" t="s">
        <v>30</v>
      </c>
    </row>
    <row r="14" spans="1:13" ht="15.05" customHeight="1" x14ac:dyDescent="0.3">
      <c r="A14" s="16" t="s">
        <v>52</v>
      </c>
      <c r="B14" s="16" t="s">
        <v>14</v>
      </c>
      <c r="C14" s="16"/>
      <c r="D14" s="16" t="s">
        <v>18</v>
      </c>
      <c r="E14" s="16" t="s">
        <v>25</v>
      </c>
      <c r="F14" s="16" t="s">
        <v>52</v>
      </c>
      <c r="G14" s="16" t="s">
        <v>18</v>
      </c>
      <c r="H14" s="16" t="s">
        <v>26</v>
      </c>
      <c r="I14" s="16" t="s">
        <v>53</v>
      </c>
      <c r="J14" s="16" t="s">
        <v>54</v>
      </c>
      <c r="K14" s="16" t="s">
        <v>55</v>
      </c>
      <c r="L14" s="17">
        <v>29336</v>
      </c>
      <c r="M14" s="16" t="s">
        <v>30</v>
      </c>
    </row>
    <row r="15" spans="1:13" ht="15.05" customHeight="1" x14ac:dyDescent="0.3">
      <c r="L15" s="5">
        <f>+SUM(L8:L14)+(L7/950)</f>
        <v>86744.217368421057</v>
      </c>
    </row>
    <row r="18" spans="11:13" ht="15.05" customHeight="1" x14ac:dyDescent="0.3">
      <c r="K18" s="24" t="s">
        <v>58</v>
      </c>
      <c r="L18" s="24"/>
    </row>
    <row r="19" spans="11:13" ht="15.05" customHeight="1" x14ac:dyDescent="0.3">
      <c r="K19" s="15" t="s">
        <v>59</v>
      </c>
      <c r="L19" s="6">
        <f>+L8+L9+L11+L12+L13+L14</f>
        <v>85959</v>
      </c>
    </row>
    <row r="20" spans="11:13" ht="15.05" customHeight="1" x14ac:dyDescent="0.3">
      <c r="K20" s="18" t="s">
        <v>60</v>
      </c>
      <c r="L20" s="6">
        <f>+L7/950</f>
        <v>719.58736842105259</v>
      </c>
    </row>
    <row r="21" spans="11:13" ht="15.05" customHeight="1" x14ac:dyDescent="0.3">
      <c r="K21" s="23" t="s">
        <v>61</v>
      </c>
      <c r="L21" s="6">
        <f>+L10</f>
        <v>65.63</v>
      </c>
    </row>
    <row r="22" spans="11:13" ht="15.05" customHeight="1" x14ac:dyDescent="0.3">
      <c r="K22" s="7" t="s">
        <v>62</v>
      </c>
      <c r="L22" s="8">
        <f>+SUM(L19:L21)</f>
        <v>86744.217368421057</v>
      </c>
    </row>
    <row r="24" spans="11:13" ht="15.05" customHeight="1" x14ac:dyDescent="0.3">
      <c r="K24" s="2" t="s">
        <v>63</v>
      </c>
      <c r="L24" t="s">
        <v>23</v>
      </c>
      <c r="M24" t="s">
        <v>30</v>
      </c>
    </row>
    <row r="25" spans="11:13" ht="15.05" customHeight="1" x14ac:dyDescent="0.3">
      <c r="K25" s="9" t="s">
        <v>64</v>
      </c>
      <c r="L25" s="11">
        <v>489373398</v>
      </c>
      <c r="M25" s="12">
        <f>+L25/950</f>
        <v>515129.89263157896</v>
      </c>
    </row>
    <row r="26" spans="11:13" ht="15.05" customHeight="1" x14ac:dyDescent="0.3">
      <c r="K26" s="9" t="s">
        <v>65</v>
      </c>
      <c r="L26" s="11"/>
      <c r="M26" s="12">
        <v>104371.44</v>
      </c>
    </row>
    <row r="27" spans="11:13" ht="15.05" customHeight="1" x14ac:dyDescent="0.3">
      <c r="K27" s="10" t="s">
        <v>66</v>
      </c>
      <c r="L27" s="13"/>
      <c r="M27" s="14">
        <f>+SUM(M25:M26)</f>
        <v>619501.3326315789</v>
      </c>
    </row>
  </sheetData>
  <mergeCells count="1">
    <mergeCell ref="K18:L18"/>
  </mergeCells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2E435DE-97AD-4D2C-A6BD-2DE99345685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B5498C3-BD9A-4FF7-8B39-8512D1F394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a8ec313-c772-4af8-8363-8ff52de2e6b8"/>
    <ds:schemaRef ds:uri="6a7ff2fa-cd4c-4111-a6ab-75351164d8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24E377B-B5FE-465B-9952-B84546B611D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a7ff2fa-cd4c-4111-a6ab-75351164d87f"/>
    <ds:schemaRef ds:uri="fa8ec313-c772-4af8-8363-8ff52de2e6b8"/>
  </ds:schemaRefs>
</ds:datastoreItem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removed="0"/>
  <clbl:label id="{e11cbe9c-f680-44b9-9d42-d705f740b888}" enabled="0" method="" siteId="{e11cbe9c-f680-44b9-9d42-d705f740b88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Carolina Cabrera</cp:lastModifiedBy>
  <dcterms:created xsi:type="dcterms:W3CDTF">2026-03-17T21:05:15Z</dcterms:created>
  <dcterms:modified xsi:type="dcterms:W3CDTF">2026-03-26T19:00:45Z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