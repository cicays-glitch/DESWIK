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netting eerr/"/>
    </mc:Choice>
  </mc:AlternateContent>
  <xr:revisionPtr revIDLastSave="1" documentId="13_ncr:1_{B9E5FBDD-0C73-4416-B4BC-15EE72360939}" xr6:coauthVersionLast="47" xr6:coauthVersionMax="47" xr10:uidLastSave="{F10694C5-0CE3-47E1-BA60-9BA19E26706B}"/>
  <bookViews>
    <workbookView xWindow="-107" yWindow="-107" windowWidth="20847" windowHeight="1111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L16" i="1"/>
</calcChain>
</file>

<file path=xl/sharedStrings.xml><?xml version="1.0" encoding="utf-8"?>
<sst xmlns="http://schemas.openxmlformats.org/spreadsheetml/2006/main" count="74" uniqueCount="51">
  <si>
    <t>Invoice Id</t>
  </si>
  <si>
    <t>Party</t>
  </si>
  <si>
    <t>Comment</t>
  </si>
  <si>
    <t>SAP Document Id</t>
  </si>
  <si>
    <t>Sales Order Reference</t>
  </si>
  <si>
    <t>Purchase Order Reference</t>
  </si>
  <si>
    <t>Original Invoice Id</t>
  </si>
  <si>
    <t>Issuer</t>
  </si>
  <si>
    <t>Issue Date</t>
  </si>
  <si>
    <t>Import Date</t>
  </si>
  <si>
    <t>Due Date</t>
  </si>
  <si>
    <t>Amount</t>
  </si>
  <si>
    <t>Currency</t>
  </si>
  <si>
    <t>90399094</t>
  </si>
  <si>
    <t>5112</t>
  </si>
  <si>
    <t>2004000242</t>
  </si>
  <si>
    <t>0030003837</t>
  </si>
  <si>
    <t>IT-Services</t>
  </si>
  <si>
    <t/>
  </si>
  <si>
    <t>0180</t>
  </si>
  <si>
    <t>2026-01-23T00:00:00</t>
  </si>
  <si>
    <t>2026-01-23T14:48:37.56</t>
  </si>
  <si>
    <t>2026-02-10T00:00:00</t>
  </si>
  <si>
    <t>CLP</t>
  </si>
  <si>
    <t>F.582 / W25-0354</t>
  </si>
  <si>
    <t>Wholesale Software</t>
  </si>
  <si>
    <t>9868</t>
  </si>
  <si>
    <t>2026-01-19T00:00:00</t>
  </si>
  <si>
    <t>2026-02-01T23:11:41.483</t>
  </si>
  <si>
    <t>2026-02-18T00:00:00</t>
  </si>
  <si>
    <t>USD</t>
  </si>
  <si>
    <t>F.583 / W25-0338</t>
  </si>
  <si>
    <t>2026-01-28T00:00:00</t>
  </si>
  <si>
    <t>2026-02-01T23:11:49.42</t>
  </si>
  <si>
    <t>2026-02-27T00:00:00</t>
  </si>
  <si>
    <t>F.583a / W25-0141</t>
  </si>
  <si>
    <t>2026-01-29T00:00:00</t>
  </si>
  <si>
    <t>2026-02-01T23:11:48.987</t>
  </si>
  <si>
    <t>2026-02-28T00:00:00</t>
  </si>
  <si>
    <t>FE1371 / W24-2346-C07</t>
  </si>
  <si>
    <t>Wholesale Consulting</t>
  </si>
  <si>
    <t>FE1371 / W24-2346-C0</t>
  </si>
  <si>
    <t>4749</t>
  </si>
  <si>
    <t>2026-01-27T00:00:00</t>
  </si>
  <si>
    <t>2026-01-29T02:08:43.093</t>
  </si>
  <si>
    <t>2026-02-26T00:00:00</t>
  </si>
  <si>
    <t>saldo Citibank</t>
  </si>
  <si>
    <t>Propuesta de pago</t>
  </si>
  <si>
    <t>DMCA</t>
  </si>
  <si>
    <t>Canada</t>
  </si>
  <si>
    <t>Sandvik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</si>
</sst>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C1" workbookViewId="0">
      <pane ySplit="1" topLeftCell="A2" activePane="bottomLeft" state="frozen"/>
      <selection pane="bottomLeft" activeCell="F18" sqref="F18"/>
    </sheetView>
  </sheetViews>
  <sheetFormatPr baseColWidth="10" defaultColWidth="8.69921875" defaultRowHeight="15.05" customHeight="1" x14ac:dyDescent="0.3"/>
  <cols>
    <col min="1" max="1" width="21.69921875" bestFit="1" customWidth="1"/>
    <col min="2" max="2" width="5.69921875" bestFit="1" customWidth="1"/>
    <col min="3" max="3" width="7.69921875" bestFit="1" customWidth="1"/>
    <col min="4" max="4" width="15.69921875" bestFit="1" customWidth="1"/>
    <col min="5" max="5" width="21.69921875" bestFit="1" customWidth="1"/>
    <col min="6" max="6" width="24.69921875" bestFit="1" customWidth="1"/>
    <col min="7" max="7" width="19.69921875" bestFit="1" customWidth="1"/>
    <col min="8" max="8" width="6.69921875" bestFit="1" customWidth="1"/>
    <col min="9" max="9" width="19.69921875" bestFit="1" customWidth="1"/>
    <col min="10" max="10" width="23.69921875" bestFit="1" customWidth="1"/>
    <col min="11" max="11" width="19.69921875" bestFit="1" customWidth="1"/>
    <col min="12" max="12" width="8.796875" bestFit="1" customWidth="1"/>
    <col min="13" max="13" width="8.69921875" bestFit="1" customWidth="1"/>
  </cols>
  <sheetData>
    <row r="1" spans="1:13" ht="1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05" customHeight="1" x14ac:dyDescent="0.3">
      <c r="A2" s="5" t="s">
        <v>13</v>
      </c>
      <c r="B2" s="5" t="s">
        <v>14</v>
      </c>
      <c r="C2" s="5"/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>
        <v>670123</v>
      </c>
      <c r="M2" s="5" t="s">
        <v>23</v>
      </c>
    </row>
    <row r="3" spans="1:13" ht="15.05" customHeight="1" x14ac:dyDescent="0.3">
      <c r="A3" s="2" t="s">
        <v>24</v>
      </c>
      <c r="B3" s="2" t="s">
        <v>14</v>
      </c>
      <c r="C3" s="2"/>
      <c r="D3" s="2" t="s">
        <v>18</v>
      </c>
      <c r="E3" s="2" t="s">
        <v>25</v>
      </c>
      <c r="F3" s="2" t="s">
        <v>24</v>
      </c>
      <c r="G3" s="2" t="s">
        <v>18</v>
      </c>
      <c r="H3" s="2" t="s">
        <v>26</v>
      </c>
      <c r="I3" s="2" t="s">
        <v>27</v>
      </c>
      <c r="J3" s="2" t="s">
        <v>28</v>
      </c>
      <c r="K3" s="2" t="s">
        <v>29</v>
      </c>
      <c r="L3" s="2">
        <v>9648</v>
      </c>
      <c r="M3" s="2" t="s">
        <v>30</v>
      </c>
    </row>
    <row r="4" spans="1:13" ht="15.05" customHeight="1" x14ac:dyDescent="0.3">
      <c r="A4" s="2" t="s">
        <v>31</v>
      </c>
      <c r="B4" s="2" t="s">
        <v>14</v>
      </c>
      <c r="C4" s="2"/>
      <c r="D4" s="2" t="s">
        <v>18</v>
      </c>
      <c r="E4" s="2" t="s">
        <v>25</v>
      </c>
      <c r="F4" s="2" t="s">
        <v>31</v>
      </c>
      <c r="G4" s="2" t="s">
        <v>18</v>
      </c>
      <c r="H4" s="2" t="s">
        <v>26</v>
      </c>
      <c r="I4" s="2" t="s">
        <v>32</v>
      </c>
      <c r="J4" s="2" t="s">
        <v>33</v>
      </c>
      <c r="K4" s="2" t="s">
        <v>34</v>
      </c>
      <c r="L4" s="2">
        <v>2298</v>
      </c>
      <c r="M4" s="2" t="s">
        <v>30</v>
      </c>
    </row>
    <row r="5" spans="1:13" ht="15.05" customHeight="1" x14ac:dyDescent="0.3">
      <c r="A5" s="2" t="s">
        <v>35</v>
      </c>
      <c r="B5" s="2" t="s">
        <v>14</v>
      </c>
      <c r="C5" s="2"/>
      <c r="D5" s="2" t="s">
        <v>18</v>
      </c>
      <c r="E5" s="2" t="s">
        <v>25</v>
      </c>
      <c r="F5" s="2" t="s">
        <v>35</v>
      </c>
      <c r="G5" s="2" t="s">
        <v>18</v>
      </c>
      <c r="H5" s="2" t="s">
        <v>26</v>
      </c>
      <c r="I5" s="2" t="s">
        <v>36</v>
      </c>
      <c r="J5" s="2" t="s">
        <v>37</v>
      </c>
      <c r="K5" s="2" t="s">
        <v>38</v>
      </c>
      <c r="L5" s="2">
        <v>4494</v>
      </c>
      <c r="M5" s="2" t="s">
        <v>30</v>
      </c>
    </row>
    <row r="6" spans="1:13" ht="15.05" customHeight="1" x14ac:dyDescent="0.3">
      <c r="A6" s="4" t="s">
        <v>39</v>
      </c>
      <c r="B6" s="4" t="s">
        <v>14</v>
      </c>
      <c r="C6" s="4"/>
      <c r="D6" s="4" t="s">
        <v>18</v>
      </c>
      <c r="E6" s="4" t="s">
        <v>40</v>
      </c>
      <c r="F6" s="4" t="s">
        <v>41</v>
      </c>
      <c r="G6" s="4" t="s">
        <v>18</v>
      </c>
      <c r="H6" s="4" t="s">
        <v>42</v>
      </c>
      <c r="I6" s="4" t="s">
        <v>43</v>
      </c>
      <c r="J6" s="4" t="s">
        <v>44</v>
      </c>
      <c r="K6" s="4" t="s">
        <v>45</v>
      </c>
      <c r="L6" s="4">
        <v>750</v>
      </c>
      <c r="M6" s="4" t="s">
        <v>30</v>
      </c>
    </row>
    <row r="11" spans="1:13" ht="15.05" customHeight="1" x14ac:dyDescent="0.3">
      <c r="K11" t="s">
        <v>46</v>
      </c>
      <c r="L11">
        <v>167091.6</v>
      </c>
      <c r="M11" t="s">
        <v>30</v>
      </c>
    </row>
    <row r="13" spans="1:13" ht="15.05" customHeight="1" x14ac:dyDescent="0.3">
      <c r="K13" s="6" t="s">
        <v>47</v>
      </c>
      <c r="L13" s="6"/>
      <c r="M13" s="6"/>
    </row>
    <row r="14" spans="1:13" ht="15.05" customHeight="1" x14ac:dyDescent="0.3">
      <c r="K14" s="2" t="s">
        <v>48</v>
      </c>
      <c r="L14">
        <v>16440</v>
      </c>
    </row>
    <row r="15" spans="1:13" ht="15.05" customHeight="1" x14ac:dyDescent="0.3">
      <c r="K15" s="4" t="s">
        <v>49</v>
      </c>
      <c r="L15">
        <v>750</v>
      </c>
    </row>
    <row r="16" spans="1:13" ht="15.05" customHeight="1" x14ac:dyDescent="0.3">
      <c r="K16" s="5" t="s">
        <v>50</v>
      </c>
      <c r="L16">
        <f>+L2/850</f>
        <v>788.38</v>
      </c>
    </row>
    <row r="17" spans="12:12" ht="15.05" customHeight="1" x14ac:dyDescent="0.3">
      <c r="L17" s="3">
        <f>+SUM(L14:L16)</f>
        <v>17978.38</v>
      </c>
    </row>
  </sheetData>
  <mergeCells count="1">
    <mergeCell ref="K13:M13"/>
  </mergeCell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B0982B-0948-493F-AB74-32B1996DA27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1923799D-83CA-4A06-A7FC-4CC87ACBEB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BA5EA2-C2CB-43B1-AD29-21000D43EC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Carolina Cabrera</cp:lastModifiedBy>
  <dcterms:created xsi:type="dcterms:W3CDTF">2026-02-16T13:53:43Z</dcterms:created>
  <dcterms:modified xsi:type="dcterms:W3CDTF">2026-02-20T16:41:46Z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