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TDC/"/>
    </mc:Choice>
  </mc:AlternateContent>
  <xr:revisionPtr revIDLastSave="5" documentId="8_{B59AE2A7-1672-43B4-9287-A0A9559CAAB2}" xr6:coauthVersionLast="47" xr6:coauthVersionMax="47" xr10:uidLastSave="{C6E68336-A151-4FD9-A3EC-B446783F0FE4}"/>
  <bookViews>
    <workbookView xWindow="-28710" yWindow="-975" windowWidth="28665" windowHeight="7305" xr2:uid="{B5653825-1BE9-40E8-85AB-3AB2FB2FDB64}"/>
  </bookViews>
  <sheets>
    <sheet name="Hoja1" sheetId="1" r:id="rId1"/>
    <sheet name="PD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I42" i="1"/>
  <c r="I41" i="1"/>
  <c r="I40" i="1"/>
  <c r="I39" i="1"/>
  <c r="I38" i="1"/>
  <c r="I37" i="1"/>
  <c r="I36" i="1"/>
  <c r="I35" i="1"/>
  <c r="I34" i="1"/>
  <c r="I33" i="1"/>
  <c r="I32" i="1"/>
  <c r="I31" i="1"/>
  <c r="E2" i="1"/>
  <c r="F2" i="1" s="1"/>
  <c r="I20" i="1"/>
  <c r="I29" i="1"/>
  <c r="I28" i="1"/>
  <c r="I19" i="1"/>
  <c r="I21" i="1"/>
  <c r="I22" i="1"/>
  <c r="I23" i="1"/>
  <c r="I24" i="1"/>
  <c r="I25" i="1"/>
  <c r="I30" i="1"/>
  <c r="I27" i="1"/>
  <c r="I26" i="1"/>
  <c r="I18" i="1"/>
  <c r="I16" i="1"/>
  <c r="I15" i="1"/>
  <c r="I13" i="1"/>
  <c r="I12" i="1"/>
  <c r="I11" i="1"/>
  <c r="I10" i="1"/>
  <c r="I9" i="1"/>
  <c r="I8" i="1"/>
  <c r="I7" i="1"/>
  <c r="I6" i="1"/>
  <c r="I17" i="1"/>
  <c r="I14" i="1"/>
  <c r="I5" i="1"/>
  <c r="M13" i="1" l="1"/>
  <c r="M16" i="1"/>
  <c r="M8" i="1"/>
  <c r="M9" i="1"/>
  <c r="M15" i="1"/>
  <c r="M7" i="1"/>
  <c r="M14" i="1" l="1"/>
  <c r="M12" i="1" l="1"/>
  <c r="M11" i="1"/>
  <c r="M10" i="1"/>
</calcChain>
</file>

<file path=xl/sharedStrings.xml><?xml version="1.0" encoding="utf-8"?>
<sst xmlns="http://schemas.openxmlformats.org/spreadsheetml/2006/main" count="116" uniqueCount="38">
  <si>
    <t>Tarjeta de credito</t>
  </si>
  <si>
    <t>Carol Contreras</t>
  </si>
  <si>
    <t>Lugar operación</t>
  </si>
  <si>
    <t>Fecha</t>
  </si>
  <si>
    <t>Descripción</t>
  </si>
  <si>
    <t>Monto</t>
  </si>
  <si>
    <t>Comentarios</t>
  </si>
  <si>
    <t>Factura</t>
  </si>
  <si>
    <t>Rut</t>
  </si>
  <si>
    <t>Cuenta</t>
  </si>
  <si>
    <t>Santiago</t>
  </si>
  <si>
    <t>La Mundial</t>
  </si>
  <si>
    <t>Malva</t>
  </si>
  <si>
    <t>Alimentación</t>
  </si>
  <si>
    <t>Uber</t>
  </si>
  <si>
    <t>Traslado</t>
  </si>
  <si>
    <t>Telefono</t>
  </si>
  <si>
    <t>Telefonica</t>
  </si>
  <si>
    <t>Materiales de oficina</t>
  </si>
  <si>
    <t>Falabella</t>
  </si>
  <si>
    <t>Otros gastos generales</t>
  </si>
  <si>
    <t>Melbourne</t>
  </si>
  <si>
    <t>Patente</t>
  </si>
  <si>
    <t>Los militares</t>
  </si>
  <si>
    <t>Gto. Bancario</t>
  </si>
  <si>
    <t>Hospedaje</t>
  </si>
  <si>
    <t>Gastos de Aseo</t>
  </si>
  <si>
    <t>Digital</t>
  </si>
  <si>
    <t>Vuelo</t>
  </si>
  <si>
    <t>Mi Coca Cola</t>
  </si>
  <si>
    <t>Rumbo</t>
  </si>
  <si>
    <t>Unimarc</t>
  </si>
  <si>
    <t>Tu Hogar</t>
  </si>
  <si>
    <t>Sodimac</t>
  </si>
  <si>
    <t>Sindicato de taxis</t>
  </si>
  <si>
    <t>Cabify</t>
  </si>
  <si>
    <t>Comisión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</si>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</sst>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1" fontId="0" fillId="0" borderId="0" xfId="1" applyFont="1"/>
    <xf numFmtId="41" fontId="0" fillId="0" borderId="0" xfId="0" applyNumberFormat="1"/>
    <xf numFmtId="41" fontId="2" fillId="0" borderId="0" xfId="1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581851</xdr:colOff>
      <xdr:row>42</xdr:row>
      <xdr:rowOff>29696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1F261-1340-E791-72F8-C42FF5E78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15851" cy="803069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15</xdr:col>
      <xdr:colOff>686640</xdr:colOff>
      <xdr:row>33</xdr:row>
      <xdr:rowOff>172351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C1782E-F89E-ED8C-585A-D01B68A12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0"/>
          <a:ext cx="6020640" cy="645885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24</xdr:col>
      <xdr:colOff>29430</xdr:colOff>
      <xdr:row>27</xdr:row>
      <xdr:rowOff>181718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7FA69DA-8B11-8214-2C90-481275E46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0"/>
          <a:ext cx="6125430" cy="5325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00FC-CC0C-4B8D-8490-F9F21910AD53}">
  <dimension ref="A1:M46"/>
  <sheetViews>
    <sheetView showGridLines="0" tabSelected="1" workbookViewId="0">
      <selection activeCell="S4" sqref="S4"/>
    </sheetView>
  </sheetViews>
  <sheetFormatPr baseColWidth="10" defaultColWidth="11.42578125" defaultRowHeight="15" x14ac:dyDescent="0.25"/>
  <cols>
    <col min="1" max="1" width="3.5703125" customWidth="1"/>
    <col min="2" max="2" width="14.85546875" bestFit="1" customWidth="1"/>
    <col min="4" max="4" width="26.7109375" bestFit="1" customWidth="1"/>
    <col min="5" max="5" width="11.5703125" style="2"/>
    <col min="6" max="6" width="15.28515625" bestFit="1" customWidth="1"/>
    <col min="7" max="7" width="15.5703125" bestFit="1" customWidth="1"/>
    <col min="11" max="11" width="19.28515625" bestFit="1" customWidth="1"/>
  </cols>
  <sheetData>
    <row r="1" spans="1:13" x14ac:dyDescent="0.25">
      <c r="B1" t="s">
        <v>0</v>
      </c>
      <c r="F1" s="2">
        <v>1497172</v>
      </c>
    </row>
    <row r="2" spans="1:13" x14ac:dyDescent="0.25">
      <c r="B2" t="s">
        <v>1</v>
      </c>
      <c r="E2" s="2">
        <f>SUM(E5:E92)</f>
        <v>1497172</v>
      </c>
      <c r="F2" s="3">
        <f>+F1-E2</f>
        <v>0</v>
      </c>
      <c r="G2" s="3"/>
    </row>
    <row r="4" spans="1:13" x14ac:dyDescent="0.25">
      <c r="B4" t="s">
        <v>2</v>
      </c>
      <c r="C4" t="s">
        <v>3</v>
      </c>
      <c r="D4" t="s">
        <v>4</v>
      </c>
      <c r="E4" s="2" t="s">
        <v>5</v>
      </c>
      <c r="F4" t="s">
        <v>6</v>
      </c>
      <c r="G4" t="s">
        <v>7</v>
      </c>
      <c r="H4" t="s">
        <v>8</v>
      </c>
      <c r="I4" t="s">
        <v>9</v>
      </c>
    </row>
    <row r="5" spans="1:13" x14ac:dyDescent="0.25">
      <c r="A5">
        <v>1</v>
      </c>
      <c r="B5" t="s">
        <v>10</v>
      </c>
      <c r="C5" s="1">
        <v>45716</v>
      </c>
      <c r="D5" t="s">
        <v>11</v>
      </c>
      <c r="E5" s="4">
        <v>102350</v>
      </c>
      <c r="G5">
        <v>1045340</v>
      </c>
      <c r="H5">
        <v>835033007</v>
      </c>
      <c r="I5" t="e">
        <f t="shared" ref="I5:I43" si="0">VLOOKUP(F5,K:L,2,0)</f>
        <v>#N/A</v>
      </c>
      <c r="J5" s="3"/>
    </row>
    <row r="6" spans="1:13" x14ac:dyDescent="0.25">
      <c r="A6">
        <v>2</v>
      </c>
      <c r="B6" t="s">
        <v>10</v>
      </c>
      <c r="C6" s="1">
        <v>45722</v>
      </c>
      <c r="D6" t="s">
        <v>12</v>
      </c>
      <c r="E6" s="4">
        <v>312510</v>
      </c>
      <c r="F6" s="3" t="s">
        <v>13</v>
      </c>
      <c r="I6">
        <f t="shared" si="0"/>
        <v>8040706</v>
      </c>
    </row>
    <row r="7" spans="1:13" x14ac:dyDescent="0.25">
      <c r="A7">
        <v>3</v>
      </c>
      <c r="B7" t="s">
        <v>10</v>
      </c>
      <c r="C7" s="1">
        <v>45722</v>
      </c>
      <c r="D7" t="s">
        <v>14</v>
      </c>
      <c r="E7" s="4">
        <v>6023</v>
      </c>
      <c r="F7" s="3" t="s">
        <v>15</v>
      </c>
      <c r="G7" s="3"/>
      <c r="I7">
        <f t="shared" si="0"/>
        <v>8040708</v>
      </c>
      <c r="K7" s="3" t="s">
        <v>15</v>
      </c>
      <c r="L7">
        <v>8040708</v>
      </c>
      <c r="M7" s="2">
        <f>SUMIF(I:I,L7,E:E)</f>
        <v>68861</v>
      </c>
    </row>
    <row r="8" spans="1:13" x14ac:dyDescent="0.25">
      <c r="A8">
        <v>4</v>
      </c>
      <c r="B8" t="s">
        <v>10</v>
      </c>
      <c r="C8" s="1">
        <v>45722</v>
      </c>
      <c r="D8" t="s">
        <v>14</v>
      </c>
      <c r="E8" s="4">
        <v>5299</v>
      </c>
      <c r="F8" s="3" t="s">
        <v>15</v>
      </c>
      <c r="I8">
        <f t="shared" si="0"/>
        <v>8040708</v>
      </c>
      <c r="K8" t="s">
        <v>16</v>
      </c>
      <c r="L8">
        <v>8050701</v>
      </c>
      <c r="M8" s="2">
        <f>SUMIF(I:I,L8,E:E)+24003</f>
        <v>24003</v>
      </c>
    </row>
    <row r="9" spans="1:13" x14ac:dyDescent="0.25">
      <c r="A9">
        <v>5</v>
      </c>
      <c r="B9" t="s">
        <v>10</v>
      </c>
      <c r="C9" s="1">
        <v>45722</v>
      </c>
      <c r="D9" t="s">
        <v>12</v>
      </c>
      <c r="E9" s="4">
        <v>110550</v>
      </c>
      <c r="F9" t="s">
        <v>13</v>
      </c>
      <c r="I9">
        <f t="shared" si="0"/>
        <v>8040706</v>
      </c>
      <c r="K9" t="s">
        <v>13</v>
      </c>
      <c r="L9">
        <v>8040706</v>
      </c>
      <c r="M9" s="2">
        <f t="shared" ref="M9:M16" si="1">SUMIF(I:I,L9,E:E)</f>
        <v>463430</v>
      </c>
    </row>
    <row r="10" spans="1:13" x14ac:dyDescent="0.25">
      <c r="A10">
        <v>6</v>
      </c>
      <c r="B10" t="s">
        <v>10</v>
      </c>
      <c r="C10" s="1">
        <v>45726</v>
      </c>
      <c r="D10" t="s">
        <v>17</v>
      </c>
      <c r="E10" s="4">
        <v>320762</v>
      </c>
      <c r="F10" s="3"/>
      <c r="G10">
        <v>52606207</v>
      </c>
      <c r="H10">
        <v>906350009</v>
      </c>
      <c r="I10" t="e">
        <f t="shared" si="0"/>
        <v>#N/A</v>
      </c>
      <c r="J10" s="3"/>
      <c r="K10" t="s">
        <v>18</v>
      </c>
      <c r="L10">
        <v>8051420</v>
      </c>
      <c r="M10" s="2">
        <f t="shared" si="1"/>
        <v>162610</v>
      </c>
    </row>
    <row r="11" spans="1:13" x14ac:dyDescent="0.25">
      <c r="A11">
        <v>7</v>
      </c>
      <c r="B11" t="s">
        <v>10</v>
      </c>
      <c r="C11" s="1">
        <v>45726</v>
      </c>
      <c r="D11" t="s">
        <v>19</v>
      </c>
      <c r="E11" s="4">
        <v>62980</v>
      </c>
      <c r="G11">
        <v>18847</v>
      </c>
      <c r="H11">
        <v>783775409</v>
      </c>
      <c r="I11" t="e">
        <f t="shared" si="0"/>
        <v>#N/A</v>
      </c>
      <c r="J11" s="3"/>
      <c r="K11" t="s">
        <v>20</v>
      </c>
      <c r="L11">
        <v>8051416</v>
      </c>
      <c r="M11" s="2">
        <f t="shared" si="1"/>
        <v>0</v>
      </c>
    </row>
    <row r="12" spans="1:13" x14ac:dyDescent="0.25">
      <c r="A12">
        <v>8</v>
      </c>
      <c r="B12" t="s">
        <v>10</v>
      </c>
      <c r="C12" s="1">
        <v>45726</v>
      </c>
      <c r="D12" t="s">
        <v>21</v>
      </c>
      <c r="E12" s="4">
        <v>101700</v>
      </c>
      <c r="F12" t="s">
        <v>18</v>
      </c>
      <c r="I12">
        <f t="shared" si="0"/>
        <v>8051420</v>
      </c>
      <c r="K12" t="s">
        <v>22</v>
      </c>
      <c r="L12">
        <v>8050901</v>
      </c>
      <c r="M12" s="2">
        <f t="shared" si="1"/>
        <v>0</v>
      </c>
    </row>
    <row r="13" spans="1:13" x14ac:dyDescent="0.25">
      <c r="A13">
        <v>9</v>
      </c>
      <c r="B13" t="s">
        <v>10</v>
      </c>
      <c r="C13" s="1">
        <v>45727</v>
      </c>
      <c r="D13" t="s">
        <v>23</v>
      </c>
      <c r="E13" s="4">
        <v>23990</v>
      </c>
      <c r="F13" t="s">
        <v>13</v>
      </c>
      <c r="I13">
        <f t="shared" si="0"/>
        <v>8040706</v>
      </c>
      <c r="K13" t="s">
        <v>24</v>
      </c>
      <c r="L13">
        <v>8051301</v>
      </c>
      <c r="M13" s="2">
        <f t="shared" si="1"/>
        <v>0</v>
      </c>
    </row>
    <row r="14" spans="1:13" x14ac:dyDescent="0.25">
      <c r="A14">
        <v>10</v>
      </c>
      <c r="B14" t="s">
        <v>10</v>
      </c>
      <c r="C14" s="1">
        <v>45727</v>
      </c>
      <c r="D14" t="s">
        <v>14</v>
      </c>
      <c r="E14" s="4">
        <v>5963</v>
      </c>
      <c r="F14" t="s">
        <v>15</v>
      </c>
      <c r="I14">
        <f t="shared" si="0"/>
        <v>8040708</v>
      </c>
      <c r="J14" s="3"/>
      <c r="K14" t="s">
        <v>25</v>
      </c>
      <c r="L14">
        <v>8040703</v>
      </c>
      <c r="M14" s="2">
        <f t="shared" si="1"/>
        <v>0</v>
      </c>
    </row>
    <row r="15" spans="1:13" x14ac:dyDescent="0.25">
      <c r="A15">
        <v>11</v>
      </c>
      <c r="B15" t="s">
        <v>10</v>
      </c>
      <c r="C15" s="1">
        <v>45727</v>
      </c>
      <c r="D15" t="s">
        <v>14</v>
      </c>
      <c r="E15" s="4">
        <v>6233</v>
      </c>
      <c r="F15" t="s">
        <v>15</v>
      </c>
      <c r="I15">
        <f t="shared" si="0"/>
        <v>8040708</v>
      </c>
      <c r="K15" t="s">
        <v>26</v>
      </c>
      <c r="L15">
        <v>8050708</v>
      </c>
      <c r="M15" s="2">
        <f t="shared" si="1"/>
        <v>0</v>
      </c>
    </row>
    <row r="16" spans="1:13" x14ac:dyDescent="0.25">
      <c r="A16">
        <v>12</v>
      </c>
      <c r="B16" t="s">
        <v>10</v>
      </c>
      <c r="C16" s="1">
        <v>45729</v>
      </c>
      <c r="D16" t="s">
        <v>27</v>
      </c>
      <c r="E16" s="4">
        <v>298657</v>
      </c>
      <c r="G16">
        <v>267727</v>
      </c>
      <c r="H16">
        <v>767994303</v>
      </c>
      <c r="I16" t="e">
        <f t="shared" si="0"/>
        <v>#N/A</v>
      </c>
      <c r="K16" t="s">
        <v>28</v>
      </c>
      <c r="L16">
        <v>8040705</v>
      </c>
      <c r="M16" s="2">
        <f t="shared" si="1"/>
        <v>0</v>
      </c>
    </row>
    <row r="17" spans="1:10" x14ac:dyDescent="0.25">
      <c r="A17">
        <v>13</v>
      </c>
      <c r="B17" t="s">
        <v>10</v>
      </c>
      <c r="C17" s="1">
        <v>45729</v>
      </c>
      <c r="D17" t="s">
        <v>29</v>
      </c>
      <c r="E17" s="4">
        <v>96830</v>
      </c>
      <c r="G17">
        <v>63157</v>
      </c>
      <c r="H17">
        <v>762766043</v>
      </c>
      <c r="I17" t="e">
        <f t="shared" si="0"/>
        <v>#N/A</v>
      </c>
    </row>
    <row r="18" spans="1:10" x14ac:dyDescent="0.25">
      <c r="A18">
        <v>14</v>
      </c>
      <c r="B18" t="s">
        <v>10</v>
      </c>
      <c r="C18" s="1">
        <v>45729</v>
      </c>
      <c r="D18" t="s">
        <v>19</v>
      </c>
      <c r="E18" s="4">
        <v>12060</v>
      </c>
      <c r="F18" t="s">
        <v>18</v>
      </c>
      <c r="I18">
        <f t="shared" si="0"/>
        <v>8051420</v>
      </c>
    </row>
    <row r="19" spans="1:10" x14ac:dyDescent="0.25">
      <c r="A19">
        <v>15</v>
      </c>
      <c r="B19" t="s">
        <v>10</v>
      </c>
      <c r="C19" s="1">
        <v>45729</v>
      </c>
      <c r="D19" t="s">
        <v>19</v>
      </c>
      <c r="E19" s="4">
        <v>13970</v>
      </c>
      <c r="F19" s="3" t="s">
        <v>18</v>
      </c>
      <c r="I19">
        <f t="shared" si="0"/>
        <v>8051420</v>
      </c>
    </row>
    <row r="20" spans="1:10" x14ac:dyDescent="0.25">
      <c r="A20">
        <v>16</v>
      </c>
      <c r="B20" t="s">
        <v>10</v>
      </c>
      <c r="C20" s="1">
        <v>45732</v>
      </c>
      <c r="D20" t="s">
        <v>30</v>
      </c>
      <c r="E20" s="4">
        <v>10400</v>
      </c>
      <c r="F20" t="s">
        <v>13</v>
      </c>
      <c r="I20">
        <f t="shared" si="0"/>
        <v>8040706</v>
      </c>
    </row>
    <row r="21" spans="1:10" x14ac:dyDescent="0.25">
      <c r="A21">
        <v>17</v>
      </c>
      <c r="B21" t="s">
        <v>10</v>
      </c>
      <c r="C21" s="1">
        <v>45732</v>
      </c>
      <c r="D21" t="s">
        <v>31</v>
      </c>
      <c r="E21" s="4">
        <v>5980</v>
      </c>
      <c r="F21" t="s">
        <v>13</v>
      </c>
      <c r="I21">
        <f t="shared" si="0"/>
        <v>8040706</v>
      </c>
      <c r="J21" s="3"/>
    </row>
    <row r="22" spans="1:10" x14ac:dyDescent="0.25">
      <c r="A22">
        <v>18</v>
      </c>
      <c r="B22" t="s">
        <v>10</v>
      </c>
      <c r="C22" s="1">
        <v>45732</v>
      </c>
      <c r="D22" t="s">
        <v>32</v>
      </c>
      <c r="E22" s="4">
        <v>6400</v>
      </c>
      <c r="F22" t="s">
        <v>18</v>
      </c>
      <c r="I22">
        <f t="shared" si="0"/>
        <v>8051420</v>
      </c>
    </row>
    <row r="23" spans="1:10" x14ac:dyDescent="0.25">
      <c r="A23">
        <v>19</v>
      </c>
      <c r="B23" t="s">
        <v>10</v>
      </c>
      <c r="C23" s="1">
        <v>45732</v>
      </c>
      <c r="D23" t="s">
        <v>33</v>
      </c>
      <c r="E23" s="4">
        <v>28480</v>
      </c>
      <c r="F23" s="3" t="s">
        <v>18</v>
      </c>
      <c r="I23">
        <f t="shared" si="0"/>
        <v>8051420</v>
      </c>
    </row>
    <row r="24" spans="1:10" x14ac:dyDescent="0.25">
      <c r="A24">
        <v>20</v>
      </c>
      <c r="B24" t="s">
        <v>10</v>
      </c>
      <c r="C24" s="1">
        <v>45738</v>
      </c>
      <c r="D24" t="s">
        <v>34</v>
      </c>
      <c r="E24" s="4">
        <v>32000</v>
      </c>
      <c r="F24" t="s">
        <v>15</v>
      </c>
      <c r="I24">
        <f t="shared" si="0"/>
        <v>8040708</v>
      </c>
    </row>
    <row r="25" spans="1:10" x14ac:dyDescent="0.25">
      <c r="A25">
        <v>21</v>
      </c>
      <c r="B25" t="s">
        <v>10</v>
      </c>
      <c r="C25" s="1">
        <v>45742</v>
      </c>
      <c r="D25" t="s">
        <v>35</v>
      </c>
      <c r="E25" s="4">
        <v>6353</v>
      </c>
      <c r="F25" s="3" t="s">
        <v>15</v>
      </c>
      <c r="I25">
        <f t="shared" si="0"/>
        <v>8040708</v>
      </c>
    </row>
    <row r="26" spans="1:10" x14ac:dyDescent="0.25">
      <c r="A26">
        <v>22</v>
      </c>
      <c r="B26" t="s">
        <v>10</v>
      </c>
      <c r="C26" s="1">
        <v>45742</v>
      </c>
      <c r="D26" t="s">
        <v>35</v>
      </c>
      <c r="E26" s="4">
        <v>6990</v>
      </c>
      <c r="F26" t="s">
        <v>15</v>
      </c>
      <c r="I26">
        <f t="shared" si="0"/>
        <v>8040708</v>
      </c>
    </row>
    <row r="27" spans="1:10" x14ac:dyDescent="0.25">
      <c r="A27">
        <v>23</v>
      </c>
      <c r="B27" t="s">
        <v>10</v>
      </c>
      <c r="C27" s="1">
        <v>45734</v>
      </c>
      <c r="D27" t="s">
        <v>36</v>
      </c>
      <c r="E27" s="4">
        <v>1087</v>
      </c>
      <c r="I27" t="e">
        <f t="shared" si="0"/>
        <v>#N/A</v>
      </c>
    </row>
    <row r="28" spans="1:10" x14ac:dyDescent="0.25">
      <c r="A28">
        <v>24</v>
      </c>
      <c r="B28" t="s">
        <v>10</v>
      </c>
      <c r="C28" s="1">
        <v>45735</v>
      </c>
      <c r="D28" t="s">
        <v>36</v>
      </c>
      <c r="E28" s="4">
        <v>1874</v>
      </c>
      <c r="I28" t="e">
        <f t="shared" si="0"/>
        <v>#N/A</v>
      </c>
    </row>
    <row r="29" spans="1:10" x14ac:dyDescent="0.25">
      <c r="A29">
        <v>25</v>
      </c>
      <c r="B29" t="s">
        <v>10</v>
      </c>
      <c r="C29" s="1">
        <v>45735</v>
      </c>
      <c r="D29" t="s">
        <v>36</v>
      </c>
      <c r="E29" s="4">
        <v>3889</v>
      </c>
      <c r="I29" t="e">
        <f t="shared" si="0"/>
        <v>#N/A</v>
      </c>
    </row>
    <row r="30" spans="1:10" x14ac:dyDescent="0.25">
      <c r="A30">
        <v>26</v>
      </c>
      <c r="B30" t="s">
        <v>10</v>
      </c>
      <c r="C30" s="1">
        <v>45736</v>
      </c>
      <c r="D30" t="s">
        <v>36</v>
      </c>
      <c r="E30" s="4">
        <v>1181</v>
      </c>
      <c r="I30" t="e">
        <f t="shared" si="0"/>
        <v>#N/A</v>
      </c>
    </row>
    <row r="31" spans="1:10" x14ac:dyDescent="0.25">
      <c r="A31">
        <v>27</v>
      </c>
      <c r="B31" t="s">
        <v>10</v>
      </c>
      <c r="C31" s="1">
        <v>45736</v>
      </c>
      <c r="D31" t="s">
        <v>36</v>
      </c>
      <c r="E31" s="4">
        <v>1218</v>
      </c>
      <c r="I31" t="e">
        <f t="shared" si="0"/>
        <v>#N/A</v>
      </c>
    </row>
    <row r="32" spans="1:10" x14ac:dyDescent="0.25">
      <c r="A32">
        <v>28</v>
      </c>
      <c r="B32" t="s">
        <v>10</v>
      </c>
      <c r="C32" s="1">
        <v>45736</v>
      </c>
      <c r="D32" t="s">
        <v>36</v>
      </c>
      <c r="E32" s="2">
        <v>319</v>
      </c>
      <c r="I32" t="e">
        <f t="shared" si="0"/>
        <v>#N/A</v>
      </c>
    </row>
    <row r="33" spans="1:9" x14ac:dyDescent="0.25">
      <c r="A33">
        <v>29</v>
      </c>
      <c r="B33" t="s">
        <v>10</v>
      </c>
      <c r="C33" s="1">
        <v>45736</v>
      </c>
      <c r="D33" t="s">
        <v>36</v>
      </c>
      <c r="E33" s="2">
        <v>47</v>
      </c>
      <c r="I33" t="e">
        <f t="shared" si="0"/>
        <v>#N/A</v>
      </c>
    </row>
    <row r="34" spans="1:9" x14ac:dyDescent="0.25">
      <c r="A34">
        <v>30</v>
      </c>
      <c r="B34" t="s">
        <v>10</v>
      </c>
      <c r="C34" s="1">
        <v>45736</v>
      </c>
      <c r="D34" t="s">
        <v>36</v>
      </c>
      <c r="E34" s="2">
        <v>2417</v>
      </c>
      <c r="I34" t="e">
        <f t="shared" si="0"/>
        <v>#N/A</v>
      </c>
    </row>
    <row r="35" spans="1:9" x14ac:dyDescent="0.25">
      <c r="A35">
        <v>31</v>
      </c>
      <c r="B35" t="s">
        <v>10</v>
      </c>
      <c r="C35" s="1">
        <v>45737</v>
      </c>
      <c r="D35" t="s">
        <v>36</v>
      </c>
      <c r="E35" s="2">
        <v>3542</v>
      </c>
      <c r="I35" t="e">
        <f t="shared" si="0"/>
        <v>#N/A</v>
      </c>
    </row>
    <row r="36" spans="1:9" x14ac:dyDescent="0.25">
      <c r="A36">
        <v>32</v>
      </c>
      <c r="B36" t="s">
        <v>10</v>
      </c>
      <c r="C36" s="1">
        <v>45737</v>
      </c>
      <c r="D36" t="s">
        <v>36</v>
      </c>
      <c r="E36" s="2">
        <v>131</v>
      </c>
      <c r="I36" t="e">
        <f t="shared" si="0"/>
        <v>#N/A</v>
      </c>
    </row>
    <row r="37" spans="1:9" x14ac:dyDescent="0.25">
      <c r="A37">
        <v>33</v>
      </c>
      <c r="B37" t="s">
        <v>10</v>
      </c>
      <c r="C37" s="1">
        <v>45737</v>
      </c>
      <c r="D37" t="s">
        <v>36</v>
      </c>
      <c r="E37" s="2">
        <v>159</v>
      </c>
      <c r="I37" t="e">
        <f t="shared" si="0"/>
        <v>#N/A</v>
      </c>
    </row>
    <row r="38" spans="1:9" x14ac:dyDescent="0.25">
      <c r="A38">
        <v>34</v>
      </c>
      <c r="B38" t="s">
        <v>10</v>
      </c>
      <c r="C38" s="1">
        <v>45737</v>
      </c>
      <c r="D38" t="s">
        <v>36</v>
      </c>
      <c r="E38" s="2">
        <v>150</v>
      </c>
      <c r="I38" t="e">
        <f t="shared" si="0"/>
        <v>#N/A</v>
      </c>
    </row>
    <row r="39" spans="1:9" x14ac:dyDescent="0.25">
      <c r="A39">
        <v>35</v>
      </c>
      <c r="B39" t="s">
        <v>10</v>
      </c>
      <c r="C39" s="1">
        <v>45737</v>
      </c>
      <c r="D39" t="s">
        <v>36</v>
      </c>
      <c r="E39" s="2">
        <v>7271</v>
      </c>
      <c r="I39" t="e">
        <f t="shared" si="0"/>
        <v>#N/A</v>
      </c>
    </row>
    <row r="40" spans="1:9" x14ac:dyDescent="0.25">
      <c r="A40">
        <v>36</v>
      </c>
      <c r="B40" t="s">
        <v>10</v>
      </c>
      <c r="C40" s="1">
        <v>45737</v>
      </c>
      <c r="D40" t="s">
        <v>36</v>
      </c>
      <c r="E40" s="2">
        <v>356</v>
      </c>
      <c r="I40" t="e">
        <f t="shared" si="0"/>
        <v>#N/A</v>
      </c>
    </row>
    <row r="41" spans="1:9" x14ac:dyDescent="0.25">
      <c r="A41">
        <v>37</v>
      </c>
      <c r="B41" t="s">
        <v>10</v>
      </c>
      <c r="C41" s="1">
        <v>45740</v>
      </c>
      <c r="D41" t="s">
        <v>36</v>
      </c>
      <c r="E41" s="2">
        <v>178</v>
      </c>
      <c r="I41" t="e">
        <f t="shared" si="0"/>
        <v>#N/A</v>
      </c>
    </row>
    <row r="42" spans="1:9" x14ac:dyDescent="0.25">
      <c r="A42">
        <v>38</v>
      </c>
      <c r="B42" t="s">
        <v>10</v>
      </c>
      <c r="C42" s="1">
        <v>45740</v>
      </c>
      <c r="D42" t="s">
        <v>36</v>
      </c>
      <c r="E42" s="2">
        <v>1359</v>
      </c>
      <c r="I42" t="e">
        <f t="shared" si="0"/>
        <v>#N/A</v>
      </c>
    </row>
    <row r="43" spans="1:9" x14ac:dyDescent="0.25">
      <c r="A43">
        <v>39</v>
      </c>
      <c r="B43" t="s">
        <v>10</v>
      </c>
      <c r="C43" s="1">
        <v>45743</v>
      </c>
      <c r="D43" t="s">
        <v>36</v>
      </c>
      <c r="E43" s="2">
        <v>3887</v>
      </c>
      <c r="I43" t="e">
        <f t="shared" si="0"/>
        <v>#N/A</v>
      </c>
    </row>
    <row r="46" spans="1:9" x14ac:dyDescent="0.25">
      <c r="D46" t="s">
        <v>37</v>
      </c>
      <c r="E46" s="2">
        <v>-108373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3F52-1874-47FB-9560-73CCF23998EB}">
  <dimension ref="A1"/>
  <sheetViews>
    <sheetView zoomScaleNormal="100" workbookViewId="0">
      <selection activeCell="J38" sqref="J3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A0DA14-9200-49D0-9BDB-6CFAAE35CE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8BB932-2ADA-486B-8C27-55212913E26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E51D7C60-0941-4746-B782-FDBC0054F8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2024-05-14T14:19:33Z</dcterms:created>
  <dcterms:modified xsi:type="dcterms:W3CDTF">2025-05-28T00:04:43Z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