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12 DESWIK/TDC/"/>
    </mc:Choice>
  </mc:AlternateContent>
  <xr:revisionPtr revIDLastSave="37" documentId="11_E324700AAC553CE0A1C21ED8968BFADD4D96E4AA" xr6:coauthVersionLast="47" xr6:coauthVersionMax="47" xr10:uidLastSave="{34E640DE-F676-4558-8427-BD8E837EE967}"/>
  <bookViews>
    <workbookView xWindow="-28890" yWindow="4500" windowWidth="28155" windowHeight="981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T39" i="1" l="1"/>
  <c r="BT40" i="1"/>
  <c r="BT41" i="1"/>
  <c r="BT42" i="1"/>
  <c r="BT43" i="1"/>
  <c r="BT44" i="1"/>
  <c r="BT45" i="1"/>
  <c r="BT46" i="1"/>
  <c r="BT47" i="1"/>
  <c r="BT48" i="1"/>
  <c r="BT49" i="1"/>
  <c r="BT50" i="1"/>
  <c r="BT38" i="1"/>
  <c r="BP46" i="1"/>
  <c r="BP45" i="1"/>
  <c r="BP44" i="1"/>
  <c r="BP37" i="1" l="1"/>
  <c r="BU50" i="1" l="1"/>
  <c r="BU51" i="1" s="1"/>
</calcChain>
</file>

<file path=xl/sharedStrings.xml><?xml version="1.0" encoding="utf-8"?>
<sst xmlns="http://schemas.openxmlformats.org/spreadsheetml/2006/main" count="205" uniqueCount="171">
  <si>
    <r>
      <rPr>
        <sz val="9.5"/>
        <rFont val="Arial MT"/>
        <family val="2"/>
      </rPr>
      <t>ESTADO DE CUENTA NACIONAL DE TARJETA DE CRÉDITO</t>
    </r>
  </si>
  <si>
    <r>
      <rPr>
        <sz val="9.5"/>
        <rFont val="Arial MT"/>
        <family val="2"/>
      </rPr>
      <t>NOMBRE DEL TITULAR</t>
    </r>
  </si>
  <si>
    <r>
      <rPr>
        <sz val="9.5"/>
        <rFont val="Arial MT"/>
        <family val="2"/>
      </rPr>
      <t>CAITLIN WHEAT</t>
    </r>
  </si>
  <si>
    <r>
      <rPr>
        <sz val="9.5"/>
        <rFont val="Arial MT"/>
        <family val="2"/>
      </rPr>
      <t>N° DE TARJETA DE CRÉDITO</t>
    </r>
  </si>
  <si>
    <r>
      <rPr>
        <sz val="9.5"/>
        <rFont val="Arial MT"/>
        <family val="2"/>
      </rPr>
      <t>XXXX XXX0  0004  4583</t>
    </r>
  </si>
  <si>
    <r>
      <rPr>
        <sz val="9.5"/>
        <rFont val="Arial MT"/>
        <family val="2"/>
      </rPr>
      <t>FECHA ESTADO DE CUENTA</t>
    </r>
  </si>
  <si>
    <r>
      <rPr>
        <sz val="9.5"/>
        <rFont val="Arial MT"/>
        <family val="2"/>
      </rPr>
      <t xml:space="preserve">558
</t>
    </r>
    <r>
      <rPr>
        <sz val="9.5"/>
        <rFont val="Arial MT"/>
        <family val="2"/>
      </rPr>
      <t>CAITLIN WHEAT ACCOUNTS.CHILE@DESWIK.COM</t>
    </r>
  </si>
  <si>
    <r>
      <rPr>
        <sz val="9.5"/>
        <rFont val="Arial MT"/>
        <family val="2"/>
      </rPr>
      <t>I.    INFORMACIÓN GENERAL</t>
    </r>
  </si>
  <si>
    <r>
      <rPr>
        <sz val="9.5"/>
        <rFont val="Arial MT"/>
        <family val="2"/>
      </rPr>
      <t>CUPO TOTAL</t>
    </r>
  </si>
  <si>
    <r>
      <rPr>
        <sz val="9.5"/>
        <rFont val="Arial MT"/>
        <family val="2"/>
      </rPr>
      <t>CUPO UTILIZADO</t>
    </r>
  </si>
  <si>
    <r>
      <rPr>
        <sz val="9.5"/>
        <rFont val="Arial MT"/>
        <family val="2"/>
      </rPr>
      <t>CUPO DISPONIBLE</t>
    </r>
  </si>
  <si>
    <r>
      <rPr>
        <sz val="15"/>
        <rFont val="Arial MT"/>
        <family val="2"/>
      </rPr>
      <t>CAE PREPAGO</t>
    </r>
  </si>
  <si>
    <r>
      <rPr>
        <sz val="9.5"/>
        <rFont val="Arial MT"/>
        <family val="2"/>
      </rPr>
      <t>2.500.000</t>
    </r>
  </si>
  <si>
    <r>
      <rPr>
        <sz val="9.5"/>
        <rFont val="Arial MT"/>
        <family val="2"/>
      </rPr>
      <t>$                  2.399.978</t>
    </r>
  </si>
  <si>
    <r>
      <rPr>
        <sz val="16"/>
        <rFont val="Arial MT"/>
        <family val="2"/>
      </rPr>
      <t>0,00 %</t>
    </r>
  </si>
  <si>
    <r>
      <rPr>
        <sz val="9.5"/>
        <rFont val="Arial MT"/>
        <family val="2"/>
      </rPr>
      <t>CUPO TOTAL AVANCE EN EFECTIVO</t>
    </r>
  </si>
  <si>
    <r>
      <rPr>
        <sz val="9.5"/>
        <rFont val="Arial MT"/>
        <family val="2"/>
      </rPr>
      <t>2.375.000</t>
    </r>
  </si>
  <si>
    <r>
      <rPr>
        <sz val="9.5"/>
        <rFont val="Arial MT"/>
        <family val="2"/>
      </rPr>
      <t>$                  2.375.000</t>
    </r>
  </si>
  <si>
    <r>
      <rPr>
        <sz val="9.5"/>
        <rFont val="Arial MT"/>
        <family val="2"/>
      </rPr>
      <t xml:space="preserve">SIN SELLO
</t>
    </r>
    <r>
      <rPr>
        <sz val="9.5"/>
        <rFont val="Arial MT"/>
        <family val="2"/>
      </rPr>
      <t>SERNAC</t>
    </r>
  </si>
  <si>
    <r>
      <rPr>
        <sz val="9.5"/>
        <rFont val="Arial MT"/>
        <family val="2"/>
      </rPr>
      <t>ROTATIVO</t>
    </r>
  </si>
  <si>
    <r>
      <rPr>
        <sz val="9.5"/>
        <rFont val="Arial MT"/>
        <family val="2"/>
      </rPr>
      <t>COMPRA EN CUOTAS</t>
    </r>
  </si>
  <si>
    <r>
      <rPr>
        <sz val="9.5"/>
        <rFont val="Arial MT"/>
        <family val="2"/>
      </rPr>
      <t>AVANCE EN CUOTAS</t>
    </r>
  </si>
  <si>
    <r>
      <rPr>
        <sz val="9.5"/>
        <rFont val="Arial MT"/>
        <family val="2"/>
      </rPr>
      <t>TASAINTERÉS VIGENTE</t>
    </r>
  </si>
  <si>
    <r>
      <rPr>
        <sz val="9.5"/>
        <rFont val="Arial MT"/>
        <family val="2"/>
      </rPr>
      <t>2,60%</t>
    </r>
  </si>
  <si>
    <r>
      <rPr>
        <sz val="9.5"/>
        <rFont val="Arial MT"/>
        <family val="2"/>
      </rPr>
      <t>CAE</t>
    </r>
  </si>
  <si>
    <r>
      <rPr>
        <sz val="9.5"/>
        <rFont val="Arial MT"/>
        <family val="2"/>
      </rPr>
      <t>41,68%</t>
    </r>
  </si>
  <si>
    <r>
      <rPr>
        <sz val="9.5"/>
        <rFont val="Arial MT"/>
        <family val="2"/>
      </rPr>
      <t>44,22%</t>
    </r>
  </si>
  <si>
    <r>
      <rPr>
        <sz val="9.5"/>
        <rFont val="Arial MT"/>
        <family val="2"/>
      </rPr>
      <t>DESDE</t>
    </r>
  </si>
  <si>
    <r>
      <rPr>
        <sz val="9.5"/>
        <rFont val="Arial MT"/>
        <family val="2"/>
      </rPr>
      <t>HASTA</t>
    </r>
  </si>
  <si>
    <r>
      <rPr>
        <sz val="9.5"/>
        <rFont val="Arial MT"/>
        <family val="2"/>
      </rPr>
      <t xml:space="preserve">CAE se calcula sobre un supuesto de gasto mensual de UF 20 y pagadero en 12 cuotas.
</t>
    </r>
    <r>
      <rPr>
        <sz val="9.5"/>
        <rFont val="Arial MT"/>
        <family val="2"/>
      </rPr>
      <t>Infórmese sobre las entidades autorizadas para emitir Tarjetas de Pago en el país, quienes se encuentran inscritas en los Registros de Emisores de Tarjetas que Ileva la CMF, en www.cmfchiIe.cl.</t>
    </r>
  </si>
  <si>
    <r>
      <rPr>
        <sz val="9.5"/>
        <rFont val="Arial MT"/>
        <family val="2"/>
      </rPr>
      <t>ER               URADO</t>
    </r>
  </si>
  <si>
    <r>
      <rPr>
        <sz val="9.5"/>
        <rFont val="Arial MT"/>
        <family val="2"/>
      </rPr>
      <t>28 03/2 0</t>
    </r>
  </si>
  <si>
    <r>
      <rPr>
        <sz val="9.5"/>
        <rFont val="Arial MT"/>
        <family val="2"/>
      </rPr>
      <t>2   20        )</t>
    </r>
  </si>
  <si>
    <r>
      <rPr>
        <sz val="9.5"/>
        <rFont val="Arial MT"/>
        <family val="2"/>
      </rPr>
      <t>II.   DETALLE</t>
    </r>
  </si>
  <si>
    <r>
      <rPr>
        <sz val="9.5"/>
        <rFont val="Arial MT"/>
        <family val="2"/>
      </rPr>
      <t>1. PER(ODO ANTERIOR</t>
    </r>
  </si>
  <si>
    <r>
      <rPr>
        <sz val="9.5"/>
        <rFont val="Arial MT"/>
        <family val="2"/>
      </rPr>
      <t xml:space="preserve">PERÍODO DE FACTURACIÓN ANTERIOR
</t>
    </r>
    <r>
      <rPr>
        <sz val="9.5"/>
        <rFont val="Arial MT"/>
        <family val="2"/>
      </rPr>
      <t xml:space="preserve">SALDO ADEUDADO INICIO PERIODO ANTERIOR MONTO FACTURADO A PAGAR (PERÍODO ANTERIOR) MONTO PAGADO PERÍODO ANTERIOR
</t>
    </r>
    <r>
      <rPr>
        <sz val="9.5"/>
        <rFont val="Arial MT"/>
        <family val="2"/>
      </rPr>
      <t>SALDO ADEUDADO FINAL PERÍODO ANTERIOR</t>
    </r>
  </si>
  <si>
    <r>
      <rPr>
        <sz val="9.5"/>
        <rFont val="Arial MT"/>
        <family val="2"/>
      </rPr>
      <t xml:space="preserve">8                     0
</t>
    </r>
    <r>
      <rPr>
        <sz val="9.5"/>
        <rFont val="Arial MT"/>
        <family val="2"/>
      </rPr>
      <t xml:space="preserve">$             309.853
</t>
    </r>
    <r>
      <rPr>
        <sz val="9.5"/>
        <rFont val="Arial MT"/>
        <family val="2"/>
      </rPr>
      <t xml:space="preserve">s            -309.853
</t>
    </r>
    <r>
      <rPr>
        <sz val="9.5"/>
        <rFont val="Arial MT"/>
        <family val="2"/>
      </rPr>
      <t>$                     g</t>
    </r>
  </si>
  <si>
    <r>
      <rPr>
        <sz val="9.5"/>
        <rFont val="Arial MT"/>
        <family val="2"/>
      </rPr>
      <t>2. PER(ODO AC</t>
    </r>
  </si>
  <si>
    <r>
      <rPr>
        <sz val="9.5"/>
        <rFont val="Arial MT"/>
        <family val="2"/>
      </rPr>
      <t>TUAL</t>
    </r>
  </si>
  <si>
    <r>
      <rPr>
        <sz val="9.5"/>
        <rFont val="Arial MT"/>
        <family val="2"/>
      </rPr>
      <t>LUGAR DE</t>
    </r>
  </si>
  <si>
    <r>
      <rPr>
        <sz val="9.5"/>
        <rFont val="Arial MT"/>
        <family val="2"/>
      </rPr>
      <t>|FECHA</t>
    </r>
  </si>
  <si>
    <r>
      <rPr>
        <sz val="9.5"/>
        <rFont val="Arial MT"/>
        <family val="2"/>
      </rPr>
      <t>CÓDIGO        DESCRIPCIÓN OPERACIÓN 0 COBRO</t>
    </r>
  </si>
  <si>
    <r>
      <rPr>
        <sz val="9.5"/>
        <rFont val="Arial MT"/>
        <family val="2"/>
      </rPr>
      <t>MONTO</t>
    </r>
  </si>
  <si>
    <r>
      <rPr>
        <sz val="9.5"/>
        <rFont val="Arial MT"/>
        <family val="2"/>
      </rPr>
      <t>GARGOSDELMES</t>
    </r>
  </si>
  <si>
    <r>
      <rPr>
        <sz val="9.5"/>
        <rFont val="Arial MT"/>
        <family val="2"/>
      </rPr>
      <t>OPERACIÓN</t>
    </r>
  </si>
  <si>
    <r>
      <rPr>
        <sz val="9.5"/>
        <rFont val="Arial MT"/>
        <family val="2"/>
      </rPr>
      <t>REFERENCIA</t>
    </r>
  </si>
  <si>
    <r>
      <rPr>
        <sz val="9.5"/>
        <rFont val="Arial MT"/>
        <family val="2"/>
      </rPr>
      <t>OPERACIÓN OCOBRO</t>
    </r>
  </si>
  <si>
    <r>
      <rPr>
        <sz val="9.5"/>
        <rFont val="Arial MT"/>
        <family val="2"/>
      </rPr>
      <t>TOTAL A PAGAR</t>
    </r>
  </si>
  <si>
    <r>
      <rPr>
        <sz val="9.5"/>
        <rFont val="Arial MT"/>
        <family val="2"/>
      </rPr>
      <t xml:space="preserve">N°         VALOR CUOTA </t>
    </r>
    <r>
      <rPr>
        <vertAlign val="superscript"/>
        <sz val="9.5"/>
        <rFont val="Arial MT"/>
        <family val="2"/>
      </rPr>
      <t xml:space="preserve">CUOTA   </t>
    </r>
    <r>
      <rPr>
        <sz val="9.5"/>
        <rFont val="Arial MT"/>
        <family val="2"/>
      </rPr>
      <t>MENSUAL</t>
    </r>
  </si>
  <si>
    <r>
      <rPr>
        <sz val="9.5"/>
        <rFont val="Arial MT"/>
        <family val="2"/>
      </rPr>
      <t>1.TOTAL OPERACIONES</t>
    </r>
  </si>
  <si>
    <r>
      <rPr>
        <sz val="9.5"/>
        <rFont val="Arial MT"/>
        <family val="2"/>
      </rPr>
      <t>|</t>
    </r>
  </si>
  <si>
    <r>
      <rPr>
        <sz val="9.5"/>
        <rFont val="Arial MT"/>
        <family val="2"/>
      </rPr>
      <t>|150400000000  PAGO AUTOMATICO                                          | $</t>
    </r>
  </si>
  <si>
    <r>
      <rPr>
        <sz val="9.5"/>
        <rFont val="Arial MT"/>
        <family val="2"/>
      </rPr>
      <t>-309.853 | $</t>
    </r>
  </si>
  <si>
    <r>
      <rPr>
        <sz val="9.5"/>
        <rFont val="Arial MT"/>
        <family val="2"/>
      </rPr>
      <t>-309.853 |</t>
    </r>
  </si>
  <si>
    <r>
      <rPr>
        <sz val="9.5"/>
        <rFont val="Arial MT"/>
        <family val="2"/>
      </rPr>
      <t>01/01</t>
    </r>
  </si>
  <si>
    <r>
      <rPr>
        <sz val="9.5"/>
        <rFont val="Arial MT"/>
        <family val="2"/>
      </rPr>
      <t>$         -309.853 |</t>
    </r>
  </si>
  <si>
    <r>
      <rPr>
        <sz val="9.5"/>
        <rFont val="Arial MT"/>
        <family val="2"/>
      </rPr>
      <t>TOTAL PAGOS A LA CUENTA</t>
    </r>
  </si>
  <si>
    <r>
      <rPr>
        <sz val="9.5"/>
        <rFont val="Arial MT"/>
        <family val="2"/>
      </rPr>
      <t>Sin Movimientos</t>
    </r>
  </si>
  <si>
    <r>
      <rPr>
        <sz val="9.5"/>
        <rFont val="Arial MT"/>
        <family val="2"/>
      </rPr>
      <t>TOTAI. PATA LA CUENTA</t>
    </r>
  </si>
  <si>
    <r>
      <rPr>
        <sz val="9.5"/>
        <rFont val="Arial MT"/>
        <family val="2"/>
      </rPr>
      <t>SANTIAGO</t>
    </r>
  </si>
  <si>
    <r>
      <rPr>
        <sz val="9.5"/>
        <rFont val="Arial MT"/>
        <family val="2"/>
      </rPr>
      <t>|160410519038  ERTC SPA            SANTIAGO                              | $</t>
    </r>
  </si>
  <si>
    <r>
      <rPr>
        <sz val="9.5"/>
        <rFont val="Arial MT"/>
        <family val="2"/>
      </rPr>
      <t>90.000 | $</t>
    </r>
  </si>
  <si>
    <r>
      <rPr>
        <sz val="9.5"/>
        <rFont val="Arial MT"/>
        <family val="2"/>
      </rPr>
      <t>90.000 |</t>
    </r>
  </si>
  <si>
    <r>
      <rPr>
        <sz val="9.5"/>
        <rFont val="Arial MT"/>
        <family val="2"/>
      </rPr>
      <t>TOTAI. TARJETA XXXX XXXX XXXX 4583</t>
    </r>
  </si>
  <si>
    <r>
      <rPr>
        <sz val="9.5"/>
        <rFont val="Arial MT"/>
        <family val="2"/>
      </rPr>
      <t>TOTAL TRANSACCIONES EN UNA CUOTA</t>
    </r>
  </si>
  <si>
    <r>
      <rPr>
        <sz val="9.5"/>
        <rFont val="Arial MT"/>
        <family val="2"/>
      </rPr>
      <t>PROBANTE DE PAGO</t>
    </r>
  </si>
  <si>
    <r>
      <rPr>
        <sz val="9.5"/>
        <rFont val="Arial MT"/>
        <family val="2"/>
      </rPr>
      <t>COMPROBANTE DE PAGO</t>
    </r>
  </si>
  <si>
    <r>
      <rPr>
        <sz val="9.5"/>
        <rFont val="Arial MT"/>
        <family val="2"/>
      </rPr>
      <t xml:space="preserve">NOMBRE
</t>
    </r>
    <r>
      <rPr>
        <sz val="9.5"/>
        <rFont val="Arial MT"/>
        <family val="2"/>
      </rPr>
      <t xml:space="preserve">CAITLIN WHEAT PAGAR HASTA 15/05/2025
</t>
    </r>
    <r>
      <rPr>
        <sz val="9.5"/>
        <rFont val="Arial MT"/>
        <family val="2"/>
      </rPr>
      <t xml:space="preserve">MONTO M NIMOA PAGAR
</t>
    </r>
    <r>
      <rPr>
        <sz val="9.5"/>
        <rFont val="Arial MT"/>
        <family val="2"/>
      </rPr>
      <t>$  5.826</t>
    </r>
  </si>
  <si>
    <r>
      <rPr>
        <sz val="9.5"/>
        <rFont val="Arial MT"/>
        <family val="2"/>
      </rPr>
      <t xml:space="preserve">NúMERO DE TARJETA
</t>
    </r>
    <r>
      <rPr>
        <sz val="9.5"/>
        <rFont val="Arial MT"/>
        <family val="2"/>
      </rPr>
      <t>0   0004     4583</t>
    </r>
  </si>
  <si>
    <r>
      <rPr>
        <sz val="9.5"/>
        <rFont val="Arial MT"/>
        <family val="2"/>
      </rPr>
      <t xml:space="preserve">MONTO TOTAL FACTURADO A PAGAR
</t>
    </r>
    <r>
      <rPr>
        <sz val="9.5"/>
        <rFont val="Arial MT"/>
        <family val="2"/>
      </rPr>
      <t>$ 100.022</t>
    </r>
  </si>
  <si>
    <r>
      <rPr>
        <sz val="9.5"/>
        <rFont val="Arial MT"/>
        <family val="2"/>
      </rPr>
      <t>MONTO CANCELADO</t>
    </r>
  </si>
  <si>
    <r>
      <rPr>
        <sz val="9.5"/>
        <rFont val="Arial MT"/>
        <family val="2"/>
      </rPr>
      <t>Cheque</t>
    </r>
  </si>
  <si>
    <r>
      <rPr>
        <sz val="9.5"/>
        <rFont val="Arial MT"/>
        <family val="2"/>
      </rPr>
      <t>Efectivo                                    Cheque</t>
    </r>
  </si>
  <si>
    <r>
      <rPr>
        <sz val="9.5"/>
        <rFont val="Arial MT"/>
        <family val="2"/>
      </rPr>
      <t>Efectivo</t>
    </r>
  </si>
  <si>
    <r>
      <rPr>
        <sz val="10"/>
        <rFont val="Arial MT"/>
        <family val="2"/>
      </rPr>
      <t>2. PER(ODO ACTUAL</t>
    </r>
  </si>
  <si>
    <r>
      <rPr>
        <sz val="9"/>
        <rFont val="Arial MT"/>
        <family val="2"/>
      </rPr>
      <t xml:space="preserve">LUGAR DE      FECHA         CÓDIGO         DESCRIPCIÓN OPERACIÓN 0 COBRO OPERACIÓN    OPERACIÓN  REFERENCIA
</t>
    </r>
    <r>
      <rPr>
        <sz val="9"/>
        <rFont val="Arial MT"/>
        <family val="2"/>
      </rPr>
      <t>Sin Movimientos</t>
    </r>
  </si>
  <si>
    <r>
      <rPr>
        <sz val="9"/>
        <rFont val="Arial MT"/>
        <family val="2"/>
      </rPr>
      <t xml:space="preserve">MONTO              MONTO
</t>
    </r>
    <r>
      <rPr>
        <sz val="9"/>
        <rFont val="Arial MT"/>
        <family val="2"/>
      </rPr>
      <t xml:space="preserve">OPERACIÓN        TOTAL A
</t>
    </r>
    <r>
      <rPr>
        <sz val="9"/>
        <rFont val="Arial MT"/>
        <family val="2"/>
      </rPr>
      <t>O COBRO           PAGAR</t>
    </r>
  </si>
  <si>
    <r>
      <rPr>
        <sz val="9"/>
        <rFont val="Arial MT"/>
        <family val="2"/>
      </rPr>
      <t xml:space="preserve">CARGOS DEL MES N°         VALOR CUOTA
</t>
    </r>
    <r>
      <rPr>
        <vertAlign val="superscript"/>
        <sz val="9"/>
        <rFont val="Arial MT"/>
        <family val="2"/>
      </rPr>
      <t xml:space="preserve">CUOTA   </t>
    </r>
    <r>
      <rPr>
        <sz val="9"/>
        <rFont val="Arial MT"/>
        <family val="2"/>
      </rPr>
      <t>MENSUAL</t>
    </r>
  </si>
  <si>
    <r>
      <rPr>
        <sz val="9"/>
        <rFont val="Arial MT"/>
        <family val="2"/>
      </rPr>
      <t xml:space="preserve">TOTAL TRANSACCIONES EN CUOTAS                                                                              </t>
    </r>
    <r>
      <rPr>
        <vertAlign val="subscript"/>
        <sz val="9"/>
        <rFont val="Arial MT"/>
        <family val="2"/>
      </rPr>
      <t xml:space="preserve">0
</t>
    </r>
    <r>
      <rPr>
        <sz val="9"/>
        <rFont val="Arial MT"/>
        <family val="2"/>
      </rPr>
      <t xml:space="preserve">2.PRODUCTOS 0 SERVICIOS VOLUNTARIAMENTE CONTRATADOS
</t>
    </r>
    <r>
      <rPr>
        <sz val="9"/>
        <rFont val="Arial MT"/>
        <family val="2"/>
      </rPr>
      <t xml:space="preserve">Sin Movimientos
</t>
    </r>
    <r>
      <rPr>
        <sz val="9"/>
        <rFont val="Arial MT"/>
        <family val="2"/>
      </rPr>
      <t xml:space="preserve">TOTAI. PRODUCTOS O SERVICIOS VOLUNTARIAMENTE CONTRATADOS                                                      </t>
    </r>
    <r>
      <rPr>
        <vertAlign val="subscript"/>
        <sz val="9"/>
        <rFont val="Arial MT"/>
        <family val="2"/>
      </rPr>
      <t xml:space="preserve">0
</t>
    </r>
    <r>
      <rPr>
        <sz val="9"/>
        <rFont val="Arial MT"/>
        <family val="2"/>
      </rPr>
      <t>3.CARGOS, COMISIONES, IMPUESTOS Y ABONOS</t>
    </r>
  </si>
  <si>
    <r>
      <rPr>
        <sz val="9"/>
        <rFont val="Arial MT"/>
        <family val="2"/>
      </rPr>
      <t>COMISION COMPRA INTERNACIONAL</t>
    </r>
  </si>
  <si>
    <r>
      <rPr>
        <sz val="9"/>
        <rFont val="Arial MT"/>
        <family val="2"/>
      </rPr>
      <t>01/01</t>
    </r>
  </si>
  <si>
    <r>
      <rPr>
        <sz val="9"/>
        <rFont val="Arial MT"/>
        <family val="2"/>
      </rPr>
      <t>COMISION MENSUAL POR MANTENCION</t>
    </r>
  </si>
  <si>
    <r>
      <rPr>
        <sz val="9"/>
        <rFont val="Arial MT"/>
        <family val="2"/>
      </rPr>
      <t>TOTAI. CARGOS, COMISIONES,</t>
    </r>
  </si>
  <si>
    <r>
      <rPr>
        <sz val="10"/>
        <rFont val="Arial MT"/>
        <family val="2"/>
      </rPr>
      <t>Y ABONOS</t>
    </r>
  </si>
  <si>
    <r>
      <rPr>
        <sz val="9"/>
        <rFont val="Arial MT"/>
        <family val="2"/>
      </rPr>
      <t>III. INFORMACIÓN DE PAGO</t>
    </r>
  </si>
  <si>
    <r>
      <rPr>
        <sz val="9"/>
        <rFont val="Arial MT"/>
        <family val="2"/>
      </rPr>
      <t>EVOLUCIÓN MONTOS FACTURADOS Y PAGADOS</t>
    </r>
  </si>
  <si>
    <r>
      <rPr>
        <sz val="9"/>
        <rFont val="Arial MT"/>
        <family val="2"/>
      </rPr>
      <t>MONTO TOTAL FACTURADO A PAGAR (</t>
    </r>
  </si>
  <si>
    <r>
      <rPr>
        <sz val="9"/>
        <rFont val="Arial MT"/>
        <family val="2"/>
      </rPr>
      <t>)</t>
    </r>
  </si>
  <si>
    <r>
      <rPr>
        <sz val="9"/>
        <rFont val="Arial MT"/>
        <family val="2"/>
      </rPr>
      <t>MONTO MÍNIMO A PAGAR</t>
    </r>
  </si>
  <si>
    <r>
      <rPr>
        <sz val="9"/>
        <rFont val="Arial MT"/>
        <family val="2"/>
      </rPr>
      <t>COSTO MONETARIO PREPAGO</t>
    </r>
  </si>
  <si>
    <r>
      <rPr>
        <sz val="9"/>
        <rFont val="Arial MT"/>
        <family val="2"/>
      </rPr>
      <t>CARGO AUTOMÁTICO</t>
    </r>
  </si>
  <si>
    <r>
      <rPr>
        <sz val="4.5"/>
        <rFont val="Arial MT"/>
        <family val="2"/>
      </rPr>
      <t xml:space="preserve">185.912
</t>
    </r>
    <r>
      <rPr>
        <sz val="4.5"/>
        <rFont val="Arial MT"/>
        <family val="2"/>
      </rPr>
      <t xml:space="preserve">123.941
</t>
    </r>
    <r>
      <rPr>
        <sz val="5.5"/>
        <rFont val="Courier New"/>
        <family val="3"/>
      </rPr>
      <t xml:space="preserve">0--
</t>
    </r>
    <r>
      <rPr>
        <sz val="4.5"/>
        <rFont val="Arial MT"/>
        <family val="2"/>
      </rPr>
      <t>01//025                03/2025</t>
    </r>
  </si>
  <si>
    <r>
      <rPr>
        <sz val="9"/>
        <rFont val="Arial MT"/>
        <family val="2"/>
      </rPr>
      <t>*La liberación de Monto Mínimo a Pagar no impide que se devenguen intereses por el saldo insoluto</t>
    </r>
  </si>
  <si>
    <r>
      <rPr>
        <sz val="9"/>
        <rFont val="Arial MT"/>
        <family val="2"/>
      </rPr>
      <t>VENCIMIENTO PRÓXIMOS 4 MESES</t>
    </r>
  </si>
  <si>
    <r>
      <rPr>
        <sz val="9"/>
        <rFont val="Arial MT"/>
        <family val="2"/>
      </rPr>
      <t>ACTUAL</t>
    </r>
  </si>
  <si>
    <r>
      <rPr>
        <sz val="9"/>
        <rFont val="Arial MT"/>
        <family val="2"/>
      </rPr>
      <t>MAYO</t>
    </r>
  </si>
  <si>
    <r>
      <rPr>
        <sz val="9"/>
        <rFont val="Arial MT"/>
        <family val="2"/>
      </rPr>
      <t>JUNIO</t>
    </r>
  </si>
  <si>
    <r>
      <rPr>
        <sz val="9"/>
        <rFont val="Arial MT"/>
        <family val="2"/>
      </rPr>
      <t>JULIO</t>
    </r>
  </si>
  <si>
    <r>
      <rPr>
        <sz val="9"/>
        <rFont val="Arial MT"/>
        <family val="2"/>
      </rPr>
      <t>AGOSTO</t>
    </r>
  </si>
  <si>
    <r>
      <rPr>
        <sz val="7"/>
        <rFont val="Arial MT"/>
        <family val="2"/>
      </rPr>
      <t>Monto Facturado Monto Pagado</t>
    </r>
  </si>
  <si>
    <r>
      <rPr>
        <sz val="9"/>
        <rFont val="Arial MT"/>
        <family val="2"/>
      </rPr>
      <t>DESDE</t>
    </r>
  </si>
  <si>
    <r>
      <rPr>
        <sz val="9"/>
        <rFont val="Arial MT"/>
        <family val="2"/>
      </rPr>
      <t>HASTA</t>
    </r>
  </si>
  <si>
    <r>
      <rPr>
        <sz val="9"/>
        <rFont val="Arial MT"/>
        <family val="2"/>
      </rPr>
      <t>PRÓXIMO PERÍODO DE FACTURACIÓN</t>
    </r>
  </si>
  <si>
    <r>
      <rPr>
        <sz val="9"/>
        <rFont val="Arial MT"/>
        <family val="2"/>
      </rPr>
      <t>IV. COSTOS POR ATRA50</t>
    </r>
  </si>
  <si>
    <r>
      <rPr>
        <sz val="9"/>
        <rFont val="Arial MT"/>
        <family val="2"/>
      </rPr>
      <t>INTERÉS MORATORIO</t>
    </r>
  </si>
  <si>
    <r>
      <rPr>
        <sz val="9"/>
        <rFont val="Arial MT"/>
        <family val="2"/>
      </rPr>
      <t>31,20%</t>
    </r>
  </si>
  <si>
    <r>
      <rPr>
        <sz val="9"/>
        <rFont val="Arial MT"/>
        <family val="2"/>
      </rPr>
      <t>EXCEDAN UF 50</t>
    </r>
  </si>
  <si>
    <r>
      <rPr>
        <sz val="9"/>
        <rFont val="Arial MT"/>
        <family val="2"/>
      </rPr>
      <t>LOS PAGOS CON RETRASO GENERARÁN UN RECARGO POR CONCEPTO DE LOS GASTOS DE COBRANZA EN QUE SE INCURRA DE ACUERDO A LO DISPUESTO EN LA LEY N° 19.496</t>
    </r>
  </si>
  <si>
    <r>
      <rPr>
        <sz val="9"/>
        <rFont val="Arial MT"/>
        <family val="2"/>
      </rPr>
      <t>SI TIENE TRANSACCIONES EN CUOTAS Y PAGA EL TOTAL DEL CUPO UTILIZADO, SOLICITE ACELERACIÓN DE CUOTAS A BANCA TELEFÓNICA</t>
    </r>
  </si>
  <si>
    <r>
      <rPr>
        <sz val="9.5"/>
        <rFont val="Arial MT"/>
        <family val="2"/>
      </rPr>
      <t>ESTADO DE CUENTA INTERNACIONAL DE TARJETA DE CREDITO</t>
    </r>
  </si>
  <si>
    <r>
      <rPr>
        <sz val="9.5"/>
        <rFont val="Arial MT"/>
        <family val="2"/>
      </rPr>
      <t>N° DE TARJETA DE CREDITO</t>
    </r>
  </si>
  <si>
    <r>
      <rPr>
        <sz val="9.5"/>
        <rFont val="Arial MT"/>
        <family val="2"/>
      </rPr>
      <t>I.    INFORMACION GENERAL</t>
    </r>
  </si>
  <si>
    <r>
      <rPr>
        <sz val="9.5"/>
        <rFont val="Arial MT"/>
        <family val="2"/>
      </rPr>
      <t>CUPO UTILIZAOO</t>
    </r>
  </si>
  <si>
    <r>
      <rPr>
        <sz val="9.5"/>
        <rFont val="Arial MT"/>
        <family val="2"/>
      </rPr>
      <t xml:space="preserve">2.000,00  US$                  249,18  US$                1.750,82
</t>
    </r>
    <r>
      <rPr>
        <sz val="9.5"/>
        <rFont val="Arial MT"/>
        <family val="2"/>
      </rPr>
      <t>2.000,00  US$                     0,00  US$                1.750,82</t>
    </r>
  </si>
  <si>
    <r>
      <rPr>
        <sz val="9.5"/>
        <rFont val="Arial MT"/>
        <family val="2"/>
      </rPr>
      <t>1. INFORMACIÓN DE PAGO</t>
    </r>
  </si>
  <si>
    <r>
      <rPr>
        <sz val="9.5"/>
        <rFont val="Arial MT"/>
        <family val="2"/>
      </rPr>
      <t>SALDO ANTERIOR FACTURADO</t>
    </r>
  </si>
  <si>
    <r>
      <rPr>
        <sz val="9.5"/>
        <rFont val="Arial MT"/>
        <family val="2"/>
      </rPr>
      <t>US$                     0,00</t>
    </r>
  </si>
  <si>
    <r>
      <rPr>
        <sz val="9.5"/>
        <rFont val="Arial MT"/>
        <family val="2"/>
      </rPr>
      <t>PERIODO FACTURADO DESDE</t>
    </r>
  </si>
  <si>
    <r>
      <rPr>
        <sz val="9.5"/>
        <rFont val="Arial MT"/>
        <family val="2"/>
      </rPr>
      <t>ABONOREALIZADO</t>
    </r>
  </si>
  <si>
    <r>
      <rPr>
        <sz val="9.5"/>
        <rFont val="Arial MT"/>
        <family val="2"/>
      </rPr>
      <t>PERIODO FACTURADO HASTA</t>
    </r>
  </si>
  <si>
    <r>
      <rPr>
        <sz val="9.5"/>
        <rFont val="Arial MT"/>
        <family val="2"/>
      </rPr>
      <t>TRASPASO DEUDANACIONAL</t>
    </r>
  </si>
  <si>
    <r>
      <rPr>
        <sz val="9.5"/>
        <rFont val="Arial MT"/>
        <family val="2"/>
      </rPr>
      <t>PAGAR HASTA</t>
    </r>
  </si>
  <si>
    <r>
      <rPr>
        <sz val="9.5"/>
        <rFont val="Arial MT"/>
        <family val="2"/>
      </rPr>
      <t>DEUDATOTAL</t>
    </r>
  </si>
  <si>
    <r>
      <rPr>
        <sz val="9.5"/>
        <rFont val="Arial MT"/>
        <family val="2"/>
      </rPr>
      <t>US$                  249,18</t>
    </r>
  </si>
  <si>
    <r>
      <rPr>
        <sz val="9.5"/>
        <rFont val="Arial MT"/>
        <family val="2"/>
      </rPr>
      <t>Infómese sobre las entidades autorizadas para emitir Tarjetas de Pago en el país, quienes se encuentran inscritas en los Registros de Emisores de Tarjetas que Ileva la CMF, en www.cmfchiIe.cl.</t>
    </r>
  </si>
  <si>
    <r>
      <rPr>
        <sz val="9.5"/>
        <rFont val="Arial MT"/>
        <family val="2"/>
      </rPr>
      <t>2. INFORMACIÓN DE TRANSACCIONES</t>
    </r>
  </si>
  <si>
    <r>
      <rPr>
        <sz val="9.5"/>
        <rFont val="Arial MT"/>
        <family val="2"/>
      </rPr>
      <t>NÚMERO REFERENCIA INTERNACIONAL</t>
    </r>
  </si>
  <si>
    <r>
      <rPr>
        <sz val="9.5"/>
        <rFont val="Arial MT"/>
        <family val="2"/>
      </rPr>
      <t>FECHA OPERACIÓN</t>
    </r>
  </si>
  <si>
    <r>
      <rPr>
        <sz val="9.5"/>
        <rFont val="Arial MT"/>
        <family val="2"/>
      </rPr>
      <t>DESCRIPCIÓN OPERACIÓN 0 COBRO</t>
    </r>
  </si>
  <si>
    <r>
      <rPr>
        <sz val="9.5"/>
        <rFont val="Arial MT"/>
        <family val="2"/>
      </rPr>
      <t>CIUDAD</t>
    </r>
  </si>
  <si>
    <r>
      <rPr>
        <sz val="9.5"/>
        <rFont val="Arial MT"/>
        <family val="2"/>
      </rPr>
      <t>PAÍS</t>
    </r>
  </si>
  <si>
    <r>
      <rPr>
        <sz val="9.5"/>
        <rFont val="Arial MT"/>
        <family val="2"/>
      </rPr>
      <t>MONTO MONEDA ORIGEN</t>
    </r>
  </si>
  <si>
    <r>
      <rPr>
        <sz val="9.5"/>
        <rFont val="Arial MT"/>
        <family val="2"/>
      </rPr>
      <t>MONTO US$</t>
    </r>
  </si>
  <si>
    <r>
      <rPr>
        <sz val="9.5"/>
        <rFont val="Arial MT"/>
        <family val="2"/>
      </rPr>
      <t>TOTAL DE PAGOS</t>
    </r>
  </si>
  <si>
    <r>
      <rPr>
        <sz val="9.5"/>
        <rFont val="Arial MT"/>
        <family val="2"/>
      </rPr>
      <t>0,00</t>
    </r>
  </si>
  <si>
    <r>
      <rPr>
        <sz val="9.5"/>
        <rFont val="Arial MT"/>
        <family val="2"/>
      </rPr>
      <t>TOTAL DE COMPRA3</t>
    </r>
  </si>
  <si>
    <r>
      <rPr>
        <sz val="9.5"/>
        <rFont val="Arial MT"/>
        <family val="2"/>
      </rPr>
      <t>246,18</t>
    </r>
  </si>
  <si>
    <r>
      <rPr>
        <sz val="9.5"/>
        <rFont val="Arial MT"/>
        <family val="2"/>
      </rPr>
      <t>1004 65353105099900035257035</t>
    </r>
  </si>
  <si>
    <r>
      <rPr>
        <sz val="9.5"/>
        <rFont val="Arial MT"/>
        <family val="2"/>
      </rPr>
      <t>HOME AFFAIRS - ONLINE                                SOUTHPORT</t>
    </r>
  </si>
  <si>
    <r>
      <rPr>
        <sz val="9.5"/>
        <rFont val="Arial MT"/>
        <family val="2"/>
      </rPr>
      <t>AU</t>
    </r>
  </si>
  <si>
    <r>
      <rPr>
        <sz val="9.5"/>
        <rFont val="Arial MT"/>
        <family val="2"/>
      </rPr>
      <t>197,73</t>
    </r>
  </si>
  <si>
    <r>
      <rPr>
        <sz val="9.5"/>
        <rFont val="Arial MT"/>
        <family val="2"/>
      </rPr>
      <t>121,67</t>
    </r>
  </si>
  <si>
    <r>
      <rPr>
        <sz val="9.5"/>
        <rFont val="Arial MT"/>
        <family val="2"/>
      </rPr>
      <t>2104 65353105107900024122349</t>
    </r>
  </si>
  <si>
    <r>
      <rPr>
        <sz val="9.5"/>
        <rFont val="Arial MT"/>
        <family val="2"/>
      </rPr>
      <t>127,51</t>
    </r>
  </si>
  <si>
    <r>
      <rPr>
        <sz val="9.5"/>
        <rFont val="Arial MT"/>
        <family val="2"/>
      </rPr>
      <t>TOTAL TARJETA XXXX XXXX XXXX 4583</t>
    </r>
  </si>
  <si>
    <r>
      <rPr>
        <sz val="9.5"/>
        <rFont val="Arial MT"/>
        <family val="2"/>
      </rPr>
      <t>COMPROBANTEDEPAGO</t>
    </r>
  </si>
  <si>
    <r>
      <rPr>
        <sz val="9.5"/>
        <rFont val="Arial MT"/>
        <family val="2"/>
      </rPr>
      <t>COMPROBANTE DE PAGD</t>
    </r>
  </si>
  <si>
    <r>
      <rPr>
        <sz val="9.5"/>
        <rFont val="Arial MT"/>
        <family val="2"/>
      </rPr>
      <t xml:space="preserve">Nombte
</t>
    </r>
    <r>
      <rPr>
        <sz val="9.5"/>
        <rFont val="Arial MT"/>
        <family val="2"/>
      </rPr>
      <t xml:space="preserve">CAITLIN WHEAT
</t>
    </r>
    <r>
      <rPr>
        <sz val="9.5"/>
        <rFont val="Arial MT"/>
        <family val="2"/>
      </rPr>
      <t xml:space="preserve">Pagar Hasta 15/05/2025
</t>
    </r>
    <r>
      <rPr>
        <sz val="9.5"/>
        <rFont val="Arial MT"/>
        <family val="2"/>
      </rPr>
      <t>Morib Cancdado US$</t>
    </r>
  </si>
  <si>
    <r>
      <rPr>
        <sz val="9.5"/>
        <rFont val="Arial MT"/>
        <family val="2"/>
      </rPr>
      <t xml:space="preserve">Námaro da Tajab
</t>
    </r>
    <r>
      <rPr>
        <sz val="9.5"/>
        <rFont val="Arial MT"/>
        <family val="2"/>
      </rPr>
      <t xml:space="preserve">Monlo Fadufado US$ 249,18
</t>
    </r>
    <r>
      <rPr>
        <sz val="9.5"/>
        <rFont val="Arial MT"/>
        <family val="2"/>
      </rPr>
      <t>Cheque    El Efediyo</t>
    </r>
  </si>
  <si>
    <r>
      <rPr>
        <sz val="9.5"/>
        <rFont val="Arial MT"/>
        <family val="2"/>
      </rPr>
      <t xml:space="preserve">Nombre
</t>
    </r>
    <r>
      <rPr>
        <sz val="9.5"/>
        <rFont val="Arial MT"/>
        <family val="2"/>
      </rPr>
      <t xml:space="preserve">0   0004     4583         CAITLIN WHEAT
</t>
    </r>
    <r>
      <rPr>
        <sz val="9.5"/>
        <rFont val="Arial MT"/>
        <family val="2"/>
      </rPr>
      <t xml:space="preserve">PagarHeds 15/05/2025
</t>
    </r>
    <r>
      <rPr>
        <b/>
        <sz val="9.5"/>
        <rFont val="Arial"/>
        <family val="2"/>
      </rPr>
      <t xml:space="preserve">Morib Cancelado
</t>
    </r>
    <r>
      <rPr>
        <sz val="9.5"/>
        <rFont val="Arial MT"/>
        <family val="2"/>
      </rPr>
      <t>US$</t>
    </r>
  </si>
  <si>
    <r>
      <rPr>
        <sz val="9.5"/>
        <rFont val="Arial MT"/>
        <family val="2"/>
      </rPr>
      <t xml:space="preserve">NúmemdeTsjmW
</t>
    </r>
    <r>
      <rPr>
        <sz val="9.5"/>
        <rFont val="Arial MT"/>
        <family val="2"/>
      </rPr>
      <t xml:space="preserve">Monb Faclzifado US$ 249,18
</t>
    </r>
    <r>
      <rPr>
        <sz val="9.5"/>
        <rFont val="Arial MT"/>
        <family val="2"/>
      </rPr>
      <t>Chaque     O Efedivo</t>
    </r>
  </si>
  <si>
    <r>
      <rPr>
        <sz val="9.5"/>
        <rFont val="Arial MT"/>
        <family val="2"/>
      </rPr>
      <t>0   0004     4583</t>
    </r>
  </si>
  <si>
    <r>
      <rPr>
        <sz val="9.5"/>
        <rFont val="Arial MT"/>
        <family val="2"/>
      </rPr>
      <t>Timbre</t>
    </r>
  </si>
  <si>
    <t>Comentarios</t>
  </si>
  <si>
    <t>Factura</t>
  </si>
  <si>
    <t>Rut</t>
  </si>
  <si>
    <t>Cuenta</t>
  </si>
  <si>
    <t>Traslado</t>
  </si>
  <si>
    <t>Telefono</t>
  </si>
  <si>
    <t>Otros gastos generales</t>
  </si>
  <si>
    <t>TDC CLP</t>
  </si>
  <si>
    <t>DIF</t>
  </si>
  <si>
    <t>Alimentación</t>
  </si>
  <si>
    <t>Materiales de oficina</t>
  </si>
  <si>
    <t>Patente</t>
  </si>
  <si>
    <t>Gto. Bancario</t>
  </si>
  <si>
    <t>Hospedaje</t>
  </si>
  <si>
    <t>Gastos de Aseo</t>
  </si>
  <si>
    <t>Vuelo</t>
  </si>
  <si>
    <t>proveedores</t>
  </si>
  <si>
    <t>TDC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</si>
</sst>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 * #,##0_ ;_ * \-#,##0_ ;_ * &quot;-&quot;_ ;_ @_ "/>
    <numFmt numFmtId="164" formatCode="dd/mm/yyyy;@"/>
    <numFmt numFmtId="165" formatCode="\$\ 0.00"/>
    <numFmt numFmtId="166" formatCode="\$\ 0"/>
    <numFmt numFmtId="167" formatCode="0.000"/>
  </numFmts>
  <fonts count="24">
    <font>
      <sz val="10"/>
      <color rgb="FF000000"/>
      <name val="Times New Roman"/>
      <charset val="204"/>
    </font>
    <font>
      <sz val="9.5"/>
      <name val="Arial MT"/>
    </font>
    <font>
      <sz val="9.5"/>
      <color rgb="FF000000"/>
      <name val="Arial MT"/>
      <family val="2"/>
    </font>
    <font>
      <sz val="15"/>
      <name val="Arial MT"/>
    </font>
    <font>
      <sz val="16"/>
      <name val="Arial MT"/>
    </font>
    <font>
      <sz val="10"/>
      <name val="Arial MT"/>
    </font>
    <font>
      <sz val="9"/>
      <color rgb="FF000000"/>
      <name val="Arial MT"/>
      <family val="2"/>
    </font>
    <font>
      <sz val="9"/>
      <name val="Arial MT"/>
    </font>
    <font>
      <sz val="7"/>
      <name val="Arial MT"/>
    </font>
    <font>
      <sz val="9.5"/>
      <name val="Arial MT"/>
      <family val="2"/>
    </font>
    <font>
      <sz val="15"/>
      <name val="Arial MT"/>
      <family val="2"/>
    </font>
    <font>
      <sz val="16"/>
      <name val="Arial MT"/>
      <family val="2"/>
    </font>
    <font>
      <vertAlign val="superscript"/>
      <sz val="9.5"/>
      <name val="Arial MT"/>
      <family val="2"/>
    </font>
    <font>
      <sz val="10"/>
      <name val="Arial MT"/>
      <family val="2"/>
    </font>
    <font>
      <sz val="9"/>
      <name val="Arial MT"/>
      <family val="2"/>
    </font>
    <font>
      <vertAlign val="superscript"/>
      <sz val="9"/>
      <name val="Arial MT"/>
      <family val="2"/>
    </font>
    <font>
      <vertAlign val="subscript"/>
      <sz val="9"/>
      <name val="Arial MT"/>
      <family val="2"/>
    </font>
    <font>
      <sz val="4.5"/>
      <name val="Arial MT"/>
      <family val="2"/>
    </font>
    <font>
      <sz val="5.5"/>
      <name val="Courier New"/>
      <family val="3"/>
    </font>
    <font>
      <sz val="7"/>
      <name val="Arial MT"/>
      <family val="2"/>
    </font>
    <font>
      <b/>
      <sz val="9.5"/>
      <name val="Arial"/>
      <family val="2"/>
    </font>
    <font>
      <sz val="10"/>
      <color rgb="FF000000"/>
      <name val="Times New Roman"/>
      <family val="1"/>
    </font>
    <font>
      <b/>
      <sz val="10"/>
      <color rgb="FF002060"/>
      <name val="Times New Roman"/>
      <family val="1"/>
    </font>
    <font>
      <sz val="10"/>
      <color rgb="FFC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FFFFFF"/>
      </right>
      <top style="thin">
        <color rgb="FF000000"/>
      </top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/>
      <top style="thin">
        <color rgb="FF000000"/>
      </top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131313"/>
      </left>
      <right/>
      <top style="thin">
        <color rgb="FF131313"/>
      </top>
      <bottom/>
      <diagonal/>
    </border>
    <border>
      <left/>
      <right/>
      <top style="thin">
        <color rgb="FF131313"/>
      </top>
      <bottom/>
      <diagonal/>
    </border>
    <border>
      <left/>
      <right style="thin">
        <color rgb="FF131313"/>
      </right>
      <top style="thin">
        <color rgb="FF131313"/>
      </top>
      <bottom/>
      <diagonal/>
    </border>
    <border>
      <left style="thin">
        <color rgb="FF0F0F0F"/>
      </left>
      <right/>
      <top style="thin">
        <color rgb="FF0F0F0F"/>
      </top>
      <bottom/>
      <diagonal/>
    </border>
    <border>
      <left/>
      <right/>
      <top style="thin">
        <color rgb="FF0F0F0F"/>
      </top>
      <bottom/>
      <diagonal/>
    </border>
    <border>
      <left/>
      <right style="thin">
        <color rgb="FF0F0F0F"/>
      </right>
      <top style="thin">
        <color rgb="FF0F0F0F"/>
      </top>
      <bottom/>
      <diagonal/>
    </border>
    <border>
      <left style="thin">
        <color rgb="FF131313"/>
      </left>
      <right/>
      <top/>
      <bottom/>
      <diagonal/>
    </border>
    <border>
      <left/>
      <right style="thin">
        <color rgb="FF131313"/>
      </right>
      <top/>
      <bottom/>
      <diagonal/>
    </border>
    <border>
      <left style="thin">
        <color rgb="FF0F0F0F"/>
      </left>
      <right/>
      <top/>
      <bottom/>
      <diagonal/>
    </border>
    <border>
      <left/>
      <right style="thin">
        <color rgb="FF0F0F0F"/>
      </right>
      <top/>
      <bottom/>
      <diagonal/>
    </border>
    <border>
      <left style="thin">
        <color rgb="FF0F0F0F"/>
      </left>
      <right/>
      <top/>
      <bottom style="thin">
        <color rgb="FF0F0F0F"/>
      </bottom>
      <diagonal/>
    </border>
    <border>
      <left/>
      <right/>
      <top/>
      <bottom style="thin">
        <color rgb="FF0F0F0F"/>
      </bottom>
      <diagonal/>
    </border>
    <border>
      <left/>
      <right style="thin">
        <color rgb="FF0F0F0F"/>
      </right>
      <top/>
      <bottom style="thin">
        <color rgb="FF0F0F0F"/>
      </bottom>
      <diagonal/>
    </border>
    <border>
      <left style="thin">
        <color rgb="FF131313"/>
      </left>
      <right/>
      <top/>
      <bottom style="thin">
        <color rgb="FF131313"/>
      </bottom>
      <diagonal/>
    </border>
    <border>
      <left/>
      <right/>
      <top/>
      <bottom style="thin">
        <color rgb="FF131313"/>
      </bottom>
      <diagonal/>
    </border>
    <border>
      <left/>
      <right style="thin">
        <color rgb="FF131313"/>
      </right>
      <top/>
      <bottom style="thin">
        <color rgb="FF131313"/>
      </bottom>
      <diagonal/>
    </border>
  </borders>
  <cellStyleXfs count="2">
    <xf numFmtId="0" fontId="0" fillId="0" borderId="0"/>
    <xf numFmtId="41" fontId="21" fillId="0" borderId="0" applyFont="0" applyFill="0" applyBorder="0" applyAlignment="0" applyProtection="0"/>
  </cellStyleXfs>
  <cellXfs count="280"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left" vertical="top"/>
    </xf>
    <xf numFmtId="0" fontId="0" fillId="2" borderId="0" xfId="0" applyFill="1" applyAlignment="1">
      <alignment horizontal="left" wrapText="1"/>
    </xf>
    <xf numFmtId="0" fontId="0" fillId="2" borderId="0" xfId="0" applyFill="1" applyAlignment="1">
      <alignment horizontal="left" vertical="center" wrapText="1"/>
    </xf>
    <xf numFmtId="0" fontId="1" fillId="2" borderId="7" xfId="0" applyFont="1" applyFill="1" applyBorder="1" applyAlignment="1">
      <alignment horizontal="left" vertical="top" wrapText="1"/>
    </xf>
    <xf numFmtId="0" fontId="1" fillId="2" borderId="12" xfId="0" applyFont="1" applyFill="1" applyBorder="1" applyAlignment="1">
      <alignment horizontal="left" vertical="top" wrapText="1"/>
    </xf>
    <xf numFmtId="0" fontId="0" fillId="2" borderId="11" xfId="0" applyFill="1" applyBorder="1" applyAlignment="1">
      <alignment horizontal="left" wrapText="1"/>
    </xf>
    <xf numFmtId="0" fontId="0" fillId="2" borderId="3" xfId="0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center" vertical="top" wrapText="1"/>
    </xf>
    <xf numFmtId="0" fontId="0" fillId="2" borderId="3" xfId="0" applyFill="1" applyBorder="1" applyAlignment="1">
      <alignment horizontal="left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22" fillId="0" borderId="0" xfId="0" applyFont="1"/>
    <xf numFmtId="0" fontId="0" fillId="0" borderId="0" xfId="0"/>
    <xf numFmtId="41" fontId="0" fillId="0" borderId="0" xfId="0" applyNumberFormat="1"/>
    <xf numFmtId="41" fontId="0" fillId="0" borderId="0" xfId="1" applyFont="1"/>
    <xf numFmtId="0" fontId="21" fillId="0" borderId="0" xfId="0" applyFont="1"/>
    <xf numFmtId="41" fontId="22" fillId="0" borderId="0" xfId="0" applyNumberFormat="1" applyFont="1" applyAlignment="1">
      <alignment horizontal="left" vertical="top"/>
    </xf>
    <xf numFmtId="0" fontId="0" fillId="2" borderId="0" xfId="0" applyFill="1"/>
    <xf numFmtId="0" fontId="0" fillId="2" borderId="0" xfId="0" applyFill="1" applyAlignment="1">
      <alignment horizontal="left" wrapText="1"/>
    </xf>
    <xf numFmtId="0" fontId="0" fillId="2" borderId="0" xfId="0" applyFill="1" applyAlignment="1">
      <alignment horizontal="left" vertical="center" wrapText="1"/>
    </xf>
    <xf numFmtId="0" fontId="1" fillId="2" borderId="0" xfId="0" applyFont="1" applyFill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 indent="11"/>
    </xf>
    <xf numFmtId="0" fontId="1" fillId="2" borderId="3" xfId="0" applyFont="1" applyFill="1" applyBorder="1" applyAlignment="1">
      <alignment horizontal="left" vertical="top" wrapText="1" indent="11"/>
    </xf>
    <xf numFmtId="0" fontId="1" fillId="2" borderId="4" xfId="0" applyFont="1" applyFill="1" applyBorder="1" applyAlignment="1">
      <alignment horizontal="left" vertical="top" wrapText="1" indent="11"/>
    </xf>
    <xf numFmtId="0" fontId="0" fillId="2" borderId="0" xfId="0" applyFill="1" applyAlignment="1">
      <alignment horizontal="left" vertical="top" wrapText="1" indent="5"/>
    </xf>
    <xf numFmtId="0" fontId="1" fillId="2" borderId="11" xfId="0" applyFont="1" applyFill="1" applyBorder="1" applyAlignment="1">
      <alignment horizontal="left" vertical="top" wrapText="1"/>
    </xf>
    <xf numFmtId="164" fontId="2" fillId="2" borderId="11" xfId="0" applyNumberFormat="1" applyFont="1" applyFill="1" applyBorder="1" applyAlignment="1">
      <alignment horizontal="left" vertical="top" indent="1" shrinkToFit="1"/>
    </xf>
    <xf numFmtId="0" fontId="1" fillId="2" borderId="10" xfId="0" applyFont="1" applyFill="1" applyBorder="1" applyAlignment="1">
      <alignment horizontal="left" vertical="top" wrapText="1" indent="5"/>
    </xf>
    <xf numFmtId="0" fontId="1" fillId="2" borderId="11" xfId="0" applyFont="1" applyFill="1" applyBorder="1" applyAlignment="1">
      <alignment horizontal="left" vertical="top" wrapText="1" indent="5"/>
    </xf>
    <xf numFmtId="0" fontId="1" fillId="2" borderId="12" xfId="0" applyFont="1" applyFill="1" applyBorder="1" applyAlignment="1">
      <alignment horizontal="left" vertical="top" wrapText="1" indent="5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top" wrapText="1" indent="7"/>
    </xf>
    <xf numFmtId="0" fontId="1" fillId="2" borderId="3" xfId="0" applyFont="1" applyFill="1" applyBorder="1" applyAlignment="1">
      <alignment horizontal="left" vertical="top" wrapText="1" indent="3"/>
    </xf>
    <xf numFmtId="0" fontId="1" fillId="2" borderId="4" xfId="0" applyFont="1" applyFill="1" applyBorder="1" applyAlignment="1">
      <alignment horizontal="left" vertical="top" wrapText="1" indent="3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0" fillId="2" borderId="6" xfId="0" applyFill="1" applyBorder="1" applyAlignment="1">
      <alignment horizontal="left" vertical="center" wrapText="1"/>
    </xf>
    <xf numFmtId="0" fontId="0" fillId="2" borderId="11" xfId="0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top" wrapText="1" indent="4"/>
    </xf>
    <xf numFmtId="0" fontId="1" fillId="2" borderId="4" xfId="0" applyFont="1" applyFill="1" applyBorder="1" applyAlignment="1">
      <alignment horizontal="left" vertical="top" wrapText="1" indent="4"/>
    </xf>
    <xf numFmtId="0" fontId="1" fillId="2" borderId="6" xfId="0" applyFont="1" applyFill="1" applyBorder="1" applyAlignment="1">
      <alignment horizontal="left" vertical="top" wrapText="1"/>
    </xf>
    <xf numFmtId="164" fontId="2" fillId="2" borderId="6" xfId="0" applyNumberFormat="1" applyFont="1" applyFill="1" applyBorder="1" applyAlignment="1">
      <alignment horizontal="left" vertical="top" indent="1" shrinkToFit="1"/>
    </xf>
    <xf numFmtId="0" fontId="1" fillId="2" borderId="5" xfId="0" applyFont="1" applyFill="1" applyBorder="1" applyAlignment="1">
      <alignment horizontal="left" vertical="top" wrapText="1" indent="5"/>
    </xf>
    <xf numFmtId="0" fontId="1" fillId="2" borderId="6" xfId="0" applyFont="1" applyFill="1" applyBorder="1" applyAlignment="1">
      <alignment horizontal="left" vertical="top" wrapText="1" indent="5"/>
    </xf>
    <xf numFmtId="0" fontId="1" fillId="2" borderId="7" xfId="0" applyFont="1" applyFill="1" applyBorder="1" applyAlignment="1">
      <alignment horizontal="left" vertical="top" wrapText="1" indent="5"/>
    </xf>
    <xf numFmtId="0" fontId="1" fillId="2" borderId="8" xfId="0" applyFont="1" applyFill="1" applyBorder="1" applyAlignment="1">
      <alignment horizontal="left" vertical="top" wrapText="1" indent="5"/>
    </xf>
    <xf numFmtId="0" fontId="1" fillId="2" borderId="0" xfId="0" applyFont="1" applyFill="1" applyAlignment="1">
      <alignment horizontal="left" vertical="top" wrapText="1" indent="5"/>
    </xf>
    <xf numFmtId="0" fontId="1" fillId="2" borderId="0" xfId="0" applyFont="1" applyFill="1" applyAlignment="1">
      <alignment horizontal="left" vertical="top" wrapText="1" indent="4"/>
    </xf>
    <xf numFmtId="0" fontId="1" fillId="2" borderId="2" xfId="0" applyFont="1" applyFill="1" applyBorder="1" applyAlignment="1">
      <alignment horizontal="left" vertical="top" wrapText="1" indent="1"/>
    </xf>
    <xf numFmtId="0" fontId="1" fillId="2" borderId="3" xfId="0" applyFont="1" applyFill="1" applyBorder="1" applyAlignment="1">
      <alignment horizontal="left" vertical="top" wrapText="1" indent="1"/>
    </xf>
    <xf numFmtId="0" fontId="1" fillId="2" borderId="4" xfId="0" applyFont="1" applyFill="1" applyBorder="1" applyAlignment="1">
      <alignment horizontal="left" vertical="top" wrapText="1" inden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25" xfId="0" applyFont="1" applyFill="1" applyBorder="1" applyAlignment="1">
      <alignment horizontal="left" vertical="top" wrapText="1"/>
    </xf>
    <xf numFmtId="0" fontId="1" fillId="2" borderId="26" xfId="0" applyFont="1" applyFill="1" applyBorder="1" applyAlignment="1">
      <alignment horizontal="left" vertical="top" wrapText="1"/>
    </xf>
    <xf numFmtId="0" fontId="1" fillId="2" borderId="29" xfId="0" applyFont="1" applyFill="1" applyBorder="1" applyAlignment="1">
      <alignment horizontal="left" vertical="top" wrapText="1"/>
    </xf>
    <xf numFmtId="0" fontId="1" fillId="2" borderId="30" xfId="0" applyFont="1" applyFill="1" applyBorder="1" applyAlignment="1">
      <alignment horizontal="left" vertical="top" wrapText="1"/>
    </xf>
    <xf numFmtId="0" fontId="1" fillId="2" borderId="31" xfId="0" applyFont="1" applyFill="1" applyBorder="1" applyAlignment="1">
      <alignment horizontal="left" vertical="top" wrapText="1"/>
    </xf>
    <xf numFmtId="164" fontId="2" fillId="2" borderId="29" xfId="0" applyNumberFormat="1" applyFont="1" applyFill="1" applyBorder="1" applyAlignment="1">
      <alignment horizontal="left" vertical="top" indent="6" shrinkToFit="1"/>
    </xf>
    <xf numFmtId="164" fontId="2" fillId="2" borderId="30" xfId="0" applyNumberFormat="1" applyFont="1" applyFill="1" applyBorder="1" applyAlignment="1">
      <alignment horizontal="left" vertical="top" indent="6" shrinkToFit="1"/>
    </xf>
    <xf numFmtId="164" fontId="2" fillId="2" borderId="31" xfId="0" applyNumberFormat="1" applyFont="1" applyFill="1" applyBorder="1" applyAlignment="1">
      <alignment horizontal="left" vertical="top" indent="6" shrinkToFit="1"/>
    </xf>
    <xf numFmtId="0" fontId="1" fillId="2" borderId="32" xfId="0" applyFont="1" applyFill="1" applyBorder="1" applyAlignment="1">
      <alignment horizontal="left" vertical="top" wrapText="1"/>
    </xf>
    <xf numFmtId="0" fontId="1" fillId="2" borderId="33" xfId="0" applyFont="1" applyFill="1" applyBorder="1" applyAlignment="1">
      <alignment horizontal="left" vertical="top" wrapText="1"/>
    </xf>
    <xf numFmtId="0" fontId="1" fillId="2" borderId="34" xfId="0" applyFont="1" applyFill="1" applyBorder="1" applyAlignment="1">
      <alignment horizontal="left" vertical="top" wrapText="1"/>
    </xf>
    <xf numFmtId="0" fontId="1" fillId="2" borderId="19" xfId="0" applyFont="1" applyFill="1" applyBorder="1" applyAlignment="1">
      <alignment horizontal="left" vertical="top" wrapText="1"/>
    </xf>
    <xf numFmtId="0" fontId="1" fillId="2" borderId="20" xfId="0" applyFont="1" applyFill="1" applyBorder="1" applyAlignment="1">
      <alignment horizontal="left" vertical="top" wrapText="1"/>
    </xf>
    <xf numFmtId="0" fontId="1" fillId="2" borderId="21" xfId="0" applyFont="1" applyFill="1" applyBorder="1" applyAlignment="1">
      <alignment horizontal="left" vertical="top" wrapText="1"/>
    </xf>
    <xf numFmtId="0" fontId="1" fillId="2" borderId="22" xfId="0" applyFont="1" applyFill="1" applyBorder="1" applyAlignment="1">
      <alignment horizontal="left" vertical="top" wrapText="1"/>
    </xf>
    <xf numFmtId="0" fontId="1" fillId="2" borderId="23" xfId="0" applyFont="1" applyFill="1" applyBorder="1" applyAlignment="1">
      <alignment horizontal="left" vertical="top" wrapText="1"/>
    </xf>
    <xf numFmtId="0" fontId="1" fillId="2" borderId="24" xfId="0" applyFont="1" applyFill="1" applyBorder="1" applyAlignment="1">
      <alignment horizontal="left" vertical="top" wrapText="1"/>
    </xf>
    <xf numFmtId="164" fontId="2" fillId="2" borderId="22" xfId="0" applyNumberFormat="1" applyFont="1" applyFill="1" applyBorder="1" applyAlignment="1">
      <alignment horizontal="left" vertical="top" indent="6" shrinkToFit="1"/>
    </xf>
    <xf numFmtId="164" fontId="2" fillId="2" borderId="23" xfId="0" applyNumberFormat="1" applyFont="1" applyFill="1" applyBorder="1" applyAlignment="1">
      <alignment horizontal="left" vertical="top" indent="6" shrinkToFit="1"/>
    </xf>
    <xf numFmtId="164" fontId="2" fillId="2" borderId="24" xfId="0" applyNumberFormat="1" applyFont="1" applyFill="1" applyBorder="1" applyAlignment="1">
      <alignment horizontal="left" vertical="top" indent="6" shrinkToFit="1"/>
    </xf>
    <xf numFmtId="0" fontId="1" fillId="2" borderId="27" xfId="0" applyFont="1" applyFill="1" applyBorder="1" applyAlignment="1">
      <alignment horizontal="left" vertical="top" wrapText="1"/>
    </xf>
    <xf numFmtId="0" fontId="1" fillId="2" borderId="28" xfId="0" applyFont="1" applyFill="1" applyBorder="1" applyAlignment="1">
      <alignment horizontal="left" vertical="top" wrapText="1"/>
    </xf>
    <xf numFmtId="164" fontId="2" fillId="2" borderId="27" xfId="0" applyNumberFormat="1" applyFont="1" applyFill="1" applyBorder="1" applyAlignment="1">
      <alignment horizontal="left" vertical="top" indent="6" shrinkToFit="1"/>
    </xf>
    <xf numFmtId="164" fontId="2" fillId="2" borderId="0" xfId="0" applyNumberFormat="1" applyFont="1" applyFill="1" applyAlignment="1">
      <alignment horizontal="left" vertical="top" indent="6" shrinkToFit="1"/>
    </xf>
    <xf numFmtId="164" fontId="2" fillId="2" borderId="28" xfId="0" applyNumberFormat="1" applyFont="1" applyFill="1" applyBorder="1" applyAlignment="1">
      <alignment horizontal="left" vertical="top" indent="6" shrinkToFit="1"/>
    </xf>
    <xf numFmtId="0" fontId="0" fillId="2" borderId="11" xfId="0" applyFill="1" applyBorder="1" applyAlignment="1">
      <alignment horizontal="left" wrapText="1"/>
    </xf>
    <xf numFmtId="0" fontId="0" fillId="2" borderId="12" xfId="0" applyFill="1" applyBorder="1" applyAlignment="1">
      <alignment horizontal="left" wrapText="1"/>
    </xf>
    <xf numFmtId="0" fontId="1" fillId="2" borderId="2" xfId="0" applyFont="1" applyFill="1" applyBorder="1" applyAlignment="1">
      <alignment horizontal="left" vertical="top" wrapText="1" indent="3"/>
    </xf>
    <xf numFmtId="0" fontId="0" fillId="2" borderId="5" xfId="0" applyFill="1" applyBorder="1" applyAlignment="1">
      <alignment horizontal="left" vertical="top" wrapText="1" indent="8"/>
    </xf>
    <xf numFmtId="0" fontId="0" fillId="2" borderId="6" xfId="0" applyFill="1" applyBorder="1" applyAlignment="1">
      <alignment horizontal="left" vertical="top" wrapText="1" indent="8"/>
    </xf>
    <xf numFmtId="0" fontId="0" fillId="2" borderId="8" xfId="0" applyFill="1" applyBorder="1" applyAlignment="1">
      <alignment horizontal="left" vertical="top" wrapText="1" indent="8"/>
    </xf>
    <xf numFmtId="0" fontId="0" fillId="2" borderId="0" xfId="0" applyFill="1" applyAlignment="1">
      <alignment horizontal="left" vertical="top" wrapText="1" indent="8"/>
    </xf>
    <xf numFmtId="0" fontId="1" fillId="2" borderId="10" xfId="0" applyFont="1" applyFill="1" applyBorder="1" applyAlignment="1">
      <alignment horizontal="left" vertical="top" wrapText="1"/>
    </xf>
    <xf numFmtId="0" fontId="1" fillId="2" borderId="12" xfId="0" applyFont="1" applyFill="1" applyBorder="1" applyAlignment="1">
      <alignment horizontal="left" vertical="top" wrapText="1"/>
    </xf>
    <xf numFmtId="164" fontId="2" fillId="2" borderId="10" xfId="0" applyNumberFormat="1" applyFont="1" applyFill="1" applyBorder="1" applyAlignment="1">
      <alignment horizontal="left" vertical="top" shrinkToFit="1"/>
    </xf>
    <xf numFmtId="164" fontId="2" fillId="2" borderId="11" xfId="0" applyNumberFormat="1" applyFont="1" applyFill="1" applyBorder="1" applyAlignment="1">
      <alignment horizontal="left" vertical="top" shrinkToFit="1"/>
    </xf>
    <xf numFmtId="164" fontId="2" fillId="2" borderId="12" xfId="0" applyNumberFormat="1" applyFont="1" applyFill="1" applyBorder="1" applyAlignment="1">
      <alignment horizontal="left" vertical="top" shrinkToFit="1"/>
    </xf>
    <xf numFmtId="0" fontId="1" fillId="2" borderId="4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left" vertical="top" wrapText="1"/>
    </xf>
    <xf numFmtId="0" fontId="7" fillId="2" borderId="2" xfId="0" applyFont="1" applyFill="1" applyBorder="1" applyAlignment="1">
      <alignment horizontal="left" vertical="top" wrapText="1"/>
    </xf>
    <xf numFmtId="0" fontId="7" fillId="2" borderId="3" xfId="0" applyFont="1" applyFill="1" applyBorder="1" applyAlignment="1">
      <alignment horizontal="left" vertical="top" wrapText="1"/>
    </xf>
    <xf numFmtId="0" fontId="7" fillId="2" borderId="4" xfId="0" applyFont="1" applyFill="1" applyBorder="1" applyAlignment="1">
      <alignment horizontal="left" vertical="top" wrapText="1"/>
    </xf>
    <xf numFmtId="9" fontId="6" fillId="2" borderId="2" xfId="0" applyNumberFormat="1" applyFont="1" applyFill="1" applyBorder="1" applyAlignment="1">
      <alignment horizontal="center" vertical="top" shrinkToFit="1"/>
    </xf>
    <xf numFmtId="9" fontId="6" fillId="2" borderId="3" xfId="0" applyNumberFormat="1" applyFont="1" applyFill="1" applyBorder="1" applyAlignment="1">
      <alignment horizontal="center" vertical="top" shrinkToFit="1"/>
    </xf>
    <xf numFmtId="9" fontId="6" fillId="2" borderId="4" xfId="0" applyNumberFormat="1" applyFont="1" applyFill="1" applyBorder="1" applyAlignment="1">
      <alignment horizontal="center" vertical="top" shrinkToFit="1"/>
    </xf>
    <xf numFmtId="0" fontId="0" fillId="2" borderId="2" xfId="0" applyFill="1" applyBorder="1" applyAlignment="1">
      <alignment horizontal="left" wrapText="1"/>
    </xf>
    <xf numFmtId="0" fontId="0" fillId="2" borderId="3" xfId="0" applyFill="1" applyBorder="1" applyAlignment="1">
      <alignment horizontal="left" wrapText="1"/>
    </xf>
    <xf numFmtId="0" fontId="0" fillId="2" borderId="4" xfId="0" applyFill="1" applyBorder="1" applyAlignment="1">
      <alignment horizontal="left" wrapText="1"/>
    </xf>
    <xf numFmtId="0" fontId="0" fillId="2" borderId="6" xfId="0" applyFill="1" applyBorder="1" applyAlignment="1">
      <alignment horizontal="left" vertical="top" wrapText="1"/>
    </xf>
    <xf numFmtId="0" fontId="7" fillId="2" borderId="10" xfId="0" applyFont="1" applyFill="1" applyBorder="1" applyAlignment="1">
      <alignment horizontal="center" vertical="top" wrapText="1"/>
    </xf>
    <xf numFmtId="0" fontId="7" fillId="2" borderId="11" xfId="0" applyFont="1" applyFill="1" applyBorder="1" applyAlignment="1">
      <alignment horizontal="center" vertical="top" wrapText="1"/>
    </xf>
    <xf numFmtId="0" fontId="7" fillId="2" borderId="12" xfId="0" applyFont="1" applyFill="1" applyBorder="1" applyAlignment="1">
      <alignment horizontal="center" vertical="top" wrapText="1"/>
    </xf>
    <xf numFmtId="0" fontId="8" fillId="2" borderId="2" xfId="0" applyFont="1" applyFill="1" applyBorder="1" applyAlignment="1">
      <alignment horizontal="left" vertical="top" wrapText="1" indent="1"/>
    </xf>
    <xf numFmtId="0" fontId="8" fillId="2" borderId="3" xfId="0" applyFont="1" applyFill="1" applyBorder="1" applyAlignment="1">
      <alignment horizontal="left" vertical="top" wrapText="1" indent="1"/>
    </xf>
    <xf numFmtId="0" fontId="8" fillId="2" borderId="4" xfId="0" applyFont="1" applyFill="1" applyBorder="1" applyAlignment="1">
      <alignment horizontal="left" vertical="top" wrapText="1" indent="1"/>
    </xf>
    <xf numFmtId="0" fontId="7" fillId="2" borderId="2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 vertical="top" wrapText="1"/>
    </xf>
    <xf numFmtId="164" fontId="6" fillId="2" borderId="2" xfId="0" applyNumberFormat="1" applyFont="1" applyFill="1" applyBorder="1" applyAlignment="1">
      <alignment horizontal="center" vertical="top" shrinkToFit="1"/>
    </xf>
    <xf numFmtId="164" fontId="6" fillId="2" borderId="3" xfId="0" applyNumberFormat="1" applyFont="1" applyFill="1" applyBorder="1" applyAlignment="1">
      <alignment horizontal="center" vertical="top" shrinkToFit="1"/>
    </xf>
    <xf numFmtId="164" fontId="6" fillId="2" borderId="4" xfId="0" applyNumberFormat="1" applyFont="1" applyFill="1" applyBorder="1" applyAlignment="1">
      <alignment horizontal="center" vertical="top" shrinkToFit="1"/>
    </xf>
    <xf numFmtId="0" fontId="7" fillId="2" borderId="0" xfId="0" applyFont="1" applyFill="1" applyAlignment="1">
      <alignment horizontal="left" vertical="top" wrapText="1" indent="5"/>
    </xf>
    <xf numFmtId="0" fontId="7" fillId="2" borderId="2" xfId="0" applyFont="1" applyFill="1" applyBorder="1" applyAlignment="1">
      <alignment horizontal="left" vertical="top" wrapText="1" indent="12"/>
    </xf>
    <xf numFmtId="0" fontId="7" fillId="2" borderId="3" xfId="0" applyFont="1" applyFill="1" applyBorder="1" applyAlignment="1">
      <alignment horizontal="left" vertical="top" wrapText="1" indent="12"/>
    </xf>
    <xf numFmtId="0" fontId="7" fillId="2" borderId="4" xfId="0" applyFont="1" applyFill="1" applyBorder="1" applyAlignment="1">
      <alignment horizontal="left" vertical="top" wrapText="1" indent="12"/>
    </xf>
    <xf numFmtId="166" fontId="6" fillId="2" borderId="2" xfId="0" applyNumberFormat="1" applyFont="1" applyFill="1" applyBorder="1" applyAlignment="1">
      <alignment horizontal="center" vertical="top" shrinkToFit="1"/>
    </xf>
    <xf numFmtId="166" fontId="6" fillId="2" borderId="3" xfId="0" applyNumberFormat="1" applyFont="1" applyFill="1" applyBorder="1" applyAlignment="1">
      <alignment horizontal="center" vertical="top" shrinkToFit="1"/>
    </xf>
    <xf numFmtId="166" fontId="6" fillId="2" borderId="4" xfId="0" applyNumberFormat="1" applyFont="1" applyFill="1" applyBorder="1" applyAlignment="1">
      <alignment horizontal="center" vertical="top" shrinkToFit="1"/>
    </xf>
    <xf numFmtId="0" fontId="7" fillId="2" borderId="7" xfId="0" applyFont="1" applyFill="1" applyBorder="1" applyAlignment="1">
      <alignment horizontal="left" vertical="top" wrapText="1"/>
    </xf>
    <xf numFmtId="0" fontId="7" fillId="2" borderId="9" xfId="0" applyFont="1" applyFill="1" applyBorder="1" applyAlignment="1">
      <alignment horizontal="left" vertical="top" wrapText="1"/>
    </xf>
    <xf numFmtId="165" fontId="6" fillId="2" borderId="5" xfId="0" applyNumberFormat="1" applyFont="1" applyFill="1" applyBorder="1" applyAlignment="1">
      <alignment horizontal="center" vertical="top" shrinkToFit="1"/>
    </xf>
    <xf numFmtId="165" fontId="6" fillId="2" borderId="6" xfId="0" applyNumberFormat="1" applyFont="1" applyFill="1" applyBorder="1" applyAlignment="1">
      <alignment horizontal="center" vertical="top" shrinkToFit="1"/>
    </xf>
    <xf numFmtId="165" fontId="6" fillId="2" borderId="7" xfId="0" applyNumberFormat="1" applyFont="1" applyFill="1" applyBorder="1" applyAlignment="1">
      <alignment horizontal="center" vertical="top" shrinkToFit="1"/>
    </xf>
    <xf numFmtId="165" fontId="6" fillId="2" borderId="8" xfId="0" applyNumberFormat="1" applyFont="1" applyFill="1" applyBorder="1" applyAlignment="1">
      <alignment horizontal="left" vertical="top" shrinkToFit="1"/>
    </xf>
    <xf numFmtId="165" fontId="6" fillId="2" borderId="0" xfId="0" applyNumberFormat="1" applyFont="1" applyFill="1" applyAlignment="1">
      <alignment horizontal="left" vertical="top" shrinkToFit="1"/>
    </xf>
    <xf numFmtId="165" fontId="6" fillId="2" borderId="9" xfId="0" applyNumberFormat="1" applyFont="1" applyFill="1" applyBorder="1" applyAlignment="1">
      <alignment horizontal="left" vertical="top" shrinkToFit="1"/>
    </xf>
    <xf numFmtId="0" fontId="7" fillId="2" borderId="8" xfId="0" applyFont="1" applyFill="1" applyBorder="1" applyAlignment="1">
      <alignment horizontal="left" vertical="top" wrapText="1"/>
    </xf>
    <xf numFmtId="0" fontId="7" fillId="2" borderId="0" xfId="0" applyFont="1" applyFill="1" applyAlignment="1">
      <alignment horizontal="left" vertical="top" wrapText="1"/>
    </xf>
    <xf numFmtId="165" fontId="6" fillId="2" borderId="8" xfId="0" applyNumberFormat="1" applyFont="1" applyFill="1" applyBorder="1" applyAlignment="1">
      <alignment horizontal="center" vertical="top" shrinkToFit="1"/>
    </xf>
    <xf numFmtId="165" fontId="6" fillId="2" borderId="0" xfId="0" applyNumberFormat="1" applyFont="1" applyFill="1" applyAlignment="1">
      <alignment horizontal="center" vertical="top" shrinkToFit="1"/>
    </xf>
    <xf numFmtId="165" fontId="6" fillId="2" borderId="9" xfId="0" applyNumberFormat="1" applyFont="1" applyFill="1" applyBorder="1" applyAlignment="1">
      <alignment horizontal="center" vertical="top" shrinkToFit="1"/>
    </xf>
    <xf numFmtId="0" fontId="7" fillId="2" borderId="10" xfId="0" applyFont="1" applyFill="1" applyBorder="1" applyAlignment="1">
      <alignment horizontal="left" vertical="top" wrapText="1"/>
    </xf>
    <xf numFmtId="0" fontId="7" fillId="2" borderId="11" xfId="0" applyFont="1" applyFill="1" applyBorder="1" applyAlignment="1">
      <alignment horizontal="left" vertical="top" wrapText="1"/>
    </xf>
    <xf numFmtId="0" fontId="7" fillId="2" borderId="12" xfId="0" applyFont="1" applyFill="1" applyBorder="1" applyAlignment="1">
      <alignment horizontal="left" vertical="top" wrapText="1"/>
    </xf>
    <xf numFmtId="166" fontId="6" fillId="2" borderId="10" xfId="0" applyNumberFormat="1" applyFont="1" applyFill="1" applyBorder="1" applyAlignment="1">
      <alignment horizontal="center" vertical="top" shrinkToFit="1"/>
    </xf>
    <xf numFmtId="166" fontId="6" fillId="2" borderId="11" xfId="0" applyNumberFormat="1" applyFont="1" applyFill="1" applyBorder="1" applyAlignment="1">
      <alignment horizontal="center" vertical="top" shrinkToFit="1"/>
    </xf>
    <xf numFmtId="166" fontId="6" fillId="2" borderId="12" xfId="0" applyNumberFormat="1" applyFont="1" applyFill="1" applyBorder="1" applyAlignment="1">
      <alignment horizontal="center" vertical="top" shrinkToFi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left" vertical="top" wrapText="1"/>
    </xf>
    <xf numFmtId="0" fontId="7" fillId="2" borderId="6" xfId="0" applyFont="1" applyFill="1" applyBorder="1" applyAlignment="1">
      <alignment horizontal="left" vertical="top" wrapText="1"/>
    </xf>
    <xf numFmtId="0" fontId="0" fillId="2" borderId="6" xfId="0" applyFill="1" applyBorder="1" applyAlignment="1">
      <alignment horizontal="left" wrapText="1"/>
    </xf>
    <xf numFmtId="0" fontId="0" fillId="2" borderId="13" xfId="0" applyFill="1" applyBorder="1" applyAlignment="1">
      <alignment horizontal="left" wrapText="1"/>
    </xf>
    <xf numFmtId="0" fontId="0" fillId="2" borderId="14" xfId="0" applyFill="1" applyBorder="1" applyAlignment="1">
      <alignment horizontal="left" wrapText="1"/>
    </xf>
    <xf numFmtId="0" fontId="0" fillId="2" borderId="16" xfId="0" applyFill="1" applyBorder="1" applyAlignment="1">
      <alignment horizontal="left" wrapText="1"/>
    </xf>
    <xf numFmtId="0" fontId="0" fillId="2" borderId="17" xfId="0" applyFill="1" applyBorder="1" applyAlignment="1">
      <alignment horizontal="left" wrapText="1"/>
    </xf>
    <xf numFmtId="0" fontId="0" fillId="2" borderId="15" xfId="0" applyFill="1" applyBorder="1" applyAlignment="1">
      <alignment horizontal="left" wrapText="1"/>
    </xf>
    <xf numFmtId="0" fontId="0" fillId="2" borderId="18" xfId="0" applyFill="1" applyBorder="1" applyAlignment="1">
      <alignment horizontal="left" wrapText="1"/>
    </xf>
    <xf numFmtId="0" fontId="7" fillId="2" borderId="3" xfId="0" applyFont="1" applyFill="1" applyBorder="1" applyAlignment="1">
      <alignment horizontal="left" vertical="top" wrapText="1" indent="5"/>
    </xf>
    <xf numFmtId="0" fontId="5" fillId="2" borderId="3" xfId="0" applyFont="1" applyFill="1" applyBorder="1" applyAlignment="1">
      <alignment horizontal="center" vertical="top" wrapText="1"/>
    </xf>
    <xf numFmtId="167" fontId="6" fillId="2" borderId="3" xfId="0" applyNumberFormat="1" applyFont="1" applyFill="1" applyBorder="1" applyAlignment="1">
      <alignment horizontal="right" vertical="top" shrinkToFit="1"/>
    </xf>
    <xf numFmtId="167" fontId="6" fillId="2" borderId="4" xfId="0" applyNumberFormat="1" applyFont="1" applyFill="1" applyBorder="1" applyAlignment="1">
      <alignment horizontal="right" vertical="top" shrinkToFit="1"/>
    </xf>
    <xf numFmtId="0" fontId="7" fillId="2" borderId="2" xfId="0" applyFont="1" applyFill="1" applyBorder="1" applyAlignment="1">
      <alignment horizontal="left" vertical="top" wrapText="1" indent="3"/>
    </xf>
    <xf numFmtId="0" fontId="7" fillId="2" borderId="3" xfId="0" applyFont="1" applyFill="1" applyBorder="1" applyAlignment="1">
      <alignment horizontal="left" vertical="top" wrapText="1" indent="3"/>
    </xf>
    <xf numFmtId="0" fontId="7" fillId="2" borderId="4" xfId="0" applyFont="1" applyFill="1" applyBorder="1" applyAlignment="1">
      <alignment horizontal="left" vertical="top" wrapText="1" indent="3"/>
    </xf>
    <xf numFmtId="164" fontId="6" fillId="2" borderId="0" xfId="0" applyNumberFormat="1" applyFont="1" applyFill="1" applyAlignment="1">
      <alignment horizontal="right" vertical="top" indent="1" shrinkToFit="1"/>
    </xf>
    <xf numFmtId="1" fontId="6" fillId="2" borderId="0" xfId="0" applyNumberFormat="1" applyFont="1" applyFill="1" applyAlignment="1">
      <alignment horizontal="center" vertical="top" shrinkToFit="1"/>
    </xf>
    <xf numFmtId="1" fontId="6" fillId="2" borderId="9" xfId="0" applyNumberFormat="1" applyFont="1" applyFill="1" applyBorder="1" applyAlignment="1">
      <alignment horizontal="center" vertical="top" shrinkToFit="1"/>
    </xf>
    <xf numFmtId="0" fontId="7" fillId="2" borderId="8" xfId="0" applyFont="1" applyFill="1" applyBorder="1" applyAlignment="1">
      <alignment horizontal="center" vertical="top" wrapText="1"/>
    </xf>
    <xf numFmtId="0" fontId="7" fillId="2" borderId="9" xfId="0" applyFont="1" applyFill="1" applyBorder="1" applyAlignment="1">
      <alignment horizontal="center" vertical="top" wrapText="1"/>
    </xf>
    <xf numFmtId="165" fontId="6" fillId="2" borderId="8" xfId="0" applyNumberFormat="1" applyFont="1" applyFill="1" applyBorder="1" applyAlignment="1">
      <alignment horizontal="right" vertical="top" shrinkToFit="1"/>
    </xf>
    <xf numFmtId="165" fontId="6" fillId="2" borderId="0" xfId="0" applyNumberFormat="1" applyFont="1" applyFill="1" applyAlignment="1">
      <alignment horizontal="right" vertical="top" shrinkToFit="1"/>
    </xf>
    <xf numFmtId="164" fontId="6" fillId="2" borderId="11" xfId="0" applyNumberFormat="1" applyFont="1" applyFill="1" applyBorder="1" applyAlignment="1">
      <alignment horizontal="right" vertical="top" indent="1" shrinkToFit="1"/>
    </xf>
    <xf numFmtId="1" fontId="6" fillId="2" borderId="11" xfId="0" applyNumberFormat="1" applyFont="1" applyFill="1" applyBorder="1" applyAlignment="1">
      <alignment horizontal="center" vertical="top" shrinkToFit="1"/>
    </xf>
    <xf numFmtId="1" fontId="6" fillId="2" borderId="12" xfId="0" applyNumberFormat="1" applyFont="1" applyFill="1" applyBorder="1" applyAlignment="1">
      <alignment horizontal="center" vertical="top" shrinkToFit="1"/>
    </xf>
    <xf numFmtId="165" fontId="6" fillId="2" borderId="10" xfId="0" applyNumberFormat="1" applyFont="1" applyFill="1" applyBorder="1" applyAlignment="1">
      <alignment horizontal="center" vertical="top" shrinkToFit="1"/>
    </xf>
    <xf numFmtId="165" fontId="6" fillId="2" borderId="11" xfId="0" applyNumberFormat="1" applyFont="1" applyFill="1" applyBorder="1" applyAlignment="1">
      <alignment horizontal="center" vertical="top" shrinkToFit="1"/>
    </xf>
    <xf numFmtId="165" fontId="6" fillId="2" borderId="12" xfId="0" applyNumberFormat="1" applyFont="1" applyFill="1" applyBorder="1" applyAlignment="1">
      <alignment horizontal="center" vertical="top" shrinkToFit="1"/>
    </xf>
    <xf numFmtId="167" fontId="6" fillId="2" borderId="10" xfId="0" applyNumberFormat="1" applyFont="1" applyFill="1" applyBorder="1" applyAlignment="1">
      <alignment horizontal="right" vertical="top" shrinkToFit="1"/>
    </xf>
    <xf numFmtId="167" fontId="6" fillId="2" borderId="11" xfId="0" applyNumberFormat="1" applyFont="1" applyFill="1" applyBorder="1" applyAlignment="1">
      <alignment horizontal="right" vertical="top" shrinkToFit="1"/>
    </xf>
    <xf numFmtId="0" fontId="5" fillId="2" borderId="2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0" xfId="0" applyFill="1" applyAlignment="1">
      <alignment horizontal="left" vertical="top" wrapText="1" indent="3"/>
    </xf>
    <xf numFmtId="0" fontId="0" fillId="2" borderId="9" xfId="0" applyFill="1" applyBorder="1" applyAlignment="1">
      <alignment horizontal="left" vertical="top" wrapText="1" indent="3"/>
    </xf>
    <xf numFmtId="0" fontId="0" fillId="2" borderId="8" xfId="0" applyFill="1" applyBorder="1" applyAlignment="1">
      <alignment horizontal="left" vertical="top" wrapText="1"/>
    </xf>
    <xf numFmtId="0" fontId="0" fillId="2" borderId="0" xfId="0" applyFill="1" applyAlignment="1">
      <alignment horizontal="left" vertical="top" wrapText="1" indent="25"/>
    </xf>
    <xf numFmtId="0" fontId="1" fillId="2" borderId="0" xfId="0" applyFont="1" applyFill="1" applyAlignment="1">
      <alignment horizontal="right" vertical="top" wrapText="1"/>
    </xf>
    <xf numFmtId="0" fontId="0" fillId="2" borderId="2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0" fillId="2" borderId="10" xfId="0" applyFill="1" applyBorder="1" applyAlignment="1">
      <alignment horizontal="left" wrapText="1"/>
    </xf>
    <xf numFmtId="0" fontId="1" fillId="2" borderId="2" xfId="0" applyFont="1" applyFill="1" applyBorder="1" applyAlignment="1">
      <alignment horizontal="left" vertical="top" wrapText="1" indent="12"/>
    </xf>
    <xf numFmtId="0" fontId="1" fillId="2" borderId="3" xfId="0" applyFont="1" applyFill="1" applyBorder="1" applyAlignment="1">
      <alignment horizontal="left" vertical="top" wrapText="1" indent="12"/>
    </xf>
    <xf numFmtId="0" fontId="1" fillId="2" borderId="4" xfId="0" applyFont="1" applyFill="1" applyBorder="1" applyAlignment="1">
      <alignment horizontal="left" vertical="top" wrapText="1" indent="12"/>
    </xf>
    <xf numFmtId="0" fontId="0" fillId="2" borderId="7" xfId="0" applyFill="1" applyBorder="1" applyAlignment="1">
      <alignment horizontal="left" vertical="top" wrapText="1"/>
    </xf>
    <xf numFmtId="0" fontId="0" fillId="2" borderId="9" xfId="0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 indent="15"/>
    </xf>
    <xf numFmtId="167" fontId="2" fillId="2" borderId="3" xfId="0" applyNumberFormat="1" applyFont="1" applyFill="1" applyBorder="1" applyAlignment="1">
      <alignment horizontal="left" vertical="top" indent="5" shrinkToFit="1"/>
    </xf>
    <xf numFmtId="167" fontId="2" fillId="2" borderId="4" xfId="0" applyNumberFormat="1" applyFont="1" applyFill="1" applyBorder="1" applyAlignment="1">
      <alignment horizontal="left" vertical="top" indent="5" shrinkToFit="1"/>
    </xf>
    <xf numFmtId="0" fontId="1" fillId="2" borderId="6" xfId="0" applyFont="1" applyFill="1" applyBorder="1" applyAlignment="1">
      <alignment horizontal="left" vertical="top" wrapText="1" indent="6"/>
    </xf>
    <xf numFmtId="164" fontId="2" fillId="2" borderId="3" xfId="0" applyNumberFormat="1" applyFont="1" applyFill="1" applyBorder="1" applyAlignment="1">
      <alignment horizontal="center" vertical="top" shrinkToFit="1"/>
    </xf>
    <xf numFmtId="0" fontId="1" fillId="2" borderId="2" xfId="0" applyFont="1" applyFill="1" applyBorder="1" applyAlignment="1">
      <alignment horizontal="left" vertical="top" wrapText="1" indent="5"/>
    </xf>
    <xf numFmtId="0" fontId="1" fillId="2" borderId="3" xfId="0" applyFont="1" applyFill="1" applyBorder="1" applyAlignment="1">
      <alignment horizontal="left" vertical="top" wrapText="1" indent="5"/>
    </xf>
    <xf numFmtId="0" fontId="1" fillId="2" borderId="3" xfId="0" applyFont="1" applyFill="1" applyBorder="1" applyAlignment="1">
      <alignment horizontal="left" vertical="top" wrapText="1" indent="16"/>
    </xf>
    <xf numFmtId="0" fontId="1" fillId="2" borderId="11" xfId="0" applyFont="1" applyFill="1" applyBorder="1" applyAlignment="1">
      <alignment horizontal="left" vertical="top" wrapText="1" indent="7"/>
    </xf>
    <xf numFmtId="0" fontId="1" fillId="2" borderId="3" xfId="0" applyFont="1" applyFill="1" applyBorder="1" applyAlignment="1">
      <alignment horizontal="left" vertical="top" wrapText="1" indent="19"/>
    </xf>
    <xf numFmtId="1" fontId="2" fillId="2" borderId="3" xfId="0" applyNumberFormat="1" applyFont="1" applyFill="1" applyBorder="1" applyAlignment="1">
      <alignment horizontal="right" vertical="top" shrinkToFit="1"/>
    </xf>
    <xf numFmtId="1" fontId="2" fillId="2" borderId="4" xfId="0" applyNumberFormat="1" applyFont="1" applyFill="1" applyBorder="1" applyAlignment="1">
      <alignment horizontal="right" vertical="top" shrinkToFit="1"/>
    </xf>
    <xf numFmtId="164" fontId="2" fillId="2" borderId="6" xfId="0" applyNumberFormat="1" applyFont="1" applyFill="1" applyBorder="1" applyAlignment="1">
      <alignment horizontal="center" vertical="top" shrinkToFit="1"/>
    </xf>
    <xf numFmtId="0" fontId="1" fillId="2" borderId="0" xfId="0" applyFont="1" applyFill="1" applyAlignment="1">
      <alignment horizontal="left" vertical="top" wrapText="1" indent="18"/>
    </xf>
    <xf numFmtId="167" fontId="2" fillId="2" borderId="0" xfId="0" applyNumberFormat="1" applyFont="1" applyFill="1" applyAlignment="1">
      <alignment horizontal="left" vertical="top" indent="4" shrinkToFit="1"/>
    </xf>
    <xf numFmtId="167" fontId="2" fillId="2" borderId="9" xfId="0" applyNumberFormat="1" applyFont="1" applyFill="1" applyBorder="1" applyAlignment="1">
      <alignment horizontal="left" vertical="top" indent="4" shrinkToFit="1"/>
    </xf>
    <xf numFmtId="0" fontId="1" fillId="2" borderId="0" xfId="0" applyFont="1" applyFill="1" applyAlignment="1">
      <alignment horizontal="left" vertical="top" wrapText="1" indent="6"/>
    </xf>
    <xf numFmtId="0" fontId="1" fillId="2" borderId="9" xfId="0" applyFont="1" applyFill="1" applyBorder="1" applyAlignment="1">
      <alignment horizontal="left" vertical="top" wrapText="1" indent="6"/>
    </xf>
    <xf numFmtId="0" fontId="1" fillId="2" borderId="0" xfId="0" applyFont="1" applyFill="1" applyAlignment="1">
      <alignment horizontal="left" vertical="top" wrapText="1" indent="2"/>
    </xf>
    <xf numFmtId="0" fontId="0" fillId="2" borderId="0" xfId="0" applyFill="1" applyAlignment="1">
      <alignment horizontal="left" vertical="top" wrapText="1" indent="4"/>
    </xf>
    <xf numFmtId="0" fontId="1" fillId="2" borderId="3" xfId="0" applyFont="1" applyFill="1" applyBorder="1" applyAlignment="1">
      <alignment horizontal="left" vertical="top" wrapText="1" indent="18"/>
    </xf>
    <xf numFmtId="0" fontId="0" fillId="2" borderId="4" xfId="0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top" wrapText="1" indent="2"/>
    </xf>
    <xf numFmtId="0" fontId="1" fillId="2" borderId="6" xfId="0" applyFont="1" applyFill="1" applyBorder="1" applyAlignment="1">
      <alignment horizontal="left" vertical="top" wrapText="1" inden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 indent="1"/>
    </xf>
    <xf numFmtId="0" fontId="0" fillId="2" borderId="0" xfId="0" applyFill="1" applyAlignment="1">
      <alignment horizontal="left" vertical="top" wrapText="1" indent="1"/>
    </xf>
    <xf numFmtId="164" fontId="2" fillId="2" borderId="3" xfId="0" applyNumberFormat="1" applyFont="1" applyFill="1" applyBorder="1" applyAlignment="1">
      <alignment horizontal="left" vertical="top" indent="2" shrinkToFit="1"/>
    </xf>
    <xf numFmtId="164" fontId="2" fillId="2" borderId="4" xfId="0" applyNumberFormat="1" applyFont="1" applyFill="1" applyBorder="1" applyAlignment="1">
      <alignment horizontal="left" vertical="top" indent="2" shrinkToFit="1"/>
    </xf>
    <xf numFmtId="164" fontId="2" fillId="2" borderId="2" xfId="0" applyNumberFormat="1" applyFont="1" applyFill="1" applyBorder="1" applyAlignment="1">
      <alignment horizontal="left" vertical="top" indent="2" shrinkToFit="1"/>
    </xf>
    <xf numFmtId="0" fontId="1" fillId="2" borderId="2" xfId="0" applyFont="1" applyFill="1" applyBorder="1" applyAlignment="1">
      <alignment horizontal="left" vertical="top" wrapText="1" indent="2"/>
    </xf>
    <xf numFmtId="0" fontId="1" fillId="2" borderId="3" xfId="0" applyFont="1" applyFill="1" applyBorder="1" applyAlignment="1">
      <alignment horizontal="left" vertical="top" wrapText="1" indent="2"/>
    </xf>
    <xf numFmtId="0" fontId="1" fillId="2" borderId="4" xfId="0" applyFont="1" applyFill="1" applyBorder="1" applyAlignment="1">
      <alignment horizontal="left" vertical="top" wrapText="1" indent="2"/>
    </xf>
    <xf numFmtId="0" fontId="0" fillId="2" borderId="9" xfId="0" applyFill="1" applyBorder="1" applyAlignment="1">
      <alignment horizontal="left" wrapText="1"/>
    </xf>
    <xf numFmtId="0" fontId="1" fillId="2" borderId="5" xfId="0" applyFont="1" applyFill="1" applyBorder="1" applyAlignment="1">
      <alignment horizontal="left" vertical="top" wrapText="1" indent="1"/>
    </xf>
    <xf numFmtId="0" fontId="1" fillId="2" borderId="7" xfId="0" applyFont="1" applyFill="1" applyBorder="1" applyAlignment="1">
      <alignment horizontal="left" vertical="top" wrapText="1" indent="1"/>
    </xf>
    <xf numFmtId="0" fontId="1" fillId="2" borderId="10" xfId="0" applyFont="1" applyFill="1" applyBorder="1" applyAlignment="1">
      <alignment horizontal="left" vertical="top" wrapText="1" indent="1"/>
    </xf>
    <xf numFmtId="0" fontId="1" fillId="2" borderId="11" xfId="0" applyFont="1" applyFill="1" applyBorder="1" applyAlignment="1">
      <alignment horizontal="left" vertical="top" wrapText="1" indent="1"/>
    </xf>
    <xf numFmtId="0" fontId="1" fillId="2" borderId="12" xfId="0" applyFont="1" applyFill="1" applyBorder="1" applyAlignment="1">
      <alignment horizontal="left" vertical="top" wrapText="1" indent="1"/>
    </xf>
    <xf numFmtId="0" fontId="0" fillId="2" borderId="0" xfId="0" applyFill="1" applyAlignment="1">
      <alignment horizontal="left" vertical="top" wrapText="1" indent="6"/>
    </xf>
    <xf numFmtId="1" fontId="2" fillId="2" borderId="10" xfId="0" applyNumberFormat="1" applyFont="1" applyFill="1" applyBorder="1" applyAlignment="1">
      <alignment horizontal="left" vertical="top" indent="3" shrinkToFit="1"/>
    </xf>
    <xf numFmtId="1" fontId="2" fillId="2" borderId="11" xfId="0" applyNumberFormat="1" applyFont="1" applyFill="1" applyBorder="1" applyAlignment="1">
      <alignment horizontal="left" vertical="top" indent="3" shrinkToFit="1"/>
    </xf>
    <xf numFmtId="0" fontId="1" fillId="2" borderId="10" xfId="0" applyFont="1" applyFill="1" applyBorder="1" applyAlignment="1">
      <alignment horizontal="left" vertical="top" wrapText="1" indent="7"/>
    </xf>
    <xf numFmtId="0" fontId="1" fillId="2" borderId="5" xfId="0" applyFont="1" applyFill="1" applyBorder="1" applyAlignment="1">
      <alignment horizontal="right" vertical="top" wrapText="1"/>
    </xf>
    <xf numFmtId="0" fontId="1" fillId="2" borderId="6" xfId="0" applyFont="1" applyFill="1" applyBorder="1" applyAlignment="1">
      <alignment horizontal="right" vertical="top" wrapText="1"/>
    </xf>
    <xf numFmtId="0" fontId="0" fillId="2" borderId="5" xfId="0" applyFill="1" applyBorder="1" applyAlignment="1">
      <alignment horizontal="left" vertical="top" wrapText="1" indent="3"/>
    </xf>
    <xf numFmtId="0" fontId="0" fillId="2" borderId="6" xfId="0" applyFill="1" applyBorder="1" applyAlignment="1">
      <alignment horizontal="left" vertical="top" wrapText="1" indent="3"/>
    </xf>
    <xf numFmtId="0" fontId="0" fillId="2" borderId="7" xfId="0" applyFill="1" applyBorder="1" applyAlignment="1">
      <alignment horizontal="left" vertical="top" wrapText="1" indent="3"/>
    </xf>
    <xf numFmtId="0" fontId="0" fillId="2" borderId="8" xfId="0" applyFill="1" applyBorder="1" applyAlignment="1">
      <alignment horizontal="left" vertical="top" wrapText="1" indent="3"/>
    </xf>
    <xf numFmtId="0" fontId="0" fillId="2" borderId="10" xfId="0" applyFill="1" applyBorder="1" applyAlignment="1">
      <alignment horizontal="left" vertical="top" wrapText="1" indent="3"/>
    </xf>
    <xf numFmtId="0" fontId="0" fillId="2" borderId="11" xfId="0" applyFill="1" applyBorder="1" applyAlignment="1">
      <alignment horizontal="left" vertical="top" wrapText="1" indent="3"/>
    </xf>
    <xf numFmtId="0" fontId="0" fillId="2" borderId="12" xfId="0" applyFill="1" applyBorder="1" applyAlignment="1">
      <alignment horizontal="left" vertical="top" wrapText="1" indent="3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11" xfId="0" applyFont="1" applyFill="1" applyBorder="1" applyAlignment="1">
      <alignment horizontal="left" vertical="top" wrapText="1"/>
    </xf>
    <xf numFmtId="0" fontId="3" fillId="2" borderId="12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 indent="7"/>
    </xf>
    <xf numFmtId="0" fontId="1" fillId="2" borderId="6" xfId="0" applyFont="1" applyFill="1" applyBorder="1" applyAlignment="1">
      <alignment horizontal="left" vertical="top" wrapText="1" indent="7"/>
    </xf>
    <xf numFmtId="0" fontId="1" fillId="2" borderId="8" xfId="0" applyFont="1" applyFill="1" applyBorder="1" applyAlignment="1">
      <alignment horizontal="left" vertical="top" wrapText="1" indent="7"/>
    </xf>
    <xf numFmtId="0" fontId="1" fillId="2" borderId="0" xfId="0" applyFont="1" applyFill="1" applyAlignment="1">
      <alignment horizontal="left" vertical="top" wrapText="1" indent="7"/>
    </xf>
    <xf numFmtId="165" fontId="2" fillId="2" borderId="6" xfId="0" applyNumberFormat="1" applyFont="1" applyFill="1" applyBorder="1" applyAlignment="1">
      <alignment horizontal="left" vertical="top" shrinkToFit="1"/>
    </xf>
    <xf numFmtId="165" fontId="2" fillId="2" borderId="0" xfId="0" applyNumberFormat="1" applyFont="1" applyFill="1" applyAlignment="1">
      <alignment horizontal="left" vertical="top" shrinkToFit="1"/>
    </xf>
    <xf numFmtId="0" fontId="4" fillId="2" borderId="5" xfId="0" applyFont="1" applyFill="1" applyBorder="1" applyAlignment="1">
      <alignment horizontal="left" vertical="top" wrapText="1" indent="4"/>
    </xf>
    <xf numFmtId="0" fontId="4" fillId="2" borderId="6" xfId="0" applyFont="1" applyFill="1" applyBorder="1" applyAlignment="1">
      <alignment horizontal="left" vertical="top" wrapText="1" indent="4"/>
    </xf>
    <xf numFmtId="0" fontId="4" fillId="2" borderId="7" xfId="0" applyFont="1" applyFill="1" applyBorder="1" applyAlignment="1">
      <alignment horizontal="left" vertical="top" wrapText="1" indent="4"/>
    </xf>
    <xf numFmtId="0" fontId="4" fillId="2" borderId="8" xfId="0" applyFont="1" applyFill="1" applyBorder="1" applyAlignment="1">
      <alignment horizontal="left" vertical="top" wrapText="1" indent="4"/>
    </xf>
    <xf numFmtId="0" fontId="4" fillId="2" borderId="0" xfId="0" applyFont="1" applyFill="1" applyAlignment="1">
      <alignment horizontal="left" vertical="top" wrapText="1" indent="4"/>
    </xf>
    <xf numFmtId="0" fontId="4" fillId="2" borderId="9" xfId="0" applyFont="1" applyFill="1" applyBorder="1" applyAlignment="1">
      <alignment horizontal="left" vertical="top" wrapText="1" indent="4"/>
    </xf>
    <xf numFmtId="0" fontId="4" fillId="2" borderId="10" xfId="0" applyFont="1" applyFill="1" applyBorder="1" applyAlignment="1">
      <alignment horizontal="left" vertical="top" wrapText="1" indent="4"/>
    </xf>
    <xf numFmtId="0" fontId="4" fillId="2" borderId="11" xfId="0" applyFont="1" applyFill="1" applyBorder="1" applyAlignment="1">
      <alignment horizontal="left" vertical="top" wrapText="1" indent="4"/>
    </xf>
    <xf numFmtId="0" fontId="4" fillId="2" borderId="12" xfId="0" applyFont="1" applyFill="1" applyBorder="1" applyAlignment="1">
      <alignment horizontal="left" vertical="top" wrapText="1" indent="4"/>
    </xf>
    <xf numFmtId="166" fontId="2" fillId="2" borderId="11" xfId="0" applyNumberFormat="1" applyFont="1" applyFill="1" applyBorder="1" applyAlignment="1">
      <alignment horizontal="left" vertical="top" shrinkToFit="1"/>
    </xf>
    <xf numFmtId="0" fontId="1" fillId="2" borderId="2" xfId="0" applyFont="1" applyFill="1" applyBorder="1" applyAlignment="1">
      <alignment horizontal="left" vertical="top" wrapText="1" indent="25"/>
    </xf>
    <xf numFmtId="0" fontId="1" fillId="2" borderId="3" xfId="0" applyFont="1" applyFill="1" applyBorder="1" applyAlignment="1">
      <alignment horizontal="left" vertical="top" wrapText="1" indent="25"/>
    </xf>
    <xf numFmtId="0" fontId="1" fillId="2" borderId="4" xfId="0" applyFont="1" applyFill="1" applyBorder="1" applyAlignment="1">
      <alignment horizontal="left" vertical="top" wrapText="1" indent="25"/>
    </xf>
    <xf numFmtId="0" fontId="21" fillId="0" borderId="0" xfId="0" applyFont="1" applyAlignment="1">
      <alignment horizontal="left" vertical="top"/>
    </xf>
    <xf numFmtId="41" fontId="23" fillId="0" borderId="0" xfId="0" applyNumberFormat="1" applyFont="1" applyAlignment="1">
      <alignment horizontal="left" vertical="top"/>
    </xf>
  </cellXfs>
  <cellStyles count="2">
    <cellStyle name="Millares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jpe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16" Type="http://schemas.openxmlformats.org/officeDocument/2006/relationships/image" Target="../media/image16.png"/><Relationship Id="rId11" Type="http://schemas.openxmlformats.org/officeDocument/2006/relationships/image" Target="../media/image11.jpeg"/><Relationship Id="rId32" Type="http://schemas.openxmlformats.org/officeDocument/2006/relationships/image" Target="../media/image32.png"/><Relationship Id="rId37" Type="http://schemas.openxmlformats.org/officeDocument/2006/relationships/image" Target="../media/image37.jpe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5" Type="http://schemas.openxmlformats.org/officeDocument/2006/relationships/image" Target="../media/image5.jpe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jpe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jpeg"/><Relationship Id="rId69" Type="http://schemas.openxmlformats.org/officeDocument/2006/relationships/image" Target="../media/image69.png"/><Relationship Id="rId77" Type="http://schemas.openxmlformats.org/officeDocument/2006/relationships/image" Target="../media/image77.jpe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80" Type="http://schemas.openxmlformats.org/officeDocument/2006/relationships/image" Target="../media/image80.pn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jpe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jpeg"/><Relationship Id="rId81" Type="http://schemas.openxmlformats.org/officeDocument/2006/relationships/image" Target="../media/image81.pn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jpeg"/><Relationship Id="rId7" Type="http://schemas.openxmlformats.org/officeDocument/2006/relationships/image" Target="../media/image7.jpeg"/><Relationship Id="rId71" Type="http://schemas.openxmlformats.org/officeDocument/2006/relationships/image" Target="../media/image71.png"/><Relationship Id="rId2" Type="http://schemas.openxmlformats.org/officeDocument/2006/relationships/image" Target="../media/image2.jpe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51</xdr:col>
      <xdr:colOff>213359</xdr:colOff>
      <xdr:row>0</xdr:row>
      <xdr:rowOff>2032</xdr:rowOff>
    </xdr:from>
    <xdr:ext cx="1443355" cy="469900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6280784" y="2032"/>
          <a:ext cx="1443355" cy="469900"/>
          <a:chOff x="0" y="0"/>
          <a:chExt cx="1443355" cy="469900"/>
        </a:xfrm>
      </xdr:grpSpPr>
      <xdr:pic>
        <xdr:nvPicPr>
          <xdr:cNvPr id="3" name="image1.jpeg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1647" y="120395"/>
            <a:ext cx="851916" cy="115823"/>
          </a:xfrm>
          <a:prstGeom prst="rect">
            <a:avLst/>
          </a:prstGeom>
        </xdr:spPr>
      </xdr:pic>
      <xdr:pic>
        <xdr:nvPicPr>
          <xdr:cNvPr id="4" name="image2.jpeg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80516" y="0"/>
            <a:ext cx="362711" cy="469391"/>
          </a:xfrm>
          <a:prstGeom prst="rect">
            <a:avLst/>
          </a:prstGeom>
        </xdr:spPr>
      </xdr:pic>
      <xdr:pic>
        <xdr:nvPicPr>
          <xdr:cNvPr id="5" name="image3.jpeg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33172"/>
            <a:ext cx="1083564" cy="236219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94869</xdr:colOff>
      <xdr:row>0</xdr:row>
      <xdr:rowOff>2031</xdr:rowOff>
    </xdr:from>
    <xdr:ext cx="902207" cy="542544"/>
    <xdr:pic>
      <xdr:nvPicPr>
        <xdr:cNvPr id="6" name="image4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2207" cy="542544"/>
        </a:xfrm>
        <a:prstGeom prst="rect">
          <a:avLst/>
        </a:prstGeom>
      </xdr:spPr>
    </xdr:pic>
    <xdr:clientData/>
  </xdr:oneCellAnchor>
  <xdr:oneCellAnchor>
    <xdr:from>
      <xdr:col>1</xdr:col>
      <xdr:colOff>88773</xdr:colOff>
      <xdr:row>28</xdr:row>
      <xdr:rowOff>5080</xdr:rowOff>
    </xdr:from>
    <xdr:ext cx="12700" cy="13081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12700" cy="130810"/>
        </a:xfrm>
        <a:custGeom>
          <a:avLst/>
          <a:gdLst/>
          <a:ahLst/>
          <a:cxnLst/>
          <a:rect l="0" t="0" r="0" b="0"/>
          <a:pathLst>
            <a:path w="12700" h="130810">
              <a:moveTo>
                <a:pt x="0" y="0"/>
              </a:moveTo>
              <a:lnTo>
                <a:pt x="12192" y="0"/>
              </a:lnTo>
              <a:lnTo>
                <a:pt x="12192" y="130810"/>
              </a:lnTo>
              <a:lnTo>
                <a:pt x="0" y="13081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88900</xdr:colOff>
      <xdr:row>118</xdr:row>
      <xdr:rowOff>0</xdr:rowOff>
    </xdr:from>
    <xdr:ext cx="1748789" cy="878205"/>
    <xdr:grpSp>
      <xdr:nvGrpSpPr>
        <xdr:cNvPr id="24" name="Group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546100" y="31299150"/>
          <a:ext cx="1748789" cy="878205"/>
          <a:chOff x="0" y="0"/>
          <a:chExt cx="1748789" cy="878205"/>
        </a:xfrm>
      </xdr:grpSpPr>
      <xdr:sp macro="" textlink="">
        <xdr:nvSpPr>
          <xdr:cNvPr id="25" name="Shape 25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696868" y="34622"/>
            <a:ext cx="51435" cy="80010"/>
          </a:xfrm>
          <a:custGeom>
            <a:avLst/>
            <a:gdLst/>
            <a:ahLst/>
            <a:cxnLst/>
            <a:rect l="0" t="0" r="0" b="0"/>
            <a:pathLst>
              <a:path w="51435" h="80010">
                <a:moveTo>
                  <a:pt x="51398" y="79656"/>
                </a:moveTo>
                <a:lnTo>
                  <a:pt x="42609" y="79656"/>
                </a:lnTo>
                <a:lnTo>
                  <a:pt x="8343" y="17021"/>
                </a:lnTo>
                <a:lnTo>
                  <a:pt x="8343" y="79656"/>
                </a:lnTo>
                <a:lnTo>
                  <a:pt x="0" y="79656"/>
                </a:lnTo>
                <a:lnTo>
                  <a:pt x="0" y="0"/>
                </a:lnTo>
                <a:lnTo>
                  <a:pt x="8900" y="0"/>
                </a:lnTo>
                <a:lnTo>
                  <a:pt x="43165" y="62634"/>
                </a:lnTo>
                <a:lnTo>
                  <a:pt x="43165" y="0"/>
                </a:lnTo>
                <a:lnTo>
                  <a:pt x="51398" y="0"/>
                </a:lnTo>
                <a:lnTo>
                  <a:pt x="51398" y="79656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id="26" name="image17.jpeg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95488" y="13716"/>
            <a:ext cx="192647" cy="88392"/>
          </a:xfrm>
          <a:prstGeom prst="rect">
            <a:avLst/>
          </a:prstGeom>
        </xdr:spPr>
      </xdr:pic>
      <xdr:pic>
        <xdr:nvPicPr>
          <xdr:cNvPr id="27" name="image18.jpeg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85088" y="13716"/>
            <a:ext cx="326136" cy="88392"/>
          </a:xfrm>
          <a:prstGeom prst="rect">
            <a:avLst/>
          </a:prstGeom>
        </xdr:spPr>
      </xdr:pic>
      <xdr:pic>
        <xdr:nvPicPr>
          <xdr:cNvPr id="28" name="image19.jpeg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09700" y="13716"/>
            <a:ext cx="207263" cy="88392"/>
          </a:xfrm>
          <a:prstGeom prst="rect">
            <a:avLst/>
          </a:prstGeom>
        </xdr:spPr>
      </xdr:pic>
      <xdr:pic>
        <xdr:nvPicPr>
          <xdr:cNvPr id="29" name="image20.png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33727" y="13716"/>
            <a:ext cx="100583" cy="88392"/>
          </a:xfrm>
          <a:prstGeom prst="rect">
            <a:avLst/>
          </a:prstGeom>
        </xdr:spPr>
      </xdr:pic>
      <xdr:pic>
        <xdr:nvPicPr>
          <xdr:cNvPr id="30" name="image21.jpeg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6947" y="100584"/>
            <a:ext cx="182029" cy="188975"/>
          </a:xfrm>
          <a:prstGeom prst="rect">
            <a:avLst/>
          </a:prstGeom>
        </xdr:spPr>
      </xdr:pic>
      <xdr:pic>
        <xdr:nvPicPr>
          <xdr:cNvPr id="31" name="image22.jpeg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6947" y="301752"/>
            <a:ext cx="241188" cy="182880"/>
          </a:xfrm>
          <a:prstGeom prst="rect">
            <a:avLst/>
          </a:prstGeom>
        </xdr:spPr>
      </xdr:pic>
      <xdr:pic>
        <xdr:nvPicPr>
          <xdr:cNvPr id="32" name="image23.jpeg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97280" y="100584"/>
            <a:ext cx="313944" cy="188975"/>
          </a:xfrm>
          <a:prstGeom prst="rect">
            <a:avLst/>
          </a:prstGeom>
        </xdr:spPr>
      </xdr:pic>
      <xdr:pic>
        <xdr:nvPicPr>
          <xdr:cNvPr id="33" name="image24.jpeg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85088" y="301752"/>
            <a:ext cx="326136" cy="182880"/>
          </a:xfrm>
          <a:prstGeom prst="rect">
            <a:avLst/>
          </a:prstGeom>
        </xdr:spPr>
      </xdr:pic>
      <xdr:pic>
        <xdr:nvPicPr>
          <xdr:cNvPr id="34" name="image25.jpeg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09700" y="100584"/>
            <a:ext cx="210312" cy="188975"/>
          </a:xfrm>
          <a:prstGeom prst="rect">
            <a:avLst/>
          </a:prstGeom>
        </xdr:spPr>
      </xdr:pic>
      <xdr:pic>
        <xdr:nvPicPr>
          <xdr:cNvPr id="35" name="image26.png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33727" y="100584"/>
            <a:ext cx="100583" cy="188975"/>
          </a:xfrm>
          <a:prstGeom prst="rect">
            <a:avLst/>
          </a:prstGeom>
        </xdr:spPr>
      </xdr:pic>
      <xdr:pic>
        <xdr:nvPicPr>
          <xdr:cNvPr id="36" name="image27.jpeg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82852" y="301752"/>
            <a:ext cx="137160" cy="182880"/>
          </a:xfrm>
          <a:prstGeom prst="rect">
            <a:avLst/>
          </a:prstGeom>
        </xdr:spPr>
      </xdr:pic>
      <xdr:pic>
        <xdr:nvPicPr>
          <xdr:cNvPr id="37" name="image28.png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33727" y="301752"/>
            <a:ext cx="100583" cy="182880"/>
          </a:xfrm>
          <a:prstGeom prst="rect">
            <a:avLst/>
          </a:prstGeom>
        </xdr:spPr>
      </xdr:pic>
      <xdr:pic>
        <xdr:nvPicPr>
          <xdr:cNvPr id="38" name="image29.jpeg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83352" y="483108"/>
            <a:ext cx="204783" cy="94487"/>
          </a:xfrm>
          <a:prstGeom prst="rect">
            <a:avLst/>
          </a:prstGeom>
        </xdr:spPr>
      </xdr:pic>
      <xdr:pic>
        <xdr:nvPicPr>
          <xdr:cNvPr id="39" name="image30.png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62000" y="589787"/>
            <a:ext cx="326135" cy="275844"/>
          </a:xfrm>
          <a:prstGeom prst="rect">
            <a:avLst/>
          </a:prstGeom>
        </xdr:spPr>
      </xdr:pic>
      <xdr:pic>
        <xdr:nvPicPr>
          <xdr:cNvPr id="40" name="image31.jpeg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85088" y="483108"/>
            <a:ext cx="326136" cy="94487"/>
          </a:xfrm>
          <a:prstGeom prst="rect">
            <a:avLst/>
          </a:prstGeom>
        </xdr:spPr>
      </xdr:pic>
      <xdr:pic>
        <xdr:nvPicPr>
          <xdr:cNvPr id="41" name="image32.png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85088" y="589787"/>
            <a:ext cx="326136" cy="275844"/>
          </a:xfrm>
          <a:prstGeom prst="rect">
            <a:avLst/>
          </a:prstGeom>
        </xdr:spPr>
      </xdr:pic>
      <xdr:pic>
        <xdr:nvPicPr>
          <xdr:cNvPr id="42" name="image33.jpeg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09700" y="483108"/>
            <a:ext cx="207263" cy="94487"/>
          </a:xfrm>
          <a:prstGeom prst="rect">
            <a:avLst/>
          </a:prstGeom>
        </xdr:spPr>
      </xdr:pic>
      <xdr:pic>
        <xdr:nvPicPr>
          <xdr:cNvPr id="43" name="image34.png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33727" y="483108"/>
            <a:ext cx="100583" cy="94487"/>
          </a:xfrm>
          <a:prstGeom prst="rect">
            <a:avLst/>
          </a:prstGeom>
        </xdr:spPr>
      </xdr:pic>
      <xdr:pic>
        <xdr:nvPicPr>
          <xdr:cNvPr id="44" name="image35.jpeg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09700" y="589787"/>
            <a:ext cx="134112" cy="101546"/>
          </a:xfrm>
          <a:prstGeom prst="rect">
            <a:avLst/>
          </a:prstGeom>
        </xdr:spPr>
      </xdr:pic>
      <xdr:pic>
        <xdr:nvPicPr>
          <xdr:cNvPr id="45" name="image36.png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62000" y="577595"/>
            <a:ext cx="972312" cy="288036"/>
          </a:xfrm>
          <a:prstGeom prst="rect">
            <a:avLst/>
          </a:prstGeom>
        </xdr:spPr>
      </xdr:pic>
      <xdr:pic>
        <xdr:nvPicPr>
          <xdr:cNvPr id="46" name="image37.png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62000" y="289559"/>
            <a:ext cx="859536" cy="13715"/>
          </a:xfrm>
          <a:prstGeom prst="rect">
            <a:avLst/>
          </a:prstGeom>
        </xdr:spPr>
      </xdr:pic>
      <xdr:pic>
        <xdr:nvPicPr>
          <xdr:cNvPr id="47" name="image38.png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20011" y="1524"/>
            <a:ext cx="114300" cy="300227"/>
          </a:xfrm>
          <a:prstGeom prst="rect">
            <a:avLst/>
          </a:prstGeom>
        </xdr:spPr>
      </xdr:pic>
      <xdr:pic>
        <xdr:nvPicPr>
          <xdr:cNvPr id="48" name="image39.png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20011" y="289560"/>
            <a:ext cx="114300" cy="300227"/>
          </a:xfrm>
          <a:prstGeom prst="rect">
            <a:avLst/>
          </a:prstGeom>
        </xdr:spPr>
      </xdr:pic>
      <xdr:pic>
        <xdr:nvPicPr>
          <xdr:cNvPr id="49" name="image40.png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62000" y="865632"/>
            <a:ext cx="859536" cy="7619"/>
          </a:xfrm>
          <a:prstGeom prst="rect">
            <a:avLst/>
          </a:prstGeom>
        </xdr:spPr>
      </xdr:pic>
      <xdr:pic>
        <xdr:nvPicPr>
          <xdr:cNvPr id="50" name="image41.png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62000" y="609600"/>
            <a:ext cx="102107" cy="82295"/>
          </a:xfrm>
          <a:prstGeom prst="rect">
            <a:avLst/>
          </a:prstGeom>
        </xdr:spPr>
      </xdr:pic>
      <xdr:pic>
        <xdr:nvPicPr>
          <xdr:cNvPr id="51" name="image42.png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01623" y="609600"/>
            <a:ext cx="210312" cy="83819"/>
          </a:xfrm>
          <a:prstGeom prst="rect">
            <a:avLst/>
          </a:prstGeom>
        </xdr:spPr>
      </xdr:pic>
      <xdr:pic>
        <xdr:nvPicPr>
          <xdr:cNvPr id="52" name="image43.png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49452" y="609600"/>
            <a:ext cx="128015" cy="83819"/>
          </a:xfrm>
          <a:prstGeom prst="rect">
            <a:avLst/>
          </a:prstGeom>
        </xdr:spPr>
      </xdr:pic>
      <xdr:pic>
        <xdr:nvPicPr>
          <xdr:cNvPr id="53" name="image44.png">
            <a:extLst>
              <a:ext uri="{FF2B5EF4-FFF2-40B4-BE49-F238E27FC236}">
                <a16:creationId xmlns:a16="http://schemas.microsoft.com/office/drawing/2014/main" id="{00000000-0008-0000-0000-00003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14983" y="609600"/>
            <a:ext cx="129539" cy="83819"/>
          </a:xfrm>
          <a:prstGeom prst="rect">
            <a:avLst/>
          </a:prstGeom>
        </xdr:spPr>
      </xdr:pic>
      <xdr:pic>
        <xdr:nvPicPr>
          <xdr:cNvPr id="54" name="image45.png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82039" y="609600"/>
            <a:ext cx="129539" cy="83819"/>
          </a:xfrm>
          <a:prstGeom prst="rect">
            <a:avLst/>
          </a:prstGeom>
        </xdr:spPr>
      </xdr:pic>
      <xdr:pic>
        <xdr:nvPicPr>
          <xdr:cNvPr id="55" name="image46.png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20011" y="577595"/>
            <a:ext cx="114300" cy="294131"/>
          </a:xfrm>
          <a:prstGeom prst="rect">
            <a:avLst/>
          </a:prstGeom>
        </xdr:spPr>
      </xdr:pic>
      <xdr:pic>
        <xdr:nvPicPr>
          <xdr:cNvPr id="56" name="image47.png">
            <a:extLst>
              <a:ext uri="{FF2B5EF4-FFF2-40B4-BE49-F238E27FC236}">
                <a16:creationId xmlns:a16="http://schemas.microsoft.com/office/drawing/2014/main" id="{00000000-0008-0000-0000-00003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645920" cy="877824"/>
          </a:xfrm>
          <a:prstGeom prst="rect">
            <a:avLst/>
          </a:prstGeom>
        </xdr:spPr>
      </xdr:pic>
    </xdr:grpSp>
    <xdr:clientData/>
  </xdr:oneCellAnchor>
  <xdr:oneCellAnchor>
    <xdr:from>
      <xdr:col>35</xdr:col>
      <xdr:colOff>35559</xdr:colOff>
      <xdr:row>113</xdr:row>
      <xdr:rowOff>132460</xdr:rowOff>
    </xdr:from>
    <xdr:ext cx="3447415" cy="878205"/>
    <xdr:grpSp>
      <xdr:nvGrpSpPr>
        <xdr:cNvPr id="57" name="Group 57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GrpSpPr/>
      </xdr:nvGrpSpPr>
      <xdr:grpSpPr>
        <a:xfrm>
          <a:off x="4178934" y="30621985"/>
          <a:ext cx="3447415" cy="878205"/>
          <a:chOff x="0" y="0"/>
          <a:chExt cx="3447415" cy="878205"/>
        </a:xfrm>
      </xdr:grpSpPr>
      <xdr:sp macro="" textlink="">
        <xdr:nvSpPr>
          <xdr:cNvPr id="58" name="Shape 58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772411" y="187452"/>
            <a:ext cx="1260475" cy="108585"/>
          </a:xfrm>
          <a:custGeom>
            <a:avLst/>
            <a:gdLst/>
            <a:ahLst/>
            <a:cxnLst/>
            <a:rect l="0" t="0" r="0" b="0"/>
            <a:pathLst>
              <a:path w="1260475" h="108585">
                <a:moveTo>
                  <a:pt x="0" y="0"/>
                </a:moveTo>
                <a:lnTo>
                  <a:pt x="0" y="108204"/>
                </a:lnTo>
              </a:path>
              <a:path w="1260475" h="108585">
                <a:moveTo>
                  <a:pt x="144779" y="0"/>
                </a:moveTo>
                <a:lnTo>
                  <a:pt x="144779" y="108204"/>
                </a:lnTo>
              </a:path>
              <a:path w="1260475" h="108585">
                <a:moveTo>
                  <a:pt x="324611" y="0"/>
                </a:moveTo>
                <a:lnTo>
                  <a:pt x="324611" y="108204"/>
                </a:lnTo>
              </a:path>
              <a:path w="1260475" h="108585">
                <a:moveTo>
                  <a:pt x="467868" y="0"/>
                </a:moveTo>
                <a:lnTo>
                  <a:pt x="467868" y="108204"/>
                </a:lnTo>
              </a:path>
              <a:path w="1260475" h="108585">
                <a:moveTo>
                  <a:pt x="612647" y="0"/>
                </a:moveTo>
                <a:lnTo>
                  <a:pt x="612647" y="108204"/>
                </a:lnTo>
              </a:path>
              <a:path w="1260475" h="108585">
                <a:moveTo>
                  <a:pt x="900683" y="0"/>
                </a:moveTo>
                <a:lnTo>
                  <a:pt x="900683" y="108204"/>
                </a:lnTo>
              </a:path>
              <a:path w="1260475" h="108585">
                <a:moveTo>
                  <a:pt x="1260347" y="0"/>
                </a:moveTo>
                <a:lnTo>
                  <a:pt x="1260347" y="108204"/>
                </a:lnTo>
              </a:path>
            </a:pathLst>
          </a:custGeom>
          <a:ln w="7620">
            <a:solidFill>
              <a:srgbClr val="000000"/>
            </a:solidFill>
          </a:ln>
        </xdr:spPr>
      </xdr:sp>
      <xdr:pic>
        <xdr:nvPicPr>
          <xdr:cNvPr id="59" name="image48.png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37488" y="478536"/>
            <a:ext cx="252984" cy="85344"/>
          </a:xfrm>
          <a:prstGeom prst="rect">
            <a:avLst/>
          </a:prstGeom>
        </xdr:spPr>
      </xdr:pic>
      <xdr:pic>
        <xdr:nvPicPr>
          <xdr:cNvPr id="60" name="image49.jpeg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21426" y="80772"/>
            <a:ext cx="600109" cy="208788"/>
          </a:xfrm>
          <a:prstGeom prst="rect">
            <a:avLst/>
          </a:prstGeom>
        </xdr:spPr>
      </xdr:pic>
      <xdr:pic>
        <xdr:nvPicPr>
          <xdr:cNvPr id="61" name="image50.png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35251" y="80772"/>
            <a:ext cx="100583" cy="208788"/>
          </a:xfrm>
          <a:prstGeom prst="rect">
            <a:avLst/>
          </a:prstGeom>
        </xdr:spPr>
      </xdr:pic>
      <xdr:pic>
        <xdr:nvPicPr>
          <xdr:cNvPr id="62" name="image51.png">
            <a:extLst>
              <a:ext uri="{FF2B5EF4-FFF2-40B4-BE49-F238E27FC236}">
                <a16:creationId xmlns:a16="http://schemas.microsoft.com/office/drawing/2014/main" id="{00000000-0008-0000-0000-00003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16508" y="301752"/>
            <a:ext cx="605027" cy="275844"/>
          </a:xfrm>
          <a:prstGeom prst="rect">
            <a:avLst/>
          </a:prstGeom>
        </xdr:spPr>
      </xdr:pic>
      <xdr:pic>
        <xdr:nvPicPr>
          <xdr:cNvPr id="63" name="image52.png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35251" y="301752"/>
            <a:ext cx="100583" cy="275844"/>
          </a:xfrm>
          <a:prstGeom prst="rect">
            <a:avLst/>
          </a:prstGeom>
        </xdr:spPr>
      </xdr:pic>
      <xdr:pic>
        <xdr:nvPicPr>
          <xdr:cNvPr id="64" name="image53.png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16508" y="589787"/>
            <a:ext cx="605027" cy="210312"/>
          </a:xfrm>
          <a:prstGeom prst="rect">
            <a:avLst/>
          </a:prstGeom>
        </xdr:spPr>
      </xdr:pic>
      <xdr:pic>
        <xdr:nvPicPr>
          <xdr:cNvPr id="65" name="image54.png">
            <a:extLs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16508" y="289559"/>
            <a:ext cx="606551" cy="13716"/>
          </a:xfrm>
          <a:prstGeom prst="rect">
            <a:avLst/>
          </a:prstGeom>
        </xdr:spPr>
      </xdr:pic>
      <xdr:pic>
        <xdr:nvPicPr>
          <xdr:cNvPr id="66" name="image55.png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21536" y="80772"/>
            <a:ext cx="114300" cy="220979"/>
          </a:xfrm>
          <a:prstGeom prst="rect">
            <a:avLst/>
          </a:prstGeom>
        </xdr:spPr>
      </xdr:pic>
      <xdr:pic>
        <xdr:nvPicPr>
          <xdr:cNvPr id="67" name="image56.png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16508" y="577595"/>
            <a:ext cx="719327" cy="222504"/>
          </a:xfrm>
          <a:prstGeom prst="rect">
            <a:avLst/>
          </a:prstGeom>
        </xdr:spPr>
      </xdr:pic>
      <xdr:pic>
        <xdr:nvPicPr>
          <xdr:cNvPr id="68" name="image57.png">
            <a:extLst>
              <a:ext uri="{FF2B5EF4-FFF2-40B4-BE49-F238E27FC236}">
                <a16:creationId xmlns:a16="http://schemas.microsoft.com/office/drawing/2014/main" id="{00000000-0008-0000-0000-00004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21536" y="289559"/>
            <a:ext cx="114300" cy="510540"/>
          </a:xfrm>
          <a:prstGeom prst="rect">
            <a:avLst/>
          </a:prstGeom>
        </xdr:spPr>
      </xdr:pic>
      <xdr:pic>
        <xdr:nvPicPr>
          <xdr:cNvPr id="69" name="image58.png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16508" y="609600"/>
            <a:ext cx="129539" cy="83819"/>
          </a:xfrm>
          <a:prstGeom prst="rect">
            <a:avLst/>
          </a:prstGeom>
        </xdr:spPr>
      </xdr:pic>
      <xdr:pic>
        <xdr:nvPicPr>
          <xdr:cNvPr id="70" name="image59.png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83563" y="609600"/>
            <a:ext cx="129539" cy="83819"/>
          </a:xfrm>
          <a:prstGeom prst="rect">
            <a:avLst/>
          </a:prstGeom>
        </xdr:spPr>
      </xdr:pic>
      <xdr:pic>
        <xdr:nvPicPr>
          <xdr:cNvPr id="71" name="image60.png">
            <a:extLst>
              <a:ext uri="{FF2B5EF4-FFF2-40B4-BE49-F238E27FC236}">
                <a16:creationId xmlns:a16="http://schemas.microsoft.com/office/drawing/2014/main" id="{00000000-0008-0000-0000-00004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32916" y="367284"/>
            <a:ext cx="280415" cy="85344"/>
          </a:xfrm>
          <a:prstGeom prst="rect">
            <a:avLst/>
          </a:prstGeom>
        </xdr:spPr>
      </xdr:pic>
      <xdr:pic>
        <xdr:nvPicPr>
          <xdr:cNvPr id="72" name="image61.png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67611" y="390143"/>
            <a:ext cx="47244" cy="62483"/>
          </a:xfrm>
          <a:prstGeom prst="rect">
            <a:avLst/>
          </a:prstGeom>
        </xdr:spPr>
      </xdr:pic>
      <xdr:pic>
        <xdr:nvPicPr>
          <xdr:cNvPr id="73" name="image62.png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37488" y="478536"/>
            <a:ext cx="252983" cy="85344"/>
          </a:xfrm>
          <a:prstGeom prst="rect">
            <a:avLst/>
          </a:prstGeom>
        </xdr:spPr>
      </xdr:pic>
      <xdr:pic>
        <xdr:nvPicPr>
          <xdr:cNvPr id="74" name="image63.png">
            <a:extLst>
              <a:ext uri="{FF2B5EF4-FFF2-40B4-BE49-F238E27FC236}">
                <a16:creationId xmlns:a16="http://schemas.microsoft.com/office/drawing/2014/main" id="{00000000-0008-0000-0000-00004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447288" cy="877824"/>
          </a:xfrm>
          <a:prstGeom prst="rect">
            <a:avLst/>
          </a:prstGeom>
        </xdr:spPr>
      </xdr:pic>
      <xdr:sp macro="" textlink="">
        <xdr:nvSpPr>
          <xdr:cNvPr id="75" name="Textbox 75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41419" y="3554"/>
            <a:ext cx="1175385" cy="85153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50" b="0" spc="-5">
                <a:latin typeface="Arial MT"/>
                <a:cs typeface="Arial MT"/>
              </a:rPr>
              <a:t>NOMBRE CAITLI</a:t>
            </a:r>
            <a:r>
              <a:rPr sz="950" b="0" spc="0">
                <a:latin typeface="Arial MT"/>
                <a:cs typeface="Arial MT"/>
              </a:rPr>
              <a:t>N</a:t>
            </a:r>
            <a:r>
              <a:rPr sz="950" b="0" spc="25">
                <a:latin typeface="Arial MT"/>
                <a:cs typeface="Arial MT"/>
              </a:rPr>
              <a:t> </a:t>
            </a:r>
            <a:r>
              <a:rPr sz="950" b="0" spc="-5">
                <a:latin typeface="Arial MT"/>
                <a:cs typeface="Arial MT"/>
              </a:rPr>
              <a:t>WHEAT PAGA</a:t>
            </a:r>
            <a:r>
              <a:rPr sz="950" b="0" spc="0">
                <a:latin typeface="Arial MT"/>
                <a:cs typeface="Arial MT"/>
              </a:rPr>
              <a:t>R</a:t>
            </a:r>
            <a:r>
              <a:rPr sz="950" b="0" spc="-25">
                <a:latin typeface="Arial MT"/>
                <a:cs typeface="Arial MT"/>
              </a:rPr>
              <a:t> </a:t>
            </a:r>
            <a:r>
              <a:rPr sz="950" b="0" spc="-5">
                <a:latin typeface="Arial MT"/>
                <a:cs typeface="Arial MT"/>
              </a:rPr>
              <a:t>HASTA 15/05/2025</a:t>
            </a:r>
          </a:p>
          <a:p>
            <a:r>
              <a:rPr sz="950" b="0" spc="-5">
                <a:latin typeface="Arial MT"/>
                <a:cs typeface="Arial MT"/>
              </a:rPr>
              <a:t>MONT</a:t>
            </a:r>
            <a:r>
              <a:rPr sz="950" b="0" spc="0">
                <a:latin typeface="Arial MT"/>
                <a:cs typeface="Arial MT"/>
              </a:rPr>
              <a:t>O</a:t>
            </a:r>
            <a:r>
              <a:rPr sz="950" b="0" spc="-35">
                <a:latin typeface="Arial MT"/>
                <a:cs typeface="Arial MT"/>
              </a:rPr>
              <a:t> </a:t>
            </a:r>
            <a:r>
              <a:rPr sz="950" b="0" spc="0">
                <a:latin typeface="Arial MT"/>
                <a:cs typeface="Arial MT"/>
              </a:rPr>
              <a:t>M</a:t>
            </a:r>
            <a:r>
              <a:rPr sz="950" b="0" spc="-75">
                <a:latin typeface="Arial MT"/>
                <a:cs typeface="Arial MT"/>
              </a:rPr>
              <a:t> </a:t>
            </a:r>
            <a:r>
              <a:rPr sz="950" b="0" spc="-5">
                <a:latin typeface="Arial MT"/>
                <a:cs typeface="Arial MT"/>
              </a:rPr>
              <a:t>NIM</a:t>
            </a:r>
            <a:r>
              <a:rPr sz="950" b="0" spc="0">
                <a:latin typeface="Arial MT"/>
                <a:cs typeface="Arial MT"/>
              </a:rPr>
              <a:t>0</a:t>
            </a:r>
            <a:r>
              <a:rPr sz="950" b="0" spc="-60">
                <a:latin typeface="Arial MT"/>
                <a:cs typeface="Arial MT"/>
              </a:rPr>
              <a:t> </a:t>
            </a:r>
            <a:r>
              <a:rPr sz="950" b="0" spc="0">
                <a:latin typeface="Arial MT"/>
                <a:cs typeface="Arial MT"/>
              </a:rPr>
              <a:t>A</a:t>
            </a:r>
            <a:r>
              <a:rPr sz="950" b="0" spc="-110">
                <a:latin typeface="Arial MT"/>
                <a:cs typeface="Arial MT"/>
              </a:rPr>
              <a:t> </a:t>
            </a:r>
            <a:r>
              <a:rPr sz="950" b="0" spc="-5">
                <a:latin typeface="Arial MT"/>
                <a:cs typeface="Arial MT"/>
              </a:rPr>
              <a:t>PAGAR</a:t>
            </a:r>
          </a:p>
          <a:p>
            <a:r>
              <a:rPr sz="950" b="0">
                <a:latin typeface="Arial MT"/>
                <a:cs typeface="Arial MT"/>
              </a:rPr>
              <a:t>$ </a:t>
            </a:r>
            <a:r>
              <a:rPr sz="950" b="0" spc="-85">
                <a:latin typeface="Arial MT"/>
                <a:cs typeface="Arial MT"/>
              </a:rPr>
              <a:t> </a:t>
            </a:r>
            <a:r>
              <a:rPr sz="950" b="0" spc="-5">
                <a:latin typeface="Arial MT"/>
                <a:cs typeface="Arial MT"/>
              </a:rPr>
              <a:t>5.826</a:t>
            </a:r>
          </a:p>
        </xdr:txBody>
      </xdr:sp>
      <xdr:sp macro="" textlink="">
        <xdr:nvSpPr>
          <xdr:cNvPr id="76" name="Textbox 76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 txBox="1"/>
        </xdr:nvSpPr>
        <xdr:spPr>
          <a:xfrm>
            <a:off x="1688546" y="3554"/>
            <a:ext cx="1602740" cy="23558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50" b="0" spc="-5">
                <a:latin typeface="Arial MT"/>
                <a:cs typeface="Arial MT"/>
              </a:rPr>
              <a:t>NúMER</a:t>
            </a:r>
            <a:r>
              <a:rPr sz="950" b="0" spc="0">
                <a:latin typeface="Arial MT"/>
                <a:cs typeface="Arial MT"/>
              </a:rPr>
              <a:t>O</a:t>
            </a:r>
            <a:r>
              <a:rPr sz="950" b="0" spc="-25">
                <a:latin typeface="Arial MT"/>
                <a:cs typeface="Arial MT"/>
              </a:rPr>
              <a:t> </a:t>
            </a:r>
            <a:r>
              <a:rPr sz="950" b="0" spc="-5">
                <a:latin typeface="Arial MT"/>
                <a:cs typeface="Arial MT"/>
              </a:rPr>
              <a:t>D</a:t>
            </a:r>
            <a:r>
              <a:rPr sz="950" b="0" spc="0">
                <a:latin typeface="Arial MT"/>
                <a:cs typeface="Arial MT"/>
              </a:rPr>
              <a:t>E</a:t>
            </a:r>
            <a:r>
              <a:rPr sz="950" b="0" spc="-65">
                <a:latin typeface="Arial MT"/>
                <a:cs typeface="Arial MT"/>
              </a:rPr>
              <a:t> </a:t>
            </a:r>
            <a:r>
              <a:rPr sz="950" b="0" spc="-5">
                <a:latin typeface="Arial MT"/>
                <a:cs typeface="Arial MT"/>
              </a:rPr>
              <a:t>TARJETA</a:t>
            </a:r>
          </a:p>
          <a:p>
            <a:r>
              <a:rPr sz="950" b="0">
                <a:latin typeface="Arial MT"/>
                <a:cs typeface="Arial MT"/>
              </a:rPr>
              <a:t>0  </a:t>
            </a:r>
            <a:r>
              <a:rPr sz="950" b="0" spc="15">
                <a:latin typeface="Arial MT"/>
                <a:cs typeface="Arial MT"/>
              </a:rPr>
              <a:t> </a:t>
            </a:r>
            <a:r>
              <a:rPr sz="950" b="0" spc="-5">
                <a:latin typeface="Arial MT"/>
                <a:cs typeface="Arial MT"/>
              </a:rPr>
              <a:t>000</a:t>
            </a:r>
            <a:r>
              <a:rPr sz="950" b="0" spc="0">
                <a:latin typeface="Arial MT"/>
                <a:cs typeface="Arial MT"/>
              </a:rPr>
              <a:t>4    </a:t>
            </a:r>
            <a:r>
              <a:rPr sz="950" b="0" spc="-75">
                <a:latin typeface="Arial MT"/>
                <a:cs typeface="Arial MT"/>
              </a:rPr>
              <a:t> </a:t>
            </a:r>
            <a:r>
              <a:rPr sz="950" b="0" spc="-5">
                <a:latin typeface="Arial MT"/>
                <a:cs typeface="Arial MT"/>
              </a:rPr>
              <a:t>4583</a:t>
            </a:r>
          </a:p>
        </xdr:txBody>
      </xdr:sp>
      <xdr:sp macro="" textlink="">
        <xdr:nvSpPr>
          <xdr:cNvPr id="77" name="Textbox 77">
            <a:extLst>
              <a:ext uri="{FF2B5EF4-FFF2-40B4-BE49-F238E27FC236}">
                <a16:creationId xmlns:a16="http://schemas.microsoft.com/office/drawing/2014/main" id="{00000000-0008-0000-0000-00004D000000}"/>
              </a:ext>
            </a:extLst>
          </xdr:cNvPr>
          <xdr:cNvSpPr txBox="1"/>
        </xdr:nvSpPr>
        <xdr:spPr>
          <a:xfrm>
            <a:off x="1228564" y="338834"/>
            <a:ext cx="297815" cy="13525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50" b="0" spc="-5">
                <a:latin typeface="Arial MT"/>
                <a:cs typeface="Arial MT"/>
              </a:rPr>
              <a:t>Timbe</a:t>
            </a:r>
          </a:p>
        </xdr:txBody>
      </xdr:sp>
      <xdr:sp macro="" textlink="">
        <xdr:nvSpPr>
          <xdr:cNvPr id="78" name="Textbox 78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688781" y="290066"/>
            <a:ext cx="1697989" cy="42481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50" b="0" spc="-5">
                <a:latin typeface="Arial MT"/>
                <a:cs typeface="Arial MT"/>
              </a:rPr>
              <a:t>MONT</a:t>
            </a:r>
            <a:r>
              <a:rPr sz="950" b="0" spc="0">
                <a:latin typeface="Arial MT"/>
                <a:cs typeface="Arial MT"/>
              </a:rPr>
              <a:t>O</a:t>
            </a:r>
            <a:r>
              <a:rPr sz="950" b="0" spc="-35">
                <a:latin typeface="Arial MT"/>
                <a:cs typeface="Arial MT"/>
              </a:rPr>
              <a:t> </a:t>
            </a:r>
            <a:r>
              <a:rPr sz="950" b="0" spc="-5">
                <a:latin typeface="Arial MT"/>
                <a:cs typeface="Arial MT"/>
              </a:rPr>
              <a:t>TOTA</a:t>
            </a:r>
            <a:r>
              <a:rPr sz="950" b="0" spc="0">
                <a:latin typeface="Arial MT"/>
                <a:cs typeface="Arial MT"/>
              </a:rPr>
              <a:t>L</a:t>
            </a:r>
            <a:r>
              <a:rPr sz="950" b="0" spc="-80">
                <a:latin typeface="Arial MT"/>
                <a:cs typeface="Arial MT"/>
              </a:rPr>
              <a:t> </a:t>
            </a:r>
            <a:r>
              <a:rPr sz="950" b="0" spc="-5">
                <a:latin typeface="Arial MT"/>
                <a:cs typeface="Arial MT"/>
              </a:rPr>
              <a:t>FACTURAD</a:t>
            </a:r>
            <a:r>
              <a:rPr sz="950" b="0" spc="0">
                <a:latin typeface="Arial MT"/>
                <a:cs typeface="Arial MT"/>
              </a:rPr>
              <a:t>O</a:t>
            </a:r>
            <a:r>
              <a:rPr sz="950" b="0" spc="15">
                <a:latin typeface="Arial MT"/>
                <a:cs typeface="Arial MT"/>
              </a:rPr>
              <a:t> </a:t>
            </a:r>
            <a:r>
              <a:rPr sz="950" b="0" spc="0">
                <a:latin typeface="Arial MT"/>
                <a:cs typeface="Arial MT"/>
              </a:rPr>
              <a:t>A</a:t>
            </a:r>
            <a:r>
              <a:rPr sz="950" b="0" spc="-110">
                <a:latin typeface="Arial MT"/>
                <a:cs typeface="Arial MT"/>
              </a:rPr>
              <a:t> </a:t>
            </a:r>
            <a:r>
              <a:rPr sz="950" b="0" spc="-5">
                <a:latin typeface="Arial MT"/>
                <a:cs typeface="Arial MT"/>
              </a:rPr>
              <a:t>PAGAR</a:t>
            </a:r>
          </a:p>
          <a:p>
            <a:r>
              <a:rPr sz="950" b="0">
                <a:latin typeface="Arial MT"/>
                <a:cs typeface="Arial MT"/>
              </a:rPr>
              <a:t>$</a:t>
            </a:r>
            <a:r>
              <a:rPr sz="950" b="0" spc="-75">
                <a:latin typeface="Arial MT"/>
                <a:cs typeface="Arial MT"/>
              </a:rPr>
              <a:t> </a:t>
            </a:r>
            <a:r>
              <a:rPr sz="950" b="0" spc="-5">
                <a:latin typeface="Arial MT"/>
                <a:cs typeface="Arial MT"/>
              </a:rPr>
              <a:t>100.022</a:t>
            </a:r>
          </a:p>
          <a:p>
            <a:r>
              <a:rPr sz="950" b="0" spc="-5">
                <a:latin typeface="Arial MT"/>
                <a:cs typeface="Arial MT"/>
              </a:rPr>
              <a:t>MONT</a:t>
            </a:r>
            <a:r>
              <a:rPr sz="950" b="0" spc="0">
                <a:latin typeface="Arial MT"/>
                <a:cs typeface="Arial MT"/>
              </a:rPr>
              <a:t>O</a:t>
            </a:r>
            <a:r>
              <a:rPr sz="950" b="0" spc="-35">
                <a:latin typeface="Arial MT"/>
                <a:cs typeface="Arial MT"/>
              </a:rPr>
              <a:t> </a:t>
            </a:r>
            <a:r>
              <a:rPr sz="950" b="0" spc="-5">
                <a:latin typeface="Arial MT"/>
                <a:cs typeface="Arial MT"/>
              </a:rPr>
              <a:t>CANCELADO</a:t>
            </a:r>
          </a:p>
        </xdr:txBody>
      </xdr:sp>
    </xdr:grpSp>
    <xdr:clientData/>
  </xdr:oneCellAnchor>
  <xdr:oneCellAnchor>
    <xdr:from>
      <xdr:col>1</xdr:col>
      <xdr:colOff>88900</xdr:colOff>
      <xdr:row>119</xdr:row>
      <xdr:rowOff>0</xdr:rowOff>
    </xdr:from>
    <xdr:ext cx="7027545" cy="1152525"/>
    <xdr:grpSp>
      <xdr:nvGrpSpPr>
        <xdr:cNvPr id="85" name="Group 85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GrpSpPr/>
      </xdr:nvGrpSpPr>
      <xdr:grpSpPr>
        <a:xfrm>
          <a:off x="546100" y="31461075"/>
          <a:ext cx="7027545" cy="1152525"/>
          <a:chOff x="0" y="0"/>
          <a:chExt cx="7027545" cy="1152525"/>
        </a:xfrm>
      </xdr:grpSpPr>
      <xdr:sp macro="" textlink="">
        <xdr:nvSpPr>
          <xdr:cNvPr id="86" name="Shape 86">
            <a:extLst>
              <a:ext uri="{FF2B5EF4-FFF2-40B4-BE49-F238E27FC236}">
                <a16:creationId xmlns:a16="http://schemas.microsoft.com/office/drawing/2014/main" id="{00000000-0008-0000-0000-000056000000}"/>
              </a:ext>
            </a:extLst>
          </xdr:cNvPr>
          <xdr:cNvSpPr/>
        </xdr:nvSpPr>
        <xdr:spPr>
          <a:xfrm>
            <a:off x="0" y="0"/>
            <a:ext cx="12700" cy="130810"/>
          </a:xfrm>
          <a:custGeom>
            <a:avLst/>
            <a:gdLst/>
            <a:ahLst/>
            <a:cxnLst/>
            <a:rect l="0" t="0" r="0" b="0"/>
            <a:pathLst>
              <a:path w="12700" h="130810">
                <a:moveTo>
                  <a:pt x="0" y="0"/>
                </a:moveTo>
                <a:lnTo>
                  <a:pt x="12192" y="0"/>
                </a:lnTo>
                <a:lnTo>
                  <a:pt x="12192" y="130810"/>
                </a:lnTo>
                <a:lnTo>
                  <a:pt x="0" y="130810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87" name="Shape 87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/>
        </xdr:nvSpPr>
        <xdr:spPr>
          <a:xfrm>
            <a:off x="6096" y="280415"/>
            <a:ext cx="6083935" cy="144780"/>
          </a:xfrm>
          <a:custGeom>
            <a:avLst/>
            <a:gdLst/>
            <a:ahLst/>
            <a:cxnLst/>
            <a:rect l="0" t="0" r="0" b="0"/>
            <a:pathLst>
              <a:path w="6083935" h="144780">
                <a:moveTo>
                  <a:pt x="0" y="144779"/>
                </a:moveTo>
                <a:lnTo>
                  <a:pt x="6083808" y="144779"/>
                </a:lnTo>
                <a:lnTo>
                  <a:pt x="6083808" y="0"/>
                </a:lnTo>
                <a:lnTo>
                  <a:pt x="0" y="0"/>
                </a:lnTo>
                <a:lnTo>
                  <a:pt x="0" y="144779"/>
                </a:lnTo>
                <a:close/>
              </a:path>
            </a:pathLst>
          </a:custGeom>
          <a:solidFill>
            <a:srgbClr val="EDEDEF"/>
          </a:solidFill>
        </xdr:spPr>
      </xdr:sp>
      <xdr:sp macro="" textlink="">
        <xdr:nvSpPr>
          <xdr:cNvPr id="88" name="Shape 88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0" y="274319"/>
            <a:ext cx="6240780" cy="157480"/>
          </a:xfrm>
          <a:custGeom>
            <a:avLst/>
            <a:gdLst/>
            <a:ahLst/>
            <a:cxnLst/>
            <a:rect l="0" t="0" r="0" b="0"/>
            <a:pathLst>
              <a:path w="6240780" h="157480">
                <a:moveTo>
                  <a:pt x="6240780" y="0"/>
                </a:moveTo>
                <a:lnTo>
                  <a:pt x="12192" y="0"/>
                </a:lnTo>
                <a:lnTo>
                  <a:pt x="0" y="0"/>
                </a:lnTo>
                <a:lnTo>
                  <a:pt x="0" y="156972"/>
                </a:lnTo>
                <a:lnTo>
                  <a:pt x="12192" y="156972"/>
                </a:lnTo>
                <a:lnTo>
                  <a:pt x="6240780" y="156972"/>
                </a:lnTo>
                <a:lnTo>
                  <a:pt x="6240780" y="144780"/>
                </a:lnTo>
                <a:lnTo>
                  <a:pt x="12192" y="144780"/>
                </a:lnTo>
                <a:lnTo>
                  <a:pt x="12192" y="13716"/>
                </a:lnTo>
                <a:lnTo>
                  <a:pt x="6240780" y="13716"/>
                </a:lnTo>
                <a:lnTo>
                  <a:pt x="6240780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89" name="Shape 89">
            <a:extLst>
              <a:ext uri="{FF2B5EF4-FFF2-40B4-BE49-F238E27FC236}">
                <a16:creationId xmlns:a16="http://schemas.microsoft.com/office/drawing/2014/main" id="{00000000-0008-0000-0000-000059000000}"/>
              </a:ext>
            </a:extLst>
          </xdr:cNvPr>
          <xdr:cNvSpPr/>
        </xdr:nvSpPr>
        <xdr:spPr>
          <a:xfrm>
            <a:off x="6233159" y="280415"/>
            <a:ext cx="794385" cy="144780"/>
          </a:xfrm>
          <a:custGeom>
            <a:avLst/>
            <a:gdLst/>
            <a:ahLst/>
            <a:cxnLst/>
            <a:rect l="0" t="0" r="0" b="0"/>
            <a:pathLst>
              <a:path w="794385" h="144780">
                <a:moveTo>
                  <a:pt x="794003" y="144779"/>
                </a:moveTo>
                <a:lnTo>
                  <a:pt x="0" y="144779"/>
                </a:lnTo>
                <a:lnTo>
                  <a:pt x="0" y="0"/>
                </a:lnTo>
                <a:lnTo>
                  <a:pt x="794003" y="0"/>
                </a:lnTo>
                <a:lnTo>
                  <a:pt x="794003" y="144779"/>
                </a:lnTo>
                <a:close/>
              </a:path>
            </a:pathLst>
          </a:custGeom>
          <a:solidFill>
            <a:srgbClr val="EDEDEF"/>
          </a:solidFill>
        </xdr:spPr>
      </xdr:sp>
      <xdr:sp macro="" textlink="">
        <xdr:nvSpPr>
          <xdr:cNvPr id="90" name="Shape 90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/>
        </xdr:nvSpPr>
        <xdr:spPr>
          <a:xfrm>
            <a:off x="6228575" y="274319"/>
            <a:ext cx="793115" cy="157480"/>
          </a:xfrm>
          <a:custGeom>
            <a:avLst/>
            <a:gdLst/>
            <a:ahLst/>
            <a:cxnLst/>
            <a:rect l="0" t="0" r="0" b="0"/>
            <a:pathLst>
              <a:path w="793115" h="157480">
                <a:moveTo>
                  <a:pt x="78232" y="82029"/>
                </a:moveTo>
                <a:lnTo>
                  <a:pt x="77711" y="78917"/>
                </a:lnTo>
                <a:lnTo>
                  <a:pt x="75641" y="73418"/>
                </a:lnTo>
                <a:lnTo>
                  <a:pt x="74663" y="71831"/>
                </a:lnTo>
                <a:lnTo>
                  <a:pt x="74231" y="71120"/>
                </a:lnTo>
                <a:lnTo>
                  <a:pt x="72453" y="69265"/>
                </a:lnTo>
                <a:lnTo>
                  <a:pt x="70739" y="67411"/>
                </a:lnTo>
                <a:lnTo>
                  <a:pt x="69900" y="66814"/>
                </a:lnTo>
                <a:lnTo>
                  <a:pt x="69900" y="90893"/>
                </a:lnTo>
                <a:lnTo>
                  <a:pt x="68961" y="94119"/>
                </a:lnTo>
                <a:lnTo>
                  <a:pt x="64808" y="99606"/>
                </a:lnTo>
                <a:lnTo>
                  <a:pt x="62255" y="101206"/>
                </a:lnTo>
                <a:lnTo>
                  <a:pt x="59207" y="101650"/>
                </a:lnTo>
                <a:lnTo>
                  <a:pt x="59207" y="71831"/>
                </a:lnTo>
                <a:lnTo>
                  <a:pt x="69900" y="90893"/>
                </a:lnTo>
                <a:lnTo>
                  <a:pt x="69900" y="66814"/>
                </a:lnTo>
                <a:lnTo>
                  <a:pt x="68707" y="65938"/>
                </a:lnTo>
                <a:lnTo>
                  <a:pt x="65214" y="64300"/>
                </a:lnTo>
                <a:lnTo>
                  <a:pt x="62852" y="63487"/>
                </a:lnTo>
                <a:lnTo>
                  <a:pt x="59207" y="62369"/>
                </a:lnTo>
                <a:lnTo>
                  <a:pt x="59207" y="60921"/>
                </a:lnTo>
                <a:lnTo>
                  <a:pt x="59207" y="34112"/>
                </a:lnTo>
                <a:lnTo>
                  <a:pt x="64401" y="35445"/>
                </a:lnTo>
                <a:lnTo>
                  <a:pt x="67449" y="39751"/>
                </a:lnTo>
                <a:lnTo>
                  <a:pt x="67500" y="40233"/>
                </a:lnTo>
                <a:lnTo>
                  <a:pt x="67576" y="40830"/>
                </a:lnTo>
                <a:lnTo>
                  <a:pt x="67640" y="41389"/>
                </a:lnTo>
                <a:lnTo>
                  <a:pt x="68338" y="47015"/>
                </a:lnTo>
                <a:lnTo>
                  <a:pt x="76568" y="45466"/>
                </a:lnTo>
                <a:lnTo>
                  <a:pt x="76047" y="41389"/>
                </a:lnTo>
                <a:lnTo>
                  <a:pt x="75006" y="37973"/>
                </a:lnTo>
                <a:lnTo>
                  <a:pt x="72771" y="33997"/>
                </a:lnTo>
                <a:lnTo>
                  <a:pt x="71894" y="32410"/>
                </a:lnTo>
                <a:lnTo>
                  <a:pt x="69964" y="30264"/>
                </a:lnTo>
                <a:lnTo>
                  <a:pt x="67665" y="28778"/>
                </a:lnTo>
                <a:lnTo>
                  <a:pt x="65366" y="27216"/>
                </a:lnTo>
                <a:lnTo>
                  <a:pt x="62547" y="26250"/>
                </a:lnTo>
                <a:lnTo>
                  <a:pt x="59207" y="25882"/>
                </a:lnTo>
                <a:lnTo>
                  <a:pt x="59207" y="21209"/>
                </a:lnTo>
                <a:lnTo>
                  <a:pt x="54432" y="21209"/>
                </a:lnTo>
                <a:lnTo>
                  <a:pt x="54432" y="25882"/>
                </a:lnTo>
                <a:lnTo>
                  <a:pt x="54432" y="33997"/>
                </a:lnTo>
                <a:lnTo>
                  <a:pt x="54432" y="60921"/>
                </a:lnTo>
                <a:lnTo>
                  <a:pt x="47675" y="58483"/>
                </a:lnTo>
                <a:lnTo>
                  <a:pt x="44310" y="54025"/>
                </a:lnTo>
                <a:lnTo>
                  <a:pt x="44310" y="43865"/>
                </a:lnTo>
                <a:lnTo>
                  <a:pt x="45237" y="40830"/>
                </a:lnTo>
                <a:lnTo>
                  <a:pt x="48945" y="36080"/>
                </a:lnTo>
                <a:lnTo>
                  <a:pt x="51384" y="34594"/>
                </a:lnTo>
                <a:lnTo>
                  <a:pt x="54432" y="33997"/>
                </a:lnTo>
                <a:lnTo>
                  <a:pt x="54432" y="25882"/>
                </a:lnTo>
                <a:lnTo>
                  <a:pt x="38633" y="36893"/>
                </a:lnTo>
                <a:lnTo>
                  <a:pt x="37071" y="40233"/>
                </a:lnTo>
                <a:lnTo>
                  <a:pt x="36944" y="40830"/>
                </a:lnTo>
                <a:lnTo>
                  <a:pt x="36830" y="41389"/>
                </a:lnTo>
                <a:lnTo>
                  <a:pt x="36309" y="43865"/>
                </a:lnTo>
                <a:lnTo>
                  <a:pt x="54432" y="70497"/>
                </a:lnTo>
                <a:lnTo>
                  <a:pt x="54432" y="101650"/>
                </a:lnTo>
                <a:lnTo>
                  <a:pt x="51689" y="101346"/>
                </a:lnTo>
                <a:lnTo>
                  <a:pt x="49276" y="99822"/>
                </a:lnTo>
                <a:lnTo>
                  <a:pt x="47193" y="97078"/>
                </a:lnTo>
                <a:lnTo>
                  <a:pt x="45046" y="94335"/>
                </a:lnTo>
                <a:lnTo>
                  <a:pt x="44970" y="94119"/>
                </a:lnTo>
                <a:lnTo>
                  <a:pt x="43637" y="90043"/>
                </a:lnTo>
                <a:lnTo>
                  <a:pt x="42964" y="84175"/>
                </a:lnTo>
                <a:lnTo>
                  <a:pt x="34963" y="86067"/>
                </a:lnTo>
                <a:lnTo>
                  <a:pt x="44196" y="106210"/>
                </a:lnTo>
                <a:lnTo>
                  <a:pt x="46647" y="107988"/>
                </a:lnTo>
                <a:lnTo>
                  <a:pt x="50050" y="109207"/>
                </a:lnTo>
                <a:lnTo>
                  <a:pt x="53695" y="109766"/>
                </a:lnTo>
                <a:lnTo>
                  <a:pt x="54432" y="109766"/>
                </a:lnTo>
                <a:lnTo>
                  <a:pt x="54432" y="119672"/>
                </a:lnTo>
                <a:lnTo>
                  <a:pt x="59207" y="119672"/>
                </a:lnTo>
                <a:lnTo>
                  <a:pt x="59207" y="109766"/>
                </a:lnTo>
                <a:lnTo>
                  <a:pt x="64554" y="109474"/>
                </a:lnTo>
                <a:lnTo>
                  <a:pt x="69075" y="107099"/>
                </a:lnTo>
                <a:lnTo>
                  <a:pt x="73609" y="101650"/>
                </a:lnTo>
                <a:lnTo>
                  <a:pt x="76415" y="98272"/>
                </a:lnTo>
                <a:lnTo>
                  <a:pt x="78232" y="92557"/>
                </a:lnTo>
                <a:lnTo>
                  <a:pt x="78232" y="82029"/>
                </a:lnTo>
                <a:close/>
              </a:path>
              <a:path w="793115" h="157480">
                <a:moveTo>
                  <a:pt x="792492" y="144780"/>
                </a:moveTo>
                <a:lnTo>
                  <a:pt x="156984" y="144780"/>
                </a:lnTo>
                <a:lnTo>
                  <a:pt x="12" y="144780"/>
                </a:lnTo>
                <a:lnTo>
                  <a:pt x="0" y="156984"/>
                </a:lnTo>
                <a:lnTo>
                  <a:pt x="156984" y="156984"/>
                </a:lnTo>
                <a:lnTo>
                  <a:pt x="792492" y="156972"/>
                </a:lnTo>
                <a:lnTo>
                  <a:pt x="792492" y="144780"/>
                </a:lnTo>
                <a:close/>
              </a:path>
              <a:path w="793115" h="157480">
                <a:moveTo>
                  <a:pt x="792492" y="0"/>
                </a:moveTo>
                <a:lnTo>
                  <a:pt x="156984" y="0"/>
                </a:lnTo>
                <a:lnTo>
                  <a:pt x="12" y="0"/>
                </a:lnTo>
                <a:lnTo>
                  <a:pt x="0" y="13716"/>
                </a:lnTo>
                <a:lnTo>
                  <a:pt x="156984" y="13716"/>
                </a:lnTo>
                <a:lnTo>
                  <a:pt x="792492" y="13716"/>
                </a:lnTo>
                <a:lnTo>
                  <a:pt x="792492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id="91" name="image69.png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083808" y="274065"/>
            <a:ext cx="120396" cy="157479"/>
          </a:xfrm>
          <a:prstGeom prst="rect">
            <a:avLst/>
          </a:prstGeom>
        </xdr:spPr>
      </xdr:pic>
      <xdr:sp macro="" textlink="">
        <xdr:nvSpPr>
          <xdr:cNvPr id="92" name="Shape 92">
            <a:extLst>
              <a:ext uri="{FF2B5EF4-FFF2-40B4-BE49-F238E27FC236}">
                <a16:creationId xmlns:a16="http://schemas.microsoft.com/office/drawing/2014/main" id="{00000000-0008-0000-0000-00005C000000}"/>
              </a:ext>
            </a:extLst>
          </xdr:cNvPr>
          <xdr:cNvSpPr/>
        </xdr:nvSpPr>
        <xdr:spPr>
          <a:xfrm>
            <a:off x="6096" y="568451"/>
            <a:ext cx="6228715" cy="144780"/>
          </a:xfrm>
          <a:custGeom>
            <a:avLst/>
            <a:gdLst/>
            <a:ahLst/>
            <a:cxnLst/>
            <a:rect l="0" t="0" r="0" b="0"/>
            <a:pathLst>
              <a:path w="6228715" h="144780">
                <a:moveTo>
                  <a:pt x="6228587" y="144779"/>
                </a:moveTo>
                <a:lnTo>
                  <a:pt x="0" y="144779"/>
                </a:lnTo>
                <a:lnTo>
                  <a:pt x="0" y="0"/>
                </a:lnTo>
                <a:lnTo>
                  <a:pt x="6228587" y="0"/>
                </a:lnTo>
                <a:lnTo>
                  <a:pt x="6228587" y="144779"/>
                </a:lnTo>
                <a:close/>
              </a:path>
            </a:pathLst>
          </a:custGeom>
          <a:solidFill>
            <a:srgbClr val="EDEDEF"/>
          </a:solidFill>
        </xdr:spPr>
      </xdr:sp>
      <xdr:sp macro="" textlink="">
        <xdr:nvSpPr>
          <xdr:cNvPr id="93" name="Shape 93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/>
        </xdr:nvSpPr>
        <xdr:spPr>
          <a:xfrm>
            <a:off x="0" y="562355"/>
            <a:ext cx="12700" cy="157480"/>
          </a:xfrm>
          <a:custGeom>
            <a:avLst/>
            <a:gdLst/>
            <a:ahLst/>
            <a:cxnLst/>
            <a:rect l="0" t="0" r="0" b="0"/>
            <a:pathLst>
              <a:path w="12700" h="157480">
                <a:moveTo>
                  <a:pt x="12192" y="156972"/>
                </a:moveTo>
                <a:lnTo>
                  <a:pt x="0" y="156972"/>
                </a:lnTo>
                <a:lnTo>
                  <a:pt x="0" y="0"/>
                </a:lnTo>
                <a:lnTo>
                  <a:pt x="12192" y="0"/>
                </a:lnTo>
                <a:lnTo>
                  <a:pt x="12192" y="156972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94" name="Shape 94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6233159" y="568451"/>
            <a:ext cx="794385" cy="144780"/>
          </a:xfrm>
          <a:custGeom>
            <a:avLst/>
            <a:gdLst/>
            <a:ahLst/>
            <a:cxnLst/>
            <a:rect l="0" t="0" r="0" b="0"/>
            <a:pathLst>
              <a:path w="794385" h="144780">
                <a:moveTo>
                  <a:pt x="794003" y="144779"/>
                </a:moveTo>
                <a:lnTo>
                  <a:pt x="0" y="144779"/>
                </a:lnTo>
                <a:lnTo>
                  <a:pt x="0" y="0"/>
                </a:lnTo>
                <a:lnTo>
                  <a:pt x="794003" y="0"/>
                </a:lnTo>
                <a:lnTo>
                  <a:pt x="794003" y="144779"/>
                </a:lnTo>
                <a:close/>
              </a:path>
            </a:pathLst>
          </a:custGeom>
          <a:solidFill>
            <a:srgbClr val="EDEDEF"/>
          </a:solidFill>
        </xdr:spPr>
      </xdr:sp>
      <xdr:sp macro="" textlink="">
        <xdr:nvSpPr>
          <xdr:cNvPr id="95" name="Shape 95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SpPr/>
        </xdr:nvSpPr>
        <xdr:spPr>
          <a:xfrm>
            <a:off x="6263540" y="583554"/>
            <a:ext cx="43815" cy="99060"/>
          </a:xfrm>
          <a:custGeom>
            <a:avLst/>
            <a:gdLst/>
            <a:ahLst/>
            <a:cxnLst/>
            <a:rect l="0" t="0" r="0" b="0"/>
            <a:pathLst>
              <a:path w="43815" h="99060">
                <a:moveTo>
                  <a:pt x="24252" y="80435"/>
                </a:moveTo>
                <a:lnTo>
                  <a:pt x="19469" y="80435"/>
                </a:lnTo>
                <a:lnTo>
                  <a:pt x="19469" y="49284"/>
                </a:lnTo>
                <a:lnTo>
                  <a:pt x="15909" y="48468"/>
                </a:lnTo>
                <a:lnTo>
                  <a:pt x="1335" y="30816"/>
                </a:lnTo>
                <a:lnTo>
                  <a:pt x="1350" y="22658"/>
                </a:lnTo>
                <a:lnTo>
                  <a:pt x="1872" y="20173"/>
                </a:lnTo>
                <a:lnTo>
                  <a:pt x="1989" y="19617"/>
                </a:lnTo>
                <a:lnTo>
                  <a:pt x="2113" y="19024"/>
                </a:lnTo>
                <a:lnTo>
                  <a:pt x="3671" y="15686"/>
                </a:lnTo>
                <a:lnTo>
                  <a:pt x="5154" y="12348"/>
                </a:lnTo>
                <a:lnTo>
                  <a:pt x="7157" y="9790"/>
                </a:lnTo>
                <a:lnTo>
                  <a:pt x="12126" y="6304"/>
                </a:lnTo>
                <a:lnTo>
                  <a:pt x="15389" y="5191"/>
                </a:lnTo>
                <a:lnTo>
                  <a:pt x="19469" y="4672"/>
                </a:lnTo>
                <a:lnTo>
                  <a:pt x="19469" y="0"/>
                </a:lnTo>
                <a:lnTo>
                  <a:pt x="24252" y="0"/>
                </a:lnTo>
                <a:lnTo>
                  <a:pt x="24252" y="4672"/>
                </a:lnTo>
                <a:lnTo>
                  <a:pt x="27590" y="5043"/>
                </a:lnTo>
                <a:lnTo>
                  <a:pt x="30408" y="6007"/>
                </a:lnTo>
                <a:lnTo>
                  <a:pt x="32708" y="7565"/>
                </a:lnTo>
                <a:lnTo>
                  <a:pt x="35007" y="9048"/>
                </a:lnTo>
                <a:lnTo>
                  <a:pt x="36935" y="11199"/>
                </a:lnTo>
                <a:lnTo>
                  <a:pt x="37816" y="12793"/>
                </a:lnTo>
                <a:lnTo>
                  <a:pt x="19469" y="12793"/>
                </a:lnTo>
                <a:lnTo>
                  <a:pt x="16428" y="13387"/>
                </a:lnTo>
                <a:lnTo>
                  <a:pt x="13980" y="14870"/>
                </a:lnTo>
                <a:lnTo>
                  <a:pt x="10272" y="19617"/>
                </a:lnTo>
                <a:lnTo>
                  <a:pt x="9345" y="22658"/>
                </a:lnTo>
                <a:lnTo>
                  <a:pt x="9345" y="32819"/>
                </a:lnTo>
                <a:lnTo>
                  <a:pt x="12719" y="37269"/>
                </a:lnTo>
                <a:lnTo>
                  <a:pt x="19469" y="39716"/>
                </a:lnTo>
                <a:lnTo>
                  <a:pt x="24252" y="39716"/>
                </a:lnTo>
                <a:lnTo>
                  <a:pt x="24252" y="41163"/>
                </a:lnTo>
                <a:lnTo>
                  <a:pt x="37491" y="48060"/>
                </a:lnTo>
                <a:lnTo>
                  <a:pt x="39271" y="49915"/>
                </a:lnTo>
                <a:lnTo>
                  <a:pt x="39703" y="50619"/>
                </a:lnTo>
                <a:lnTo>
                  <a:pt x="24252" y="50619"/>
                </a:lnTo>
                <a:lnTo>
                  <a:pt x="24252" y="80435"/>
                </a:lnTo>
                <a:close/>
              </a:path>
              <a:path w="43815" h="99060">
                <a:moveTo>
                  <a:pt x="24252" y="39716"/>
                </a:moveTo>
                <a:lnTo>
                  <a:pt x="19469" y="39716"/>
                </a:lnTo>
                <a:lnTo>
                  <a:pt x="19469" y="12793"/>
                </a:lnTo>
                <a:lnTo>
                  <a:pt x="24252" y="12793"/>
                </a:lnTo>
                <a:lnTo>
                  <a:pt x="24252" y="39716"/>
                </a:lnTo>
                <a:close/>
              </a:path>
              <a:path w="43815" h="99060">
                <a:moveTo>
                  <a:pt x="33375" y="25810"/>
                </a:moveTo>
                <a:lnTo>
                  <a:pt x="32685" y="20173"/>
                </a:lnTo>
                <a:lnTo>
                  <a:pt x="32617" y="19617"/>
                </a:lnTo>
                <a:lnTo>
                  <a:pt x="32544" y="19024"/>
                </a:lnTo>
                <a:lnTo>
                  <a:pt x="32485" y="18541"/>
                </a:lnTo>
                <a:lnTo>
                  <a:pt x="29444" y="14240"/>
                </a:lnTo>
                <a:lnTo>
                  <a:pt x="23820" y="12793"/>
                </a:lnTo>
                <a:lnTo>
                  <a:pt x="37816" y="12793"/>
                </a:lnTo>
                <a:lnTo>
                  <a:pt x="40050" y="16761"/>
                </a:lnTo>
                <a:lnTo>
                  <a:pt x="41089" y="20173"/>
                </a:lnTo>
                <a:lnTo>
                  <a:pt x="41608" y="24252"/>
                </a:lnTo>
                <a:lnTo>
                  <a:pt x="33375" y="25810"/>
                </a:lnTo>
                <a:close/>
              </a:path>
              <a:path w="43815" h="99060">
                <a:moveTo>
                  <a:pt x="38652" y="80435"/>
                </a:moveTo>
                <a:lnTo>
                  <a:pt x="24252" y="80435"/>
                </a:lnTo>
                <a:lnTo>
                  <a:pt x="27293" y="79990"/>
                </a:lnTo>
                <a:lnTo>
                  <a:pt x="29852" y="78395"/>
                </a:lnTo>
                <a:lnTo>
                  <a:pt x="34006" y="72907"/>
                </a:lnTo>
                <a:lnTo>
                  <a:pt x="34937" y="69680"/>
                </a:lnTo>
                <a:lnTo>
                  <a:pt x="34934" y="60817"/>
                </a:lnTo>
                <a:lnTo>
                  <a:pt x="24252" y="50619"/>
                </a:lnTo>
                <a:lnTo>
                  <a:pt x="39703" y="50619"/>
                </a:lnTo>
                <a:lnTo>
                  <a:pt x="40681" y="52214"/>
                </a:lnTo>
                <a:lnTo>
                  <a:pt x="42757" y="57702"/>
                </a:lnTo>
                <a:lnTo>
                  <a:pt x="43277" y="60817"/>
                </a:lnTo>
                <a:lnTo>
                  <a:pt x="43277" y="71349"/>
                </a:lnTo>
                <a:lnTo>
                  <a:pt x="41459" y="77060"/>
                </a:lnTo>
                <a:lnTo>
                  <a:pt x="38652" y="80435"/>
                </a:lnTo>
                <a:close/>
              </a:path>
              <a:path w="43815" h="99060">
                <a:moveTo>
                  <a:pt x="24252" y="98458"/>
                </a:moveTo>
                <a:lnTo>
                  <a:pt x="19469" y="98458"/>
                </a:lnTo>
                <a:lnTo>
                  <a:pt x="19469" y="88556"/>
                </a:lnTo>
                <a:lnTo>
                  <a:pt x="18739" y="88556"/>
                </a:lnTo>
                <a:lnTo>
                  <a:pt x="15093" y="88000"/>
                </a:lnTo>
                <a:lnTo>
                  <a:pt x="11681" y="86776"/>
                </a:lnTo>
                <a:lnTo>
                  <a:pt x="9233" y="84996"/>
                </a:lnTo>
                <a:lnTo>
                  <a:pt x="6712" y="83216"/>
                </a:lnTo>
                <a:lnTo>
                  <a:pt x="0" y="64859"/>
                </a:lnTo>
                <a:lnTo>
                  <a:pt x="8010" y="62968"/>
                </a:lnTo>
                <a:lnTo>
                  <a:pt x="8677" y="68827"/>
                </a:lnTo>
                <a:lnTo>
                  <a:pt x="10013" y="72907"/>
                </a:lnTo>
                <a:lnTo>
                  <a:pt x="10086" y="73129"/>
                </a:lnTo>
                <a:lnTo>
                  <a:pt x="12237" y="75873"/>
                </a:lnTo>
                <a:lnTo>
                  <a:pt x="14314" y="78618"/>
                </a:lnTo>
                <a:lnTo>
                  <a:pt x="16724" y="80138"/>
                </a:lnTo>
                <a:lnTo>
                  <a:pt x="19469" y="80435"/>
                </a:lnTo>
                <a:lnTo>
                  <a:pt x="38652" y="80435"/>
                </a:lnTo>
                <a:lnTo>
                  <a:pt x="34117" y="85886"/>
                </a:lnTo>
                <a:lnTo>
                  <a:pt x="29593" y="88259"/>
                </a:lnTo>
                <a:lnTo>
                  <a:pt x="24252" y="88556"/>
                </a:lnTo>
                <a:lnTo>
                  <a:pt x="24252" y="98458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96" name="Shape 96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/>
        </xdr:nvSpPr>
        <xdr:spPr>
          <a:xfrm>
            <a:off x="6115575" y="589562"/>
            <a:ext cx="57785" cy="82550"/>
          </a:xfrm>
          <a:custGeom>
            <a:avLst/>
            <a:gdLst/>
            <a:ahLst/>
            <a:cxnLst/>
            <a:rect l="0" t="0" r="0" b="0"/>
            <a:pathLst>
              <a:path w="57785" h="82550">
                <a:moveTo>
                  <a:pt x="37046" y="82326"/>
                </a:moveTo>
                <a:lnTo>
                  <a:pt x="24067" y="82326"/>
                </a:lnTo>
                <a:lnTo>
                  <a:pt x="18912" y="80843"/>
                </a:lnTo>
                <a:lnTo>
                  <a:pt x="14685" y="77876"/>
                </a:lnTo>
                <a:lnTo>
                  <a:pt x="10383" y="74909"/>
                </a:lnTo>
                <a:lnTo>
                  <a:pt x="6860" y="70200"/>
                </a:lnTo>
                <a:lnTo>
                  <a:pt x="4116" y="63747"/>
                </a:lnTo>
                <a:lnTo>
                  <a:pt x="1372" y="57220"/>
                </a:lnTo>
                <a:lnTo>
                  <a:pt x="0" y="49507"/>
                </a:lnTo>
                <a:lnTo>
                  <a:pt x="0" y="31855"/>
                </a:lnTo>
                <a:lnTo>
                  <a:pt x="1372" y="24438"/>
                </a:lnTo>
                <a:lnTo>
                  <a:pt x="6860" y="12274"/>
                </a:lnTo>
                <a:lnTo>
                  <a:pt x="10568" y="7713"/>
                </a:lnTo>
                <a:lnTo>
                  <a:pt x="15241" y="4672"/>
                </a:lnTo>
                <a:lnTo>
                  <a:pt x="19914" y="1557"/>
                </a:lnTo>
                <a:lnTo>
                  <a:pt x="25105" y="0"/>
                </a:lnTo>
                <a:lnTo>
                  <a:pt x="37121" y="0"/>
                </a:lnTo>
                <a:lnTo>
                  <a:pt x="56627" y="23140"/>
                </a:lnTo>
                <a:lnTo>
                  <a:pt x="48172" y="25587"/>
                </a:lnTo>
                <a:lnTo>
                  <a:pt x="45279" y="14536"/>
                </a:lnTo>
                <a:lnTo>
                  <a:pt x="39457" y="9011"/>
                </a:lnTo>
                <a:lnTo>
                  <a:pt x="26329" y="9011"/>
                </a:lnTo>
                <a:lnTo>
                  <a:pt x="22547" y="10123"/>
                </a:lnTo>
                <a:lnTo>
                  <a:pt x="16168" y="14574"/>
                </a:lnTo>
                <a:lnTo>
                  <a:pt x="13646" y="18059"/>
                </a:lnTo>
                <a:lnTo>
                  <a:pt x="11792" y="22806"/>
                </a:lnTo>
                <a:lnTo>
                  <a:pt x="9864" y="27479"/>
                </a:lnTo>
                <a:lnTo>
                  <a:pt x="8900" y="33412"/>
                </a:lnTo>
                <a:lnTo>
                  <a:pt x="8900" y="51509"/>
                </a:lnTo>
                <a:lnTo>
                  <a:pt x="10828" y="59705"/>
                </a:lnTo>
                <a:lnTo>
                  <a:pt x="14685" y="65193"/>
                </a:lnTo>
                <a:lnTo>
                  <a:pt x="18542" y="70607"/>
                </a:lnTo>
                <a:lnTo>
                  <a:pt x="23659" y="73315"/>
                </a:lnTo>
                <a:lnTo>
                  <a:pt x="34710" y="73315"/>
                </a:lnTo>
                <a:lnTo>
                  <a:pt x="49062" y="53067"/>
                </a:lnTo>
                <a:lnTo>
                  <a:pt x="57739" y="55737"/>
                </a:lnTo>
                <a:lnTo>
                  <a:pt x="55811" y="64637"/>
                </a:lnTo>
                <a:lnTo>
                  <a:pt x="52436" y="71312"/>
                </a:lnTo>
                <a:lnTo>
                  <a:pt x="42869" y="80138"/>
                </a:lnTo>
                <a:lnTo>
                  <a:pt x="37046" y="82326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97" name="Shape 97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6115811" y="588263"/>
            <a:ext cx="58419" cy="83820"/>
          </a:xfrm>
          <a:custGeom>
            <a:avLst/>
            <a:gdLst/>
            <a:ahLst/>
            <a:cxnLst/>
            <a:rect l="0" t="0" r="0" b="0"/>
            <a:pathLst>
              <a:path w="58419" h="83820">
                <a:moveTo>
                  <a:pt x="42672" y="68579"/>
                </a:moveTo>
                <a:lnTo>
                  <a:pt x="39624" y="73151"/>
                </a:lnTo>
                <a:lnTo>
                  <a:pt x="35052" y="74675"/>
                </a:lnTo>
                <a:lnTo>
                  <a:pt x="30480" y="74675"/>
                </a:lnTo>
                <a:lnTo>
                  <a:pt x="24384" y="74675"/>
                </a:lnTo>
                <a:lnTo>
                  <a:pt x="18288" y="71627"/>
                </a:lnTo>
                <a:lnTo>
                  <a:pt x="15240" y="65531"/>
                </a:lnTo>
                <a:lnTo>
                  <a:pt x="10668" y="60959"/>
                </a:lnTo>
                <a:lnTo>
                  <a:pt x="9144" y="51815"/>
                </a:lnTo>
                <a:lnTo>
                  <a:pt x="9144" y="41147"/>
                </a:lnTo>
                <a:lnTo>
                  <a:pt x="9144" y="33527"/>
                </a:lnTo>
                <a:lnTo>
                  <a:pt x="10668" y="27431"/>
                </a:lnTo>
                <a:lnTo>
                  <a:pt x="12192" y="22859"/>
                </a:lnTo>
                <a:lnTo>
                  <a:pt x="13716" y="18287"/>
                </a:lnTo>
                <a:lnTo>
                  <a:pt x="16764" y="15239"/>
                </a:lnTo>
                <a:lnTo>
                  <a:pt x="19812" y="12191"/>
                </a:lnTo>
                <a:lnTo>
                  <a:pt x="22860" y="10667"/>
                </a:lnTo>
                <a:lnTo>
                  <a:pt x="25908" y="9143"/>
                </a:lnTo>
                <a:lnTo>
                  <a:pt x="30480" y="9143"/>
                </a:lnTo>
                <a:lnTo>
                  <a:pt x="39624" y="9143"/>
                </a:lnTo>
                <a:lnTo>
                  <a:pt x="45720" y="15239"/>
                </a:lnTo>
                <a:lnTo>
                  <a:pt x="48768" y="25907"/>
                </a:lnTo>
                <a:lnTo>
                  <a:pt x="56388" y="24383"/>
                </a:lnTo>
                <a:lnTo>
                  <a:pt x="54864" y="16763"/>
                </a:lnTo>
                <a:lnTo>
                  <a:pt x="51816" y="10667"/>
                </a:lnTo>
                <a:lnTo>
                  <a:pt x="47244" y="6095"/>
                </a:lnTo>
                <a:lnTo>
                  <a:pt x="42672" y="3047"/>
                </a:lnTo>
                <a:lnTo>
                  <a:pt x="38100" y="0"/>
                </a:lnTo>
                <a:lnTo>
                  <a:pt x="30480" y="0"/>
                </a:lnTo>
                <a:lnTo>
                  <a:pt x="25908" y="0"/>
                </a:lnTo>
                <a:lnTo>
                  <a:pt x="19812" y="1523"/>
                </a:lnTo>
                <a:lnTo>
                  <a:pt x="15240" y="4571"/>
                </a:lnTo>
                <a:lnTo>
                  <a:pt x="10668" y="7619"/>
                </a:lnTo>
                <a:lnTo>
                  <a:pt x="7620" y="12191"/>
                </a:lnTo>
                <a:lnTo>
                  <a:pt x="4572" y="18287"/>
                </a:lnTo>
                <a:lnTo>
                  <a:pt x="1524" y="24383"/>
                </a:lnTo>
                <a:lnTo>
                  <a:pt x="0" y="32003"/>
                </a:lnTo>
                <a:lnTo>
                  <a:pt x="0" y="41147"/>
                </a:lnTo>
                <a:lnTo>
                  <a:pt x="0" y="50291"/>
                </a:lnTo>
                <a:lnTo>
                  <a:pt x="1524" y="57911"/>
                </a:lnTo>
                <a:lnTo>
                  <a:pt x="4572" y="64007"/>
                </a:lnTo>
                <a:lnTo>
                  <a:pt x="7620" y="71627"/>
                </a:lnTo>
                <a:lnTo>
                  <a:pt x="10668" y="76199"/>
                </a:lnTo>
                <a:lnTo>
                  <a:pt x="15240" y="79247"/>
                </a:lnTo>
                <a:lnTo>
                  <a:pt x="19812" y="82295"/>
                </a:lnTo>
                <a:lnTo>
                  <a:pt x="24384" y="83819"/>
                </a:lnTo>
                <a:lnTo>
                  <a:pt x="30480" y="83819"/>
                </a:lnTo>
                <a:lnTo>
                  <a:pt x="38100" y="83819"/>
                </a:lnTo>
                <a:lnTo>
                  <a:pt x="42672" y="80771"/>
                </a:lnTo>
                <a:lnTo>
                  <a:pt x="47244" y="76199"/>
                </a:lnTo>
                <a:lnTo>
                  <a:pt x="53340" y="71627"/>
                </a:lnTo>
                <a:lnTo>
                  <a:pt x="56388" y="65531"/>
                </a:lnTo>
                <a:lnTo>
                  <a:pt x="57912" y="56387"/>
                </a:lnTo>
                <a:lnTo>
                  <a:pt x="48768" y="53339"/>
                </a:lnTo>
                <a:lnTo>
                  <a:pt x="48768" y="60959"/>
                </a:lnTo>
                <a:lnTo>
                  <a:pt x="45720" y="65531"/>
                </a:lnTo>
                <a:lnTo>
                  <a:pt x="42672" y="68579"/>
                </a:lnTo>
                <a:close/>
              </a:path>
            </a:pathLst>
          </a:custGeom>
          <a:ln w="4572">
            <a:solidFill>
              <a:srgbClr val="FFFFFF"/>
            </a:solidFill>
          </a:ln>
        </xdr:spPr>
      </xdr:sp>
      <xdr:sp macro="" textlink="">
        <xdr:nvSpPr>
          <xdr:cNvPr id="98" name="Shape 98">
            <a:extLst>
              <a:ext uri="{FF2B5EF4-FFF2-40B4-BE49-F238E27FC236}">
                <a16:creationId xmlns:a16="http://schemas.microsoft.com/office/drawing/2014/main" id="{00000000-0008-0000-0000-000062000000}"/>
              </a:ext>
            </a:extLst>
          </xdr:cNvPr>
          <xdr:cNvSpPr/>
        </xdr:nvSpPr>
        <xdr:spPr>
          <a:xfrm>
            <a:off x="0" y="732967"/>
            <a:ext cx="6306820" cy="274955"/>
          </a:xfrm>
          <a:custGeom>
            <a:avLst/>
            <a:gdLst/>
            <a:ahLst/>
            <a:cxnLst/>
            <a:rect l="0" t="0" r="0" b="0"/>
            <a:pathLst>
              <a:path w="6306820" h="274955">
                <a:moveTo>
                  <a:pt x="12192" y="117424"/>
                </a:moveTo>
                <a:lnTo>
                  <a:pt x="0" y="117424"/>
                </a:lnTo>
                <a:lnTo>
                  <a:pt x="0" y="274408"/>
                </a:lnTo>
                <a:lnTo>
                  <a:pt x="12192" y="274408"/>
                </a:lnTo>
                <a:lnTo>
                  <a:pt x="12192" y="117424"/>
                </a:lnTo>
                <a:close/>
              </a:path>
              <a:path w="6306820" h="274955">
                <a:moveTo>
                  <a:pt x="6306807" y="60820"/>
                </a:moveTo>
                <a:lnTo>
                  <a:pt x="6301029" y="48069"/>
                </a:lnTo>
                <a:lnTo>
                  <a:pt x="6299314" y="46215"/>
                </a:lnTo>
                <a:lnTo>
                  <a:pt x="6298476" y="45605"/>
                </a:lnTo>
                <a:lnTo>
                  <a:pt x="6298476" y="69684"/>
                </a:lnTo>
                <a:lnTo>
                  <a:pt x="6297536" y="72910"/>
                </a:lnTo>
                <a:lnTo>
                  <a:pt x="6293383" y="78397"/>
                </a:lnTo>
                <a:lnTo>
                  <a:pt x="6290830" y="79997"/>
                </a:lnTo>
                <a:lnTo>
                  <a:pt x="6287782" y="80441"/>
                </a:lnTo>
                <a:lnTo>
                  <a:pt x="6287782" y="50622"/>
                </a:lnTo>
                <a:lnTo>
                  <a:pt x="6298476" y="69684"/>
                </a:lnTo>
                <a:lnTo>
                  <a:pt x="6298476" y="45605"/>
                </a:lnTo>
                <a:lnTo>
                  <a:pt x="6297282" y="44729"/>
                </a:lnTo>
                <a:lnTo>
                  <a:pt x="6293790" y="43091"/>
                </a:lnTo>
                <a:lnTo>
                  <a:pt x="6291427" y="42278"/>
                </a:lnTo>
                <a:lnTo>
                  <a:pt x="6287782" y="41173"/>
                </a:lnTo>
                <a:lnTo>
                  <a:pt x="6287782" y="39725"/>
                </a:lnTo>
                <a:lnTo>
                  <a:pt x="6287782" y="12915"/>
                </a:lnTo>
                <a:lnTo>
                  <a:pt x="6292977" y="14249"/>
                </a:lnTo>
                <a:lnTo>
                  <a:pt x="6296025" y="18542"/>
                </a:lnTo>
                <a:lnTo>
                  <a:pt x="6296076" y="19024"/>
                </a:lnTo>
                <a:lnTo>
                  <a:pt x="6296152" y="19621"/>
                </a:lnTo>
                <a:lnTo>
                  <a:pt x="6296215" y="20180"/>
                </a:lnTo>
                <a:lnTo>
                  <a:pt x="6296914" y="25819"/>
                </a:lnTo>
                <a:lnTo>
                  <a:pt x="6305143" y="24257"/>
                </a:lnTo>
                <a:lnTo>
                  <a:pt x="6304623" y="20180"/>
                </a:lnTo>
                <a:lnTo>
                  <a:pt x="6303581" y="16764"/>
                </a:lnTo>
                <a:lnTo>
                  <a:pt x="6301346" y="12801"/>
                </a:lnTo>
                <a:lnTo>
                  <a:pt x="6300470" y="11201"/>
                </a:lnTo>
                <a:lnTo>
                  <a:pt x="6298539" y="9055"/>
                </a:lnTo>
                <a:lnTo>
                  <a:pt x="6296241" y="7569"/>
                </a:lnTo>
                <a:lnTo>
                  <a:pt x="6293942" y="6007"/>
                </a:lnTo>
                <a:lnTo>
                  <a:pt x="6291123" y="5054"/>
                </a:lnTo>
                <a:lnTo>
                  <a:pt x="6287782" y="4673"/>
                </a:lnTo>
                <a:lnTo>
                  <a:pt x="6287782" y="0"/>
                </a:lnTo>
                <a:lnTo>
                  <a:pt x="6283007" y="0"/>
                </a:lnTo>
                <a:lnTo>
                  <a:pt x="6283007" y="4673"/>
                </a:lnTo>
                <a:lnTo>
                  <a:pt x="6283007" y="12801"/>
                </a:lnTo>
                <a:lnTo>
                  <a:pt x="6283007" y="39725"/>
                </a:lnTo>
                <a:lnTo>
                  <a:pt x="6276251" y="37274"/>
                </a:lnTo>
                <a:lnTo>
                  <a:pt x="6272885" y="32829"/>
                </a:lnTo>
                <a:lnTo>
                  <a:pt x="6272885" y="22669"/>
                </a:lnTo>
                <a:lnTo>
                  <a:pt x="6273812" y="19621"/>
                </a:lnTo>
                <a:lnTo>
                  <a:pt x="6277521" y="14871"/>
                </a:lnTo>
                <a:lnTo>
                  <a:pt x="6279959" y="13398"/>
                </a:lnTo>
                <a:lnTo>
                  <a:pt x="6283007" y="12801"/>
                </a:lnTo>
                <a:lnTo>
                  <a:pt x="6283007" y="4673"/>
                </a:lnTo>
                <a:lnTo>
                  <a:pt x="6267208" y="15697"/>
                </a:lnTo>
                <a:lnTo>
                  <a:pt x="6265646" y="19024"/>
                </a:lnTo>
                <a:lnTo>
                  <a:pt x="6265519" y="19621"/>
                </a:lnTo>
                <a:lnTo>
                  <a:pt x="6265405" y="20180"/>
                </a:lnTo>
                <a:lnTo>
                  <a:pt x="6264884" y="22669"/>
                </a:lnTo>
                <a:lnTo>
                  <a:pt x="6283007" y="49288"/>
                </a:lnTo>
                <a:lnTo>
                  <a:pt x="6283007" y="80441"/>
                </a:lnTo>
                <a:lnTo>
                  <a:pt x="6280264" y="80149"/>
                </a:lnTo>
                <a:lnTo>
                  <a:pt x="6277851" y="78625"/>
                </a:lnTo>
                <a:lnTo>
                  <a:pt x="6275768" y="75882"/>
                </a:lnTo>
                <a:lnTo>
                  <a:pt x="6273622" y="73139"/>
                </a:lnTo>
                <a:lnTo>
                  <a:pt x="6273546" y="72910"/>
                </a:lnTo>
                <a:lnTo>
                  <a:pt x="6272212" y="68834"/>
                </a:lnTo>
                <a:lnTo>
                  <a:pt x="6271539" y="62979"/>
                </a:lnTo>
                <a:lnTo>
                  <a:pt x="6263538" y="64858"/>
                </a:lnTo>
                <a:lnTo>
                  <a:pt x="6272771" y="85001"/>
                </a:lnTo>
                <a:lnTo>
                  <a:pt x="6275222" y="86779"/>
                </a:lnTo>
                <a:lnTo>
                  <a:pt x="6278626" y="88011"/>
                </a:lnTo>
                <a:lnTo>
                  <a:pt x="6282271" y="88557"/>
                </a:lnTo>
                <a:lnTo>
                  <a:pt x="6283007" y="88557"/>
                </a:lnTo>
                <a:lnTo>
                  <a:pt x="6283007" y="98463"/>
                </a:lnTo>
                <a:lnTo>
                  <a:pt x="6287782" y="98463"/>
                </a:lnTo>
                <a:lnTo>
                  <a:pt x="6287782" y="88557"/>
                </a:lnTo>
                <a:lnTo>
                  <a:pt x="6293129" y="88265"/>
                </a:lnTo>
                <a:lnTo>
                  <a:pt x="6297650" y="85890"/>
                </a:lnTo>
                <a:lnTo>
                  <a:pt x="6302184" y="80441"/>
                </a:lnTo>
                <a:lnTo>
                  <a:pt x="6304991" y="77063"/>
                </a:lnTo>
                <a:lnTo>
                  <a:pt x="6306807" y="71348"/>
                </a:lnTo>
                <a:lnTo>
                  <a:pt x="6306807" y="6082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id="99" name="image70.png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28588" y="850391"/>
            <a:ext cx="156972" cy="121158"/>
          </a:xfrm>
          <a:prstGeom prst="rect">
            <a:avLst/>
          </a:prstGeom>
        </xdr:spPr>
      </xdr:pic>
      <xdr:sp macro="" textlink="">
        <xdr:nvSpPr>
          <xdr:cNvPr id="100" name="Shape 100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6096" y="999744"/>
            <a:ext cx="6228715" cy="146685"/>
          </a:xfrm>
          <a:custGeom>
            <a:avLst/>
            <a:gdLst/>
            <a:ahLst/>
            <a:cxnLst/>
            <a:rect l="0" t="0" r="0" b="0"/>
            <a:pathLst>
              <a:path w="6228715" h="146685">
                <a:moveTo>
                  <a:pt x="6228587" y="146303"/>
                </a:moveTo>
                <a:lnTo>
                  <a:pt x="0" y="146303"/>
                </a:lnTo>
                <a:lnTo>
                  <a:pt x="0" y="0"/>
                </a:lnTo>
                <a:lnTo>
                  <a:pt x="6228587" y="0"/>
                </a:lnTo>
                <a:lnTo>
                  <a:pt x="6228587" y="146303"/>
                </a:lnTo>
                <a:close/>
              </a:path>
            </a:pathLst>
          </a:custGeom>
          <a:solidFill>
            <a:srgbClr val="EDEDEF"/>
          </a:solidFill>
        </xdr:spPr>
      </xdr:sp>
      <xdr:sp macro="" textlink="">
        <xdr:nvSpPr>
          <xdr:cNvPr id="101" name="Shape 101">
            <a:extLst>
              <a:ext uri="{FF2B5EF4-FFF2-40B4-BE49-F238E27FC236}">
                <a16:creationId xmlns:a16="http://schemas.microsoft.com/office/drawing/2014/main" id="{00000000-0008-0000-0000-000065000000}"/>
              </a:ext>
            </a:extLst>
          </xdr:cNvPr>
          <xdr:cNvSpPr/>
        </xdr:nvSpPr>
        <xdr:spPr>
          <a:xfrm>
            <a:off x="0" y="995172"/>
            <a:ext cx="12700" cy="157480"/>
          </a:xfrm>
          <a:custGeom>
            <a:avLst/>
            <a:gdLst/>
            <a:ahLst/>
            <a:cxnLst/>
            <a:rect l="0" t="0" r="0" b="0"/>
            <a:pathLst>
              <a:path w="12700" h="157480">
                <a:moveTo>
                  <a:pt x="12192" y="156972"/>
                </a:moveTo>
                <a:lnTo>
                  <a:pt x="0" y="156972"/>
                </a:lnTo>
                <a:lnTo>
                  <a:pt x="0" y="0"/>
                </a:lnTo>
                <a:lnTo>
                  <a:pt x="12192" y="0"/>
                </a:lnTo>
                <a:lnTo>
                  <a:pt x="12192" y="156972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102" name="Shape 102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/>
        </xdr:nvSpPr>
        <xdr:spPr>
          <a:xfrm>
            <a:off x="6233159" y="999744"/>
            <a:ext cx="794385" cy="146685"/>
          </a:xfrm>
          <a:custGeom>
            <a:avLst/>
            <a:gdLst/>
            <a:ahLst/>
            <a:cxnLst/>
            <a:rect l="0" t="0" r="0" b="0"/>
            <a:pathLst>
              <a:path w="794385" h="146685">
                <a:moveTo>
                  <a:pt x="794003" y="146303"/>
                </a:moveTo>
                <a:lnTo>
                  <a:pt x="0" y="146303"/>
                </a:lnTo>
                <a:lnTo>
                  <a:pt x="0" y="0"/>
                </a:lnTo>
                <a:lnTo>
                  <a:pt x="794003" y="0"/>
                </a:lnTo>
                <a:lnTo>
                  <a:pt x="794003" y="146303"/>
                </a:lnTo>
                <a:close/>
              </a:path>
            </a:pathLst>
          </a:custGeom>
          <a:solidFill>
            <a:srgbClr val="EDEDEF"/>
          </a:solidFill>
        </xdr:spPr>
      </xdr:sp>
      <xdr:sp macro="" textlink="">
        <xdr:nvSpPr>
          <xdr:cNvPr id="103" name="Shape 103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6263540" y="1014851"/>
            <a:ext cx="43815" cy="99060"/>
          </a:xfrm>
          <a:custGeom>
            <a:avLst/>
            <a:gdLst/>
            <a:ahLst/>
            <a:cxnLst/>
            <a:rect l="0" t="0" r="0" b="0"/>
            <a:pathLst>
              <a:path w="43815" h="99060">
                <a:moveTo>
                  <a:pt x="24252" y="80435"/>
                </a:moveTo>
                <a:lnTo>
                  <a:pt x="19469" y="80435"/>
                </a:lnTo>
                <a:lnTo>
                  <a:pt x="19469" y="49284"/>
                </a:lnTo>
                <a:lnTo>
                  <a:pt x="15909" y="48468"/>
                </a:lnTo>
                <a:lnTo>
                  <a:pt x="1335" y="30816"/>
                </a:lnTo>
                <a:lnTo>
                  <a:pt x="1350" y="22658"/>
                </a:lnTo>
                <a:lnTo>
                  <a:pt x="1872" y="20173"/>
                </a:lnTo>
                <a:lnTo>
                  <a:pt x="1989" y="19617"/>
                </a:lnTo>
                <a:lnTo>
                  <a:pt x="2113" y="19024"/>
                </a:lnTo>
                <a:lnTo>
                  <a:pt x="3671" y="15686"/>
                </a:lnTo>
                <a:lnTo>
                  <a:pt x="5154" y="12348"/>
                </a:lnTo>
                <a:lnTo>
                  <a:pt x="7157" y="9790"/>
                </a:lnTo>
                <a:lnTo>
                  <a:pt x="12126" y="6304"/>
                </a:lnTo>
                <a:lnTo>
                  <a:pt x="15389" y="5191"/>
                </a:lnTo>
                <a:lnTo>
                  <a:pt x="19469" y="4672"/>
                </a:lnTo>
                <a:lnTo>
                  <a:pt x="19469" y="0"/>
                </a:lnTo>
                <a:lnTo>
                  <a:pt x="24252" y="0"/>
                </a:lnTo>
                <a:lnTo>
                  <a:pt x="24252" y="4672"/>
                </a:lnTo>
                <a:lnTo>
                  <a:pt x="27590" y="5043"/>
                </a:lnTo>
                <a:lnTo>
                  <a:pt x="30408" y="6007"/>
                </a:lnTo>
                <a:lnTo>
                  <a:pt x="32708" y="7565"/>
                </a:lnTo>
                <a:lnTo>
                  <a:pt x="35007" y="9048"/>
                </a:lnTo>
                <a:lnTo>
                  <a:pt x="36935" y="11199"/>
                </a:lnTo>
                <a:lnTo>
                  <a:pt x="37816" y="12793"/>
                </a:lnTo>
                <a:lnTo>
                  <a:pt x="19469" y="12793"/>
                </a:lnTo>
                <a:lnTo>
                  <a:pt x="16428" y="13387"/>
                </a:lnTo>
                <a:lnTo>
                  <a:pt x="13980" y="14870"/>
                </a:lnTo>
                <a:lnTo>
                  <a:pt x="10272" y="19617"/>
                </a:lnTo>
                <a:lnTo>
                  <a:pt x="9345" y="22658"/>
                </a:lnTo>
                <a:lnTo>
                  <a:pt x="9345" y="32819"/>
                </a:lnTo>
                <a:lnTo>
                  <a:pt x="12719" y="37269"/>
                </a:lnTo>
                <a:lnTo>
                  <a:pt x="19469" y="39716"/>
                </a:lnTo>
                <a:lnTo>
                  <a:pt x="24252" y="39716"/>
                </a:lnTo>
                <a:lnTo>
                  <a:pt x="24252" y="41163"/>
                </a:lnTo>
                <a:lnTo>
                  <a:pt x="37491" y="48060"/>
                </a:lnTo>
                <a:lnTo>
                  <a:pt x="39271" y="49915"/>
                </a:lnTo>
                <a:lnTo>
                  <a:pt x="39703" y="50619"/>
                </a:lnTo>
                <a:lnTo>
                  <a:pt x="24252" y="50619"/>
                </a:lnTo>
                <a:lnTo>
                  <a:pt x="24252" y="80435"/>
                </a:lnTo>
                <a:close/>
              </a:path>
              <a:path w="43815" h="99060">
                <a:moveTo>
                  <a:pt x="24252" y="39716"/>
                </a:moveTo>
                <a:lnTo>
                  <a:pt x="19469" y="39716"/>
                </a:lnTo>
                <a:lnTo>
                  <a:pt x="19469" y="12793"/>
                </a:lnTo>
                <a:lnTo>
                  <a:pt x="24252" y="12793"/>
                </a:lnTo>
                <a:lnTo>
                  <a:pt x="24252" y="39716"/>
                </a:lnTo>
                <a:close/>
              </a:path>
              <a:path w="43815" h="99060">
                <a:moveTo>
                  <a:pt x="33375" y="25810"/>
                </a:moveTo>
                <a:lnTo>
                  <a:pt x="32685" y="20173"/>
                </a:lnTo>
                <a:lnTo>
                  <a:pt x="32617" y="19617"/>
                </a:lnTo>
                <a:lnTo>
                  <a:pt x="32544" y="19024"/>
                </a:lnTo>
                <a:lnTo>
                  <a:pt x="32485" y="18541"/>
                </a:lnTo>
                <a:lnTo>
                  <a:pt x="29444" y="14240"/>
                </a:lnTo>
                <a:lnTo>
                  <a:pt x="23820" y="12793"/>
                </a:lnTo>
                <a:lnTo>
                  <a:pt x="37816" y="12793"/>
                </a:lnTo>
                <a:lnTo>
                  <a:pt x="40050" y="16761"/>
                </a:lnTo>
                <a:lnTo>
                  <a:pt x="41089" y="20173"/>
                </a:lnTo>
                <a:lnTo>
                  <a:pt x="41608" y="24252"/>
                </a:lnTo>
                <a:lnTo>
                  <a:pt x="33375" y="25810"/>
                </a:lnTo>
                <a:close/>
              </a:path>
              <a:path w="43815" h="99060">
                <a:moveTo>
                  <a:pt x="38652" y="80435"/>
                </a:moveTo>
                <a:lnTo>
                  <a:pt x="24252" y="80435"/>
                </a:lnTo>
                <a:lnTo>
                  <a:pt x="27293" y="79990"/>
                </a:lnTo>
                <a:lnTo>
                  <a:pt x="29852" y="78395"/>
                </a:lnTo>
                <a:lnTo>
                  <a:pt x="34006" y="72907"/>
                </a:lnTo>
                <a:lnTo>
                  <a:pt x="34937" y="69680"/>
                </a:lnTo>
                <a:lnTo>
                  <a:pt x="34934" y="60817"/>
                </a:lnTo>
                <a:lnTo>
                  <a:pt x="24252" y="50619"/>
                </a:lnTo>
                <a:lnTo>
                  <a:pt x="39703" y="50619"/>
                </a:lnTo>
                <a:lnTo>
                  <a:pt x="40681" y="52214"/>
                </a:lnTo>
                <a:lnTo>
                  <a:pt x="42757" y="57702"/>
                </a:lnTo>
                <a:lnTo>
                  <a:pt x="43277" y="60817"/>
                </a:lnTo>
                <a:lnTo>
                  <a:pt x="43277" y="71349"/>
                </a:lnTo>
                <a:lnTo>
                  <a:pt x="41459" y="77060"/>
                </a:lnTo>
                <a:lnTo>
                  <a:pt x="38652" y="80435"/>
                </a:lnTo>
                <a:close/>
              </a:path>
              <a:path w="43815" h="99060">
                <a:moveTo>
                  <a:pt x="24252" y="98458"/>
                </a:moveTo>
                <a:lnTo>
                  <a:pt x="19469" y="98458"/>
                </a:lnTo>
                <a:lnTo>
                  <a:pt x="19469" y="88556"/>
                </a:lnTo>
                <a:lnTo>
                  <a:pt x="18739" y="88556"/>
                </a:lnTo>
                <a:lnTo>
                  <a:pt x="15093" y="88000"/>
                </a:lnTo>
                <a:lnTo>
                  <a:pt x="11681" y="86776"/>
                </a:lnTo>
                <a:lnTo>
                  <a:pt x="9233" y="84996"/>
                </a:lnTo>
                <a:lnTo>
                  <a:pt x="6712" y="83216"/>
                </a:lnTo>
                <a:lnTo>
                  <a:pt x="0" y="64859"/>
                </a:lnTo>
                <a:lnTo>
                  <a:pt x="8010" y="62968"/>
                </a:lnTo>
                <a:lnTo>
                  <a:pt x="8677" y="68827"/>
                </a:lnTo>
                <a:lnTo>
                  <a:pt x="10013" y="72907"/>
                </a:lnTo>
                <a:lnTo>
                  <a:pt x="10086" y="73129"/>
                </a:lnTo>
                <a:lnTo>
                  <a:pt x="12237" y="75873"/>
                </a:lnTo>
                <a:lnTo>
                  <a:pt x="14314" y="78618"/>
                </a:lnTo>
                <a:lnTo>
                  <a:pt x="16724" y="80138"/>
                </a:lnTo>
                <a:lnTo>
                  <a:pt x="19469" y="80435"/>
                </a:lnTo>
                <a:lnTo>
                  <a:pt x="38652" y="80435"/>
                </a:lnTo>
                <a:lnTo>
                  <a:pt x="34117" y="85886"/>
                </a:lnTo>
                <a:lnTo>
                  <a:pt x="29593" y="88259"/>
                </a:lnTo>
                <a:lnTo>
                  <a:pt x="24252" y="88556"/>
                </a:lnTo>
                <a:lnTo>
                  <a:pt x="24252" y="98458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104" name="Shape 104">
            <a:extLst>
              <a:ext uri="{FF2B5EF4-FFF2-40B4-BE49-F238E27FC236}">
                <a16:creationId xmlns:a16="http://schemas.microsoft.com/office/drawing/2014/main" id="{00000000-0008-0000-0000-000068000000}"/>
              </a:ext>
            </a:extLst>
          </xdr:cNvPr>
          <xdr:cNvSpPr/>
        </xdr:nvSpPr>
        <xdr:spPr>
          <a:xfrm>
            <a:off x="6118134" y="1022193"/>
            <a:ext cx="53975" cy="80010"/>
          </a:xfrm>
          <a:custGeom>
            <a:avLst/>
            <a:gdLst/>
            <a:ahLst/>
            <a:cxnLst/>
            <a:rect l="0" t="0" r="0" b="0"/>
            <a:pathLst>
              <a:path w="53975" h="80010">
                <a:moveTo>
                  <a:pt x="30260" y="79656"/>
                </a:moveTo>
                <a:lnTo>
                  <a:pt x="0" y="79656"/>
                </a:lnTo>
                <a:lnTo>
                  <a:pt x="0" y="0"/>
                </a:lnTo>
                <a:lnTo>
                  <a:pt x="28109" y="0"/>
                </a:lnTo>
                <a:lnTo>
                  <a:pt x="32374" y="482"/>
                </a:lnTo>
                <a:lnTo>
                  <a:pt x="39049" y="2707"/>
                </a:lnTo>
                <a:lnTo>
                  <a:pt x="42312" y="5043"/>
                </a:lnTo>
                <a:lnTo>
                  <a:pt x="45057" y="8455"/>
                </a:lnTo>
                <a:lnTo>
                  <a:pt x="45808" y="9345"/>
                </a:lnTo>
                <a:lnTo>
                  <a:pt x="8677" y="9345"/>
                </a:lnTo>
                <a:lnTo>
                  <a:pt x="8677" y="70311"/>
                </a:lnTo>
                <a:lnTo>
                  <a:pt x="46073" y="70311"/>
                </a:lnTo>
                <a:lnTo>
                  <a:pt x="43981" y="73092"/>
                </a:lnTo>
                <a:lnTo>
                  <a:pt x="39828" y="75762"/>
                </a:lnTo>
                <a:lnTo>
                  <a:pt x="35674" y="78358"/>
                </a:lnTo>
                <a:lnTo>
                  <a:pt x="30260" y="79656"/>
                </a:lnTo>
                <a:close/>
              </a:path>
              <a:path w="53975" h="80010">
                <a:moveTo>
                  <a:pt x="46073" y="70311"/>
                </a:moveTo>
                <a:lnTo>
                  <a:pt x="28146" y="70311"/>
                </a:lnTo>
                <a:lnTo>
                  <a:pt x="32374" y="69384"/>
                </a:lnTo>
                <a:lnTo>
                  <a:pt x="35266" y="67529"/>
                </a:lnTo>
                <a:lnTo>
                  <a:pt x="38159" y="65749"/>
                </a:lnTo>
                <a:lnTo>
                  <a:pt x="40384" y="62820"/>
                </a:lnTo>
                <a:lnTo>
                  <a:pt x="44018" y="53326"/>
                </a:lnTo>
                <a:lnTo>
                  <a:pt x="45057" y="46837"/>
                </a:lnTo>
                <a:lnTo>
                  <a:pt x="45057" y="31187"/>
                </a:lnTo>
                <a:lnTo>
                  <a:pt x="27405" y="9345"/>
                </a:lnTo>
                <a:lnTo>
                  <a:pt x="45808" y="9345"/>
                </a:lnTo>
                <a:lnTo>
                  <a:pt x="47875" y="11792"/>
                </a:lnTo>
                <a:lnTo>
                  <a:pt x="50063" y="16020"/>
                </a:lnTo>
                <a:lnTo>
                  <a:pt x="53178" y="26255"/>
                </a:lnTo>
                <a:lnTo>
                  <a:pt x="53957" y="32337"/>
                </a:lnTo>
                <a:lnTo>
                  <a:pt x="53957" y="48431"/>
                </a:lnTo>
                <a:lnTo>
                  <a:pt x="52622" y="56071"/>
                </a:lnTo>
                <a:lnTo>
                  <a:pt x="49952" y="62301"/>
                </a:lnTo>
                <a:lnTo>
                  <a:pt x="47356" y="68605"/>
                </a:lnTo>
                <a:lnTo>
                  <a:pt x="46073" y="70311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105" name="Shape 105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/>
        </xdr:nvSpPr>
        <xdr:spPr>
          <a:xfrm>
            <a:off x="6128003" y="1030224"/>
            <a:ext cx="35560" cy="60960"/>
          </a:xfrm>
          <a:custGeom>
            <a:avLst/>
            <a:gdLst/>
            <a:ahLst/>
            <a:cxnLst/>
            <a:rect l="0" t="0" r="0" b="0"/>
            <a:pathLst>
              <a:path w="35560" h="60960">
                <a:moveTo>
                  <a:pt x="0" y="0"/>
                </a:moveTo>
                <a:lnTo>
                  <a:pt x="13716" y="0"/>
                </a:lnTo>
                <a:lnTo>
                  <a:pt x="18288" y="0"/>
                </a:lnTo>
                <a:lnTo>
                  <a:pt x="21336" y="0"/>
                </a:lnTo>
                <a:lnTo>
                  <a:pt x="24384" y="1524"/>
                </a:lnTo>
                <a:lnTo>
                  <a:pt x="27432" y="3048"/>
                </a:lnTo>
                <a:lnTo>
                  <a:pt x="30480" y="6096"/>
                </a:lnTo>
                <a:lnTo>
                  <a:pt x="32004" y="10668"/>
                </a:lnTo>
                <a:lnTo>
                  <a:pt x="35052" y="15240"/>
                </a:lnTo>
                <a:lnTo>
                  <a:pt x="35052" y="21336"/>
                </a:lnTo>
                <a:lnTo>
                  <a:pt x="35052" y="30480"/>
                </a:lnTo>
                <a:lnTo>
                  <a:pt x="35052" y="38100"/>
                </a:lnTo>
                <a:lnTo>
                  <a:pt x="35052" y="44195"/>
                </a:lnTo>
                <a:lnTo>
                  <a:pt x="32004" y="48768"/>
                </a:lnTo>
                <a:lnTo>
                  <a:pt x="18288" y="60960"/>
                </a:lnTo>
                <a:lnTo>
                  <a:pt x="13716" y="60960"/>
                </a:lnTo>
                <a:lnTo>
                  <a:pt x="0" y="60960"/>
                </a:lnTo>
                <a:lnTo>
                  <a:pt x="0" y="0"/>
                </a:lnTo>
                <a:close/>
              </a:path>
            </a:pathLst>
          </a:custGeom>
          <a:ln w="4571">
            <a:solidFill>
              <a:srgbClr val="FFFFFF"/>
            </a:solidFill>
          </a:ln>
        </xdr:spPr>
      </xdr:sp>
      <xdr:sp macro="" textlink="">
        <xdr:nvSpPr>
          <xdr:cNvPr id="106" name="Shape 106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6118859" y="1021080"/>
            <a:ext cx="53340" cy="79375"/>
          </a:xfrm>
          <a:custGeom>
            <a:avLst/>
            <a:gdLst/>
            <a:ahLst/>
            <a:cxnLst/>
            <a:rect l="0" t="0" r="0" b="0"/>
            <a:pathLst>
              <a:path w="53340" h="79375">
                <a:moveTo>
                  <a:pt x="22859" y="79248"/>
                </a:moveTo>
                <a:lnTo>
                  <a:pt x="30479" y="79248"/>
                </a:lnTo>
                <a:lnTo>
                  <a:pt x="35051" y="77724"/>
                </a:lnTo>
                <a:lnTo>
                  <a:pt x="39623" y="76200"/>
                </a:lnTo>
                <a:lnTo>
                  <a:pt x="53339" y="48768"/>
                </a:lnTo>
                <a:lnTo>
                  <a:pt x="53339" y="39624"/>
                </a:lnTo>
                <a:lnTo>
                  <a:pt x="53339" y="32004"/>
                </a:lnTo>
                <a:lnTo>
                  <a:pt x="53339" y="25908"/>
                </a:lnTo>
                <a:lnTo>
                  <a:pt x="51815" y="21336"/>
                </a:lnTo>
                <a:lnTo>
                  <a:pt x="50291" y="15240"/>
                </a:lnTo>
                <a:lnTo>
                  <a:pt x="47243" y="10668"/>
                </a:lnTo>
                <a:lnTo>
                  <a:pt x="44195" y="7620"/>
                </a:lnTo>
                <a:lnTo>
                  <a:pt x="42671" y="4572"/>
                </a:lnTo>
                <a:lnTo>
                  <a:pt x="39623" y="1524"/>
                </a:lnTo>
                <a:lnTo>
                  <a:pt x="35051" y="1524"/>
                </a:lnTo>
                <a:lnTo>
                  <a:pt x="32003" y="0"/>
                </a:lnTo>
                <a:lnTo>
                  <a:pt x="27431" y="0"/>
                </a:lnTo>
                <a:lnTo>
                  <a:pt x="22859" y="0"/>
                </a:lnTo>
                <a:lnTo>
                  <a:pt x="0" y="0"/>
                </a:lnTo>
                <a:lnTo>
                  <a:pt x="0" y="79248"/>
                </a:lnTo>
                <a:lnTo>
                  <a:pt x="22859" y="79248"/>
                </a:lnTo>
                <a:close/>
              </a:path>
            </a:pathLst>
          </a:custGeom>
          <a:ln w="4572">
            <a:solidFill>
              <a:srgbClr val="FFFFFF"/>
            </a:solidFill>
          </a:ln>
        </xdr:spPr>
      </xdr:sp>
      <xdr:pic>
        <xdr:nvPicPr>
          <xdr:cNvPr id="107" name="image71.png">
            <a:extLst>
              <a:ext uri="{FF2B5EF4-FFF2-40B4-BE49-F238E27FC236}">
                <a16:creationId xmlns:a16="http://schemas.microsoft.com/office/drawing/2014/main" id="{00000000-0008-0000-0000-00006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29539"/>
            <a:ext cx="12192" cy="158496"/>
          </a:xfrm>
          <a:prstGeom prst="rect">
            <a:avLst/>
          </a:prstGeom>
        </xdr:spPr>
      </xdr:pic>
      <xdr:pic>
        <xdr:nvPicPr>
          <xdr:cNvPr id="108" name="image72.png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19100"/>
            <a:ext cx="12192" cy="158496"/>
          </a:xfrm>
          <a:prstGeom prst="rect">
            <a:avLst/>
          </a:prstGeom>
        </xdr:spPr>
      </xdr:pic>
      <xdr:pic>
        <xdr:nvPicPr>
          <xdr:cNvPr id="109" name="image73.png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58824" y="419100"/>
            <a:ext cx="15239" cy="158496"/>
          </a:xfrm>
          <a:prstGeom prst="rect">
            <a:avLst/>
          </a:prstGeom>
        </xdr:spPr>
      </xdr:pic>
      <xdr:pic>
        <xdr:nvPicPr>
          <xdr:cNvPr id="110" name="image73.png">
            <a:extLst>
              <a:ext uri="{FF2B5EF4-FFF2-40B4-BE49-F238E27FC236}">
                <a16:creationId xmlns:a16="http://schemas.microsoft.com/office/drawing/2014/main" id="{00000000-0008-0000-0000-00006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2751" y="419100"/>
            <a:ext cx="15240" cy="158496"/>
          </a:xfrm>
          <a:prstGeom prst="rect">
            <a:avLst/>
          </a:prstGeom>
        </xdr:spPr>
      </xdr:pic>
      <xdr:pic>
        <xdr:nvPicPr>
          <xdr:cNvPr id="111" name="image74.png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245864" y="416051"/>
            <a:ext cx="1600200" cy="161544"/>
          </a:xfrm>
          <a:prstGeom prst="rect">
            <a:avLst/>
          </a:prstGeom>
        </xdr:spPr>
      </xdr:pic>
      <xdr:pic>
        <xdr:nvPicPr>
          <xdr:cNvPr id="112" name="image75.png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083808" y="419100"/>
            <a:ext cx="158496" cy="301751"/>
          </a:xfrm>
          <a:prstGeom prst="rect">
            <a:avLst/>
          </a:prstGeom>
        </xdr:spPr>
      </xdr:pic>
    </xdr:grpSp>
    <xdr:clientData/>
  </xdr:oneCellAnchor>
  <xdr:oneCellAnchor>
    <xdr:from>
      <xdr:col>5</xdr:col>
      <xdr:colOff>136144</xdr:colOff>
      <xdr:row>117</xdr:row>
      <xdr:rowOff>71119</xdr:rowOff>
    </xdr:from>
    <xdr:ext cx="368807" cy="155448"/>
    <xdr:pic>
      <xdr:nvPicPr>
        <xdr:cNvPr id="113" name="image76.png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68807" cy="155448"/>
        </a:xfrm>
        <a:prstGeom prst="rect">
          <a:avLst/>
        </a:prstGeom>
      </xdr:spPr>
    </xdr:pic>
    <xdr:clientData/>
  </xdr:oneCellAnchor>
  <xdr:oneCellAnchor>
    <xdr:from>
      <xdr:col>27</xdr:col>
      <xdr:colOff>49167</xdr:colOff>
      <xdr:row>117</xdr:row>
      <xdr:rowOff>71119</xdr:rowOff>
    </xdr:from>
    <xdr:ext cx="371855" cy="155448"/>
    <xdr:pic>
      <xdr:nvPicPr>
        <xdr:cNvPr id="114" name="image77.png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1855" cy="155448"/>
        </a:xfrm>
        <a:prstGeom prst="rect">
          <a:avLst/>
        </a:prstGeom>
      </xdr:spPr>
    </xdr:pic>
    <xdr:clientData/>
  </xdr:oneCellAnchor>
  <xdr:oneCellAnchor>
    <xdr:from>
      <xdr:col>40</xdr:col>
      <xdr:colOff>55879</xdr:colOff>
      <xdr:row>117</xdr:row>
      <xdr:rowOff>71119</xdr:rowOff>
    </xdr:from>
    <xdr:ext cx="371855" cy="155448"/>
    <xdr:pic>
      <xdr:nvPicPr>
        <xdr:cNvPr id="115" name="image78.png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1855" cy="155448"/>
        </a:xfrm>
        <a:prstGeom prst="rect">
          <a:avLst/>
        </a:prstGeom>
      </xdr:spPr>
    </xdr:pic>
    <xdr:clientData/>
  </xdr:oneCellAnchor>
  <xdr:oneCellAnchor>
    <xdr:from>
      <xdr:col>56</xdr:col>
      <xdr:colOff>46119</xdr:colOff>
      <xdr:row>117</xdr:row>
      <xdr:rowOff>71119</xdr:rowOff>
    </xdr:from>
    <xdr:ext cx="371855" cy="155448"/>
    <xdr:pic>
      <xdr:nvPicPr>
        <xdr:cNvPr id="116" name="image78.png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1855" cy="155448"/>
        </a:xfrm>
        <a:prstGeom prst="rect">
          <a:avLst/>
        </a:prstGeom>
      </xdr:spPr>
    </xdr:pic>
    <xdr:clientData/>
  </xdr:oneCellAnchor>
  <xdr:oneCellAnchor>
    <xdr:from>
      <xdr:col>22</xdr:col>
      <xdr:colOff>41655</xdr:colOff>
      <xdr:row>8</xdr:row>
      <xdr:rowOff>170942</xdr:rowOff>
    </xdr:from>
    <xdr:ext cx="42672" cy="100583"/>
    <xdr:pic>
      <xdr:nvPicPr>
        <xdr:cNvPr id="119" name="image81.png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2672" cy="100583"/>
        </a:xfrm>
        <a:prstGeom prst="rect">
          <a:avLst/>
        </a:prstGeom>
      </xdr:spPr>
    </xdr:pic>
    <xdr:clientData/>
  </xdr:oneCellAnchor>
  <xdr:oneCellAnchor>
    <xdr:from>
      <xdr:col>22</xdr:col>
      <xdr:colOff>41655</xdr:colOff>
      <xdr:row>11</xdr:row>
      <xdr:rowOff>28448</xdr:rowOff>
    </xdr:from>
    <xdr:ext cx="42672" cy="100583"/>
    <xdr:pic>
      <xdr:nvPicPr>
        <xdr:cNvPr id="120" name="image82.png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2672" cy="100583"/>
        </a:xfrm>
        <a:prstGeom prst="rect">
          <a:avLst/>
        </a:prstGeom>
      </xdr:spPr>
    </xdr:pic>
    <xdr:clientData/>
  </xdr:oneCellAnchor>
  <xdr:oneCellAnchor>
    <xdr:from>
      <xdr:col>51</xdr:col>
      <xdr:colOff>149859</xdr:colOff>
      <xdr:row>71</xdr:row>
      <xdr:rowOff>0</xdr:rowOff>
    </xdr:from>
    <xdr:ext cx="1443355" cy="469900"/>
    <xdr:grpSp>
      <xdr:nvGrpSpPr>
        <xdr:cNvPr id="121" name="Group 121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GrpSpPr/>
      </xdr:nvGrpSpPr>
      <xdr:grpSpPr>
        <a:xfrm>
          <a:off x="6217284" y="17821275"/>
          <a:ext cx="1443355" cy="469900"/>
          <a:chOff x="0" y="0"/>
          <a:chExt cx="1443355" cy="469900"/>
        </a:xfrm>
      </xdr:grpSpPr>
      <xdr:pic>
        <xdr:nvPicPr>
          <xdr:cNvPr id="122" name="image1.jpeg">
            <a:extLst>
              <a:ext uri="{FF2B5EF4-FFF2-40B4-BE49-F238E27FC236}">
                <a16:creationId xmlns:a16="http://schemas.microsoft.com/office/drawing/2014/main" id="{00000000-0008-0000-0000-00007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1647" y="120395"/>
            <a:ext cx="851916" cy="115823"/>
          </a:xfrm>
          <a:prstGeom prst="rect">
            <a:avLst/>
          </a:prstGeom>
        </xdr:spPr>
      </xdr:pic>
      <xdr:pic>
        <xdr:nvPicPr>
          <xdr:cNvPr id="123" name="image2.jpeg">
            <a:extLst>
              <a:ext uri="{FF2B5EF4-FFF2-40B4-BE49-F238E27FC236}">
                <a16:creationId xmlns:a16="http://schemas.microsoft.com/office/drawing/2014/main" id="{00000000-0008-0000-0000-00007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80516" y="0"/>
            <a:ext cx="362711" cy="469391"/>
          </a:xfrm>
          <a:prstGeom prst="rect">
            <a:avLst/>
          </a:prstGeom>
        </xdr:spPr>
      </xdr:pic>
      <xdr:pic>
        <xdr:nvPicPr>
          <xdr:cNvPr id="124" name="image3.jpeg">
            <a:extLst>
              <a:ext uri="{FF2B5EF4-FFF2-40B4-BE49-F238E27FC236}">
                <a16:creationId xmlns:a16="http://schemas.microsoft.com/office/drawing/2014/main" id="{00000000-0008-0000-0000-00007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33172"/>
            <a:ext cx="1083564" cy="236219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0</xdr:colOff>
      <xdr:row>119</xdr:row>
      <xdr:rowOff>615568</xdr:rowOff>
    </xdr:from>
    <xdr:ext cx="902207" cy="542544"/>
    <xdr:pic>
      <xdr:nvPicPr>
        <xdr:cNvPr id="125" name="image4.png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2207" cy="542544"/>
        </a:xfrm>
        <a:prstGeom prst="rect">
          <a:avLst/>
        </a:prstGeom>
      </xdr:spPr>
    </xdr:pic>
    <xdr:clientData/>
  </xdr:oneCellAnchor>
  <xdr:oneCellAnchor>
    <xdr:from>
      <xdr:col>1</xdr:col>
      <xdr:colOff>56133</xdr:colOff>
      <xdr:row>54</xdr:row>
      <xdr:rowOff>102869</xdr:rowOff>
    </xdr:from>
    <xdr:ext cx="1446530" cy="1237615"/>
    <xdr:grpSp>
      <xdr:nvGrpSpPr>
        <xdr:cNvPr id="126" name="Group 126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GrpSpPr/>
      </xdr:nvGrpSpPr>
      <xdr:grpSpPr>
        <a:xfrm>
          <a:off x="513333" y="11551919"/>
          <a:ext cx="1446530" cy="1237615"/>
          <a:chOff x="0" y="0"/>
          <a:chExt cx="1446530" cy="1237615"/>
        </a:xfrm>
      </xdr:grpSpPr>
      <xdr:sp macro="" textlink="">
        <xdr:nvSpPr>
          <xdr:cNvPr id="127" name="Shape 127">
            <a:extLst>
              <a:ext uri="{FF2B5EF4-FFF2-40B4-BE49-F238E27FC236}">
                <a16:creationId xmlns:a16="http://schemas.microsoft.com/office/drawing/2014/main" id="{00000000-0008-0000-0000-00007F000000}"/>
              </a:ext>
            </a:extLst>
          </xdr:cNvPr>
          <xdr:cNvSpPr/>
        </xdr:nvSpPr>
        <xdr:spPr>
          <a:xfrm>
            <a:off x="3810" y="3810"/>
            <a:ext cx="1438910" cy="1152525"/>
          </a:xfrm>
          <a:custGeom>
            <a:avLst/>
            <a:gdLst/>
            <a:ahLst/>
            <a:cxnLst/>
            <a:rect l="0" t="0" r="0" b="0"/>
            <a:pathLst>
              <a:path w="1438910" h="1152525">
                <a:moveTo>
                  <a:pt x="0" y="0"/>
                </a:moveTo>
                <a:lnTo>
                  <a:pt x="1438655" y="0"/>
                </a:lnTo>
                <a:lnTo>
                  <a:pt x="1438655" y="1152144"/>
                </a:lnTo>
                <a:lnTo>
                  <a:pt x="0" y="1152144"/>
                </a:lnTo>
                <a:lnTo>
                  <a:pt x="0" y="0"/>
                </a:lnTo>
                <a:close/>
              </a:path>
            </a:pathLst>
          </a:custGeom>
          <a:ln w="7620">
            <a:solidFill>
              <a:srgbClr val="000000"/>
            </a:solidFill>
          </a:ln>
        </xdr:spPr>
      </xdr:sp>
      <xdr:sp macro="" textlink="">
        <xdr:nvSpPr>
          <xdr:cNvPr id="128" name="Shape 128">
            <a:extLst>
              <a:ext uri="{FF2B5EF4-FFF2-40B4-BE49-F238E27FC236}">
                <a16:creationId xmlns:a16="http://schemas.microsoft.com/office/drawing/2014/main" id="{00000000-0008-0000-0000-000080000000}"/>
              </a:ext>
            </a:extLst>
          </xdr:cNvPr>
          <xdr:cNvSpPr/>
        </xdr:nvSpPr>
        <xdr:spPr>
          <a:xfrm>
            <a:off x="20574" y="241554"/>
            <a:ext cx="1405255" cy="670560"/>
          </a:xfrm>
          <a:custGeom>
            <a:avLst/>
            <a:gdLst/>
            <a:ahLst/>
            <a:cxnLst/>
            <a:rect l="0" t="0" r="0" b="0"/>
            <a:pathLst>
              <a:path w="1405255" h="670560">
                <a:moveTo>
                  <a:pt x="0" y="0"/>
                </a:moveTo>
                <a:lnTo>
                  <a:pt x="557783" y="0"/>
                </a:lnTo>
              </a:path>
              <a:path w="1405255" h="670560">
                <a:moveTo>
                  <a:pt x="702563" y="0"/>
                </a:moveTo>
                <a:lnTo>
                  <a:pt x="989075" y="0"/>
                </a:lnTo>
              </a:path>
              <a:path w="1405255" h="670560">
                <a:moveTo>
                  <a:pt x="1135379" y="0"/>
                </a:moveTo>
                <a:lnTo>
                  <a:pt x="1405127" y="0"/>
                </a:lnTo>
              </a:path>
              <a:path w="1405255" h="670560">
                <a:moveTo>
                  <a:pt x="0" y="224027"/>
                </a:moveTo>
                <a:lnTo>
                  <a:pt x="557783" y="224027"/>
                </a:lnTo>
              </a:path>
              <a:path w="1405255" h="670560">
                <a:moveTo>
                  <a:pt x="702563" y="224027"/>
                </a:moveTo>
                <a:lnTo>
                  <a:pt x="989075" y="224027"/>
                </a:lnTo>
              </a:path>
              <a:path w="1405255" h="670560">
                <a:moveTo>
                  <a:pt x="1135379" y="224027"/>
                </a:moveTo>
                <a:lnTo>
                  <a:pt x="1405127" y="224027"/>
                </a:lnTo>
              </a:path>
              <a:path w="1405255" h="670560">
                <a:moveTo>
                  <a:pt x="0" y="446531"/>
                </a:moveTo>
                <a:lnTo>
                  <a:pt x="557783" y="446531"/>
                </a:lnTo>
              </a:path>
              <a:path w="1405255" h="670560">
                <a:moveTo>
                  <a:pt x="702563" y="446531"/>
                </a:moveTo>
                <a:lnTo>
                  <a:pt x="989075" y="446531"/>
                </a:lnTo>
              </a:path>
              <a:path w="1405255" h="670560">
                <a:moveTo>
                  <a:pt x="1135379" y="446531"/>
                </a:moveTo>
                <a:lnTo>
                  <a:pt x="1405127" y="446531"/>
                </a:lnTo>
              </a:path>
              <a:path w="1405255" h="670560">
                <a:moveTo>
                  <a:pt x="0" y="670560"/>
                </a:moveTo>
                <a:lnTo>
                  <a:pt x="557783" y="670560"/>
                </a:lnTo>
              </a:path>
              <a:path w="1405255" h="670560">
                <a:moveTo>
                  <a:pt x="702563" y="670560"/>
                </a:moveTo>
                <a:lnTo>
                  <a:pt x="989075" y="670560"/>
                </a:lnTo>
              </a:path>
              <a:path w="1405255" h="670560">
                <a:moveTo>
                  <a:pt x="1135379" y="670560"/>
                </a:moveTo>
                <a:lnTo>
                  <a:pt x="1205483" y="670560"/>
                </a:lnTo>
              </a:path>
              <a:path w="1405255" h="670560">
                <a:moveTo>
                  <a:pt x="1278635" y="670560"/>
                </a:moveTo>
                <a:lnTo>
                  <a:pt x="1405127" y="670560"/>
                </a:lnTo>
              </a:path>
            </a:pathLst>
          </a:custGeom>
          <a:ln w="7620">
            <a:solidFill>
              <a:srgbClr val="000000"/>
            </a:solidFill>
          </a:ln>
        </xdr:spPr>
      </xdr:sp>
      <xdr:sp macro="" textlink="">
        <xdr:nvSpPr>
          <xdr:cNvPr id="129" name="Shape 129">
            <a:extLst>
              <a:ext uri="{FF2B5EF4-FFF2-40B4-BE49-F238E27FC236}">
                <a16:creationId xmlns:a16="http://schemas.microsoft.com/office/drawing/2014/main" id="{00000000-0008-0000-0000-000081000000}"/>
              </a:ext>
            </a:extLst>
          </xdr:cNvPr>
          <xdr:cNvSpPr/>
        </xdr:nvSpPr>
        <xdr:spPr>
          <a:xfrm>
            <a:off x="218693" y="1155953"/>
            <a:ext cx="1080770" cy="36830"/>
          </a:xfrm>
          <a:custGeom>
            <a:avLst/>
            <a:gdLst/>
            <a:ahLst/>
            <a:cxnLst/>
            <a:rect l="0" t="0" r="0" b="0"/>
            <a:pathLst>
              <a:path w="1080770" h="36830">
                <a:moveTo>
                  <a:pt x="0" y="0"/>
                </a:moveTo>
                <a:lnTo>
                  <a:pt x="0" y="36575"/>
                </a:lnTo>
              </a:path>
              <a:path w="1080770" h="36830">
                <a:moveTo>
                  <a:pt x="216408" y="0"/>
                </a:moveTo>
                <a:lnTo>
                  <a:pt x="216408" y="36575"/>
                </a:lnTo>
              </a:path>
              <a:path w="1080770" h="36830">
                <a:moveTo>
                  <a:pt x="647700" y="0"/>
                </a:moveTo>
                <a:lnTo>
                  <a:pt x="647700" y="36575"/>
                </a:lnTo>
              </a:path>
              <a:path w="1080770" h="36830">
                <a:moveTo>
                  <a:pt x="1080516" y="0"/>
                </a:moveTo>
                <a:lnTo>
                  <a:pt x="1080516" y="36575"/>
                </a:lnTo>
              </a:path>
            </a:pathLst>
          </a:custGeom>
          <a:ln w="7620">
            <a:solidFill>
              <a:srgbClr val="000000"/>
            </a:solidFill>
          </a:ln>
        </xdr:spPr>
      </xdr:sp>
      <xdr:sp macro="" textlink="">
        <xdr:nvSpPr>
          <xdr:cNvPr id="130" name="Shape 130">
            <a:extLst>
              <a:ext uri="{FF2B5EF4-FFF2-40B4-BE49-F238E27FC236}">
                <a16:creationId xmlns:a16="http://schemas.microsoft.com/office/drawing/2014/main" id="{00000000-0008-0000-0000-000082000000}"/>
              </a:ext>
            </a:extLst>
          </xdr:cNvPr>
          <xdr:cNvSpPr/>
        </xdr:nvSpPr>
        <xdr:spPr>
          <a:xfrm>
            <a:off x="147065" y="1066038"/>
            <a:ext cx="71755" cy="86995"/>
          </a:xfrm>
          <a:custGeom>
            <a:avLst/>
            <a:gdLst/>
            <a:ahLst/>
            <a:cxnLst/>
            <a:rect l="0" t="0" r="0" b="0"/>
            <a:pathLst>
              <a:path w="71755" h="86995">
                <a:moveTo>
                  <a:pt x="0" y="86867"/>
                </a:moveTo>
                <a:lnTo>
                  <a:pt x="71627" y="86867"/>
                </a:lnTo>
                <a:lnTo>
                  <a:pt x="71627" y="0"/>
                </a:lnTo>
                <a:lnTo>
                  <a:pt x="0" y="0"/>
                </a:lnTo>
                <a:lnTo>
                  <a:pt x="0" y="86867"/>
                </a:lnTo>
                <a:close/>
              </a:path>
            </a:pathLst>
          </a:custGeom>
          <a:solidFill>
            <a:srgbClr val="425467">
              <a:alpha val="50000"/>
            </a:srgbClr>
          </a:solidFill>
        </xdr:spPr>
      </xdr:sp>
      <xdr:sp macro="" textlink="">
        <xdr:nvSpPr>
          <xdr:cNvPr id="131" name="Shape 131">
            <a:extLst>
              <a:ext uri="{FF2B5EF4-FFF2-40B4-BE49-F238E27FC236}">
                <a16:creationId xmlns:a16="http://schemas.microsoft.com/office/drawing/2014/main" id="{00000000-0008-0000-0000-000083000000}"/>
              </a:ext>
            </a:extLst>
          </xdr:cNvPr>
          <xdr:cNvSpPr/>
        </xdr:nvSpPr>
        <xdr:spPr>
          <a:xfrm>
            <a:off x="218693" y="1066038"/>
            <a:ext cx="73660" cy="86995"/>
          </a:xfrm>
          <a:custGeom>
            <a:avLst/>
            <a:gdLst/>
            <a:ahLst/>
            <a:cxnLst/>
            <a:rect l="0" t="0" r="0" b="0"/>
            <a:pathLst>
              <a:path w="73660" h="86995">
                <a:moveTo>
                  <a:pt x="73151" y="86867"/>
                </a:moveTo>
                <a:lnTo>
                  <a:pt x="0" y="86867"/>
                </a:lnTo>
                <a:lnTo>
                  <a:pt x="0" y="0"/>
                </a:lnTo>
                <a:lnTo>
                  <a:pt x="73151" y="0"/>
                </a:lnTo>
                <a:lnTo>
                  <a:pt x="73151" y="86867"/>
                </a:lnTo>
                <a:close/>
              </a:path>
            </a:pathLst>
          </a:custGeom>
          <a:solidFill>
            <a:srgbClr val="85AACD">
              <a:alpha val="50000"/>
            </a:srgbClr>
          </a:solidFill>
        </xdr:spPr>
      </xdr:sp>
      <xdr:sp macro="" textlink="">
        <xdr:nvSpPr>
          <xdr:cNvPr id="132" name="Shape 132">
            <a:extLst>
              <a:ext uri="{FF2B5EF4-FFF2-40B4-BE49-F238E27FC236}">
                <a16:creationId xmlns:a16="http://schemas.microsoft.com/office/drawing/2014/main" id="{00000000-0008-0000-0000-000084000000}"/>
              </a:ext>
            </a:extLst>
          </xdr:cNvPr>
          <xdr:cNvSpPr/>
        </xdr:nvSpPr>
        <xdr:spPr>
          <a:xfrm>
            <a:off x="134142" y="1192347"/>
            <a:ext cx="172720" cy="45720"/>
          </a:xfrm>
          <a:custGeom>
            <a:avLst/>
            <a:gdLst/>
            <a:ahLst/>
            <a:cxnLst/>
            <a:rect l="0" t="0" r="0" b="0"/>
            <a:pathLst>
              <a:path w="172720" h="45720">
                <a:moveTo>
                  <a:pt x="0" y="16703"/>
                </a:moveTo>
                <a:lnTo>
                  <a:pt x="0" y="11582"/>
                </a:lnTo>
                <a:lnTo>
                  <a:pt x="2438" y="10200"/>
                </a:lnTo>
                <a:lnTo>
                  <a:pt x="4572" y="8493"/>
                </a:lnTo>
                <a:lnTo>
                  <a:pt x="6400" y="6461"/>
                </a:lnTo>
                <a:lnTo>
                  <a:pt x="8270" y="4429"/>
                </a:lnTo>
                <a:lnTo>
                  <a:pt x="9570" y="2458"/>
                </a:lnTo>
                <a:lnTo>
                  <a:pt x="10302" y="548"/>
                </a:lnTo>
                <a:lnTo>
                  <a:pt x="13167" y="548"/>
                </a:lnTo>
                <a:lnTo>
                  <a:pt x="13167" y="10200"/>
                </a:lnTo>
                <a:lnTo>
                  <a:pt x="8813" y="10200"/>
                </a:lnTo>
                <a:lnTo>
                  <a:pt x="7762" y="11419"/>
                </a:lnTo>
                <a:lnTo>
                  <a:pt x="6400" y="12639"/>
                </a:lnTo>
                <a:lnTo>
                  <a:pt x="4693" y="13898"/>
                </a:lnTo>
                <a:lnTo>
                  <a:pt x="2987" y="15118"/>
                </a:lnTo>
                <a:lnTo>
                  <a:pt x="1422" y="16052"/>
                </a:lnTo>
                <a:lnTo>
                  <a:pt x="0" y="16703"/>
                </a:lnTo>
                <a:close/>
              </a:path>
              <a:path w="172720" h="45720">
                <a:moveTo>
                  <a:pt x="13167" y="44378"/>
                </a:moveTo>
                <a:lnTo>
                  <a:pt x="8778" y="44378"/>
                </a:lnTo>
                <a:lnTo>
                  <a:pt x="8778" y="10200"/>
                </a:lnTo>
                <a:lnTo>
                  <a:pt x="13167" y="10200"/>
                </a:lnTo>
                <a:lnTo>
                  <a:pt x="13167" y="44378"/>
                </a:lnTo>
                <a:close/>
              </a:path>
              <a:path w="172720" h="45720">
                <a:moveTo>
                  <a:pt x="27432" y="16703"/>
                </a:moveTo>
                <a:lnTo>
                  <a:pt x="27432" y="11582"/>
                </a:lnTo>
                <a:lnTo>
                  <a:pt x="29870" y="10200"/>
                </a:lnTo>
                <a:lnTo>
                  <a:pt x="32004" y="8493"/>
                </a:lnTo>
                <a:lnTo>
                  <a:pt x="33832" y="6461"/>
                </a:lnTo>
                <a:lnTo>
                  <a:pt x="35702" y="4429"/>
                </a:lnTo>
                <a:lnTo>
                  <a:pt x="37002" y="2458"/>
                </a:lnTo>
                <a:lnTo>
                  <a:pt x="37734" y="548"/>
                </a:lnTo>
                <a:lnTo>
                  <a:pt x="40599" y="548"/>
                </a:lnTo>
                <a:lnTo>
                  <a:pt x="40599" y="10200"/>
                </a:lnTo>
                <a:lnTo>
                  <a:pt x="36245" y="10200"/>
                </a:lnTo>
                <a:lnTo>
                  <a:pt x="35194" y="11419"/>
                </a:lnTo>
                <a:lnTo>
                  <a:pt x="33832" y="12639"/>
                </a:lnTo>
                <a:lnTo>
                  <a:pt x="32125" y="13898"/>
                </a:lnTo>
                <a:lnTo>
                  <a:pt x="30419" y="15118"/>
                </a:lnTo>
                <a:lnTo>
                  <a:pt x="28854" y="16052"/>
                </a:lnTo>
                <a:lnTo>
                  <a:pt x="27432" y="16703"/>
                </a:lnTo>
                <a:close/>
              </a:path>
              <a:path w="172720" h="45720">
                <a:moveTo>
                  <a:pt x="40599" y="44378"/>
                </a:moveTo>
                <a:lnTo>
                  <a:pt x="36210" y="44378"/>
                </a:lnTo>
                <a:lnTo>
                  <a:pt x="36210" y="10200"/>
                </a:lnTo>
                <a:lnTo>
                  <a:pt x="40599" y="10200"/>
                </a:lnTo>
                <a:lnTo>
                  <a:pt x="40599" y="44378"/>
                </a:lnTo>
                <a:close/>
              </a:path>
              <a:path w="172720" h="45720">
                <a:moveTo>
                  <a:pt x="52974" y="45110"/>
                </a:moveTo>
                <a:lnTo>
                  <a:pt x="49438" y="45110"/>
                </a:lnTo>
                <a:lnTo>
                  <a:pt x="59862" y="0"/>
                </a:lnTo>
                <a:lnTo>
                  <a:pt x="63459" y="0"/>
                </a:lnTo>
                <a:lnTo>
                  <a:pt x="52974" y="45110"/>
                </a:lnTo>
                <a:close/>
              </a:path>
              <a:path w="172720" h="45720">
                <a:moveTo>
                  <a:pt x="71567" y="13716"/>
                </a:moveTo>
                <a:lnTo>
                  <a:pt x="67056" y="13167"/>
                </a:lnTo>
                <a:lnTo>
                  <a:pt x="67234" y="10871"/>
                </a:lnTo>
                <a:lnTo>
                  <a:pt x="67281" y="10261"/>
                </a:lnTo>
                <a:lnTo>
                  <a:pt x="67381" y="8981"/>
                </a:lnTo>
                <a:lnTo>
                  <a:pt x="68559" y="5831"/>
                </a:lnTo>
                <a:lnTo>
                  <a:pt x="70591" y="3718"/>
                </a:lnTo>
                <a:lnTo>
                  <a:pt x="72664" y="1605"/>
                </a:lnTo>
                <a:lnTo>
                  <a:pt x="75387" y="548"/>
                </a:lnTo>
                <a:lnTo>
                  <a:pt x="82417" y="548"/>
                </a:lnTo>
                <a:lnTo>
                  <a:pt x="85181" y="1788"/>
                </a:lnTo>
                <a:lnTo>
                  <a:pt x="87576" y="4937"/>
                </a:lnTo>
                <a:lnTo>
                  <a:pt x="76545" y="4937"/>
                </a:lnTo>
                <a:lnTo>
                  <a:pt x="74950" y="5648"/>
                </a:lnTo>
                <a:lnTo>
                  <a:pt x="74732" y="5831"/>
                </a:lnTo>
                <a:lnTo>
                  <a:pt x="73626" y="7071"/>
                </a:lnTo>
                <a:lnTo>
                  <a:pt x="72217" y="8696"/>
                </a:lnTo>
                <a:lnTo>
                  <a:pt x="71567" y="10871"/>
                </a:lnTo>
                <a:lnTo>
                  <a:pt x="71567" y="13716"/>
                </a:lnTo>
                <a:close/>
              </a:path>
              <a:path w="172720" h="45720">
                <a:moveTo>
                  <a:pt x="89916" y="44378"/>
                </a:moveTo>
                <a:lnTo>
                  <a:pt x="66202" y="44378"/>
                </a:lnTo>
                <a:lnTo>
                  <a:pt x="66161" y="42306"/>
                </a:lnTo>
                <a:lnTo>
                  <a:pt x="79451" y="24160"/>
                </a:lnTo>
                <a:lnTo>
                  <a:pt x="82153" y="20990"/>
                </a:lnTo>
                <a:lnTo>
                  <a:pt x="84714" y="16479"/>
                </a:lnTo>
                <a:lnTo>
                  <a:pt x="85344" y="14406"/>
                </a:lnTo>
                <a:lnTo>
                  <a:pt x="85344" y="10261"/>
                </a:lnTo>
                <a:lnTo>
                  <a:pt x="84883" y="8981"/>
                </a:lnTo>
                <a:lnTo>
                  <a:pt x="84781" y="8696"/>
                </a:lnTo>
                <a:lnTo>
                  <a:pt x="84693" y="8453"/>
                </a:lnTo>
                <a:lnTo>
                  <a:pt x="83393" y="7071"/>
                </a:lnTo>
                <a:lnTo>
                  <a:pt x="82092" y="5648"/>
                </a:lnTo>
                <a:lnTo>
                  <a:pt x="80487" y="4937"/>
                </a:lnTo>
                <a:lnTo>
                  <a:pt x="87576" y="4937"/>
                </a:lnTo>
                <a:lnTo>
                  <a:pt x="88920" y="6705"/>
                </a:lnTo>
                <a:lnTo>
                  <a:pt x="89855" y="9489"/>
                </a:lnTo>
                <a:lnTo>
                  <a:pt x="89855" y="15422"/>
                </a:lnTo>
                <a:lnTo>
                  <a:pt x="76606" y="33528"/>
                </a:lnTo>
                <a:lnTo>
                  <a:pt x="74919" y="35356"/>
                </a:lnTo>
                <a:lnTo>
                  <a:pt x="74188" y="36332"/>
                </a:lnTo>
                <a:lnTo>
                  <a:pt x="73416" y="37307"/>
                </a:lnTo>
                <a:lnTo>
                  <a:pt x="72786" y="38282"/>
                </a:lnTo>
                <a:lnTo>
                  <a:pt x="72298" y="39258"/>
                </a:lnTo>
                <a:lnTo>
                  <a:pt x="89916" y="39258"/>
                </a:lnTo>
                <a:lnTo>
                  <a:pt x="89916" y="44378"/>
                </a:lnTo>
                <a:close/>
              </a:path>
              <a:path w="172720" h="45720">
                <a:moveTo>
                  <a:pt x="109687" y="45110"/>
                </a:moveTo>
                <a:lnTo>
                  <a:pt x="102412" y="45110"/>
                </a:lnTo>
                <a:lnTo>
                  <a:pt x="99608" y="43444"/>
                </a:lnTo>
                <a:lnTo>
                  <a:pt x="97414" y="40111"/>
                </a:lnTo>
                <a:lnTo>
                  <a:pt x="95260" y="36779"/>
                </a:lnTo>
                <a:lnTo>
                  <a:pt x="94183" y="31028"/>
                </a:lnTo>
                <a:lnTo>
                  <a:pt x="94183" y="15544"/>
                </a:lnTo>
                <a:lnTo>
                  <a:pt x="95158" y="9997"/>
                </a:lnTo>
                <a:lnTo>
                  <a:pt x="97687" y="5120"/>
                </a:lnTo>
                <a:lnTo>
                  <a:pt x="99100" y="2438"/>
                </a:lnTo>
                <a:lnTo>
                  <a:pt x="102006" y="548"/>
                </a:lnTo>
                <a:lnTo>
                  <a:pt x="109240" y="548"/>
                </a:lnTo>
                <a:lnTo>
                  <a:pt x="111942" y="2072"/>
                </a:lnTo>
                <a:lnTo>
                  <a:pt x="113814" y="4937"/>
                </a:lnTo>
                <a:lnTo>
                  <a:pt x="103692" y="4937"/>
                </a:lnTo>
                <a:lnTo>
                  <a:pt x="102074" y="6136"/>
                </a:lnTo>
                <a:lnTo>
                  <a:pt x="99420" y="10932"/>
                </a:lnTo>
                <a:lnTo>
                  <a:pt x="98841" y="14732"/>
                </a:lnTo>
                <a:lnTo>
                  <a:pt x="98851" y="31028"/>
                </a:lnTo>
                <a:lnTo>
                  <a:pt x="103835" y="40721"/>
                </a:lnTo>
                <a:lnTo>
                  <a:pt x="113883" y="40721"/>
                </a:lnTo>
                <a:lnTo>
                  <a:pt x="112593" y="43220"/>
                </a:lnTo>
                <a:lnTo>
                  <a:pt x="109687" y="45110"/>
                </a:lnTo>
                <a:close/>
              </a:path>
              <a:path w="172720" h="45720">
                <a:moveTo>
                  <a:pt x="113883" y="40721"/>
                </a:moveTo>
                <a:lnTo>
                  <a:pt x="107939" y="40721"/>
                </a:lnTo>
                <a:lnTo>
                  <a:pt x="109606" y="39502"/>
                </a:lnTo>
                <a:lnTo>
                  <a:pt x="112288" y="34625"/>
                </a:lnTo>
                <a:lnTo>
                  <a:pt x="112795" y="31028"/>
                </a:lnTo>
                <a:lnTo>
                  <a:pt x="112824" y="14732"/>
                </a:lnTo>
                <a:lnTo>
                  <a:pt x="112288" y="10932"/>
                </a:lnTo>
                <a:lnTo>
                  <a:pt x="110947" y="8534"/>
                </a:lnTo>
                <a:lnTo>
                  <a:pt x="109565" y="6136"/>
                </a:lnTo>
                <a:lnTo>
                  <a:pt x="107797" y="4937"/>
                </a:lnTo>
                <a:lnTo>
                  <a:pt x="113814" y="4937"/>
                </a:lnTo>
                <a:lnTo>
                  <a:pt x="116291" y="8818"/>
                </a:lnTo>
                <a:lnTo>
                  <a:pt x="117469" y="14732"/>
                </a:lnTo>
                <a:lnTo>
                  <a:pt x="117469" y="30134"/>
                </a:lnTo>
                <a:lnTo>
                  <a:pt x="116494" y="35661"/>
                </a:lnTo>
                <a:lnTo>
                  <a:pt x="113883" y="40721"/>
                </a:lnTo>
                <a:close/>
              </a:path>
              <a:path w="172720" h="45720">
                <a:moveTo>
                  <a:pt x="126431" y="13716"/>
                </a:moveTo>
                <a:lnTo>
                  <a:pt x="121920" y="13167"/>
                </a:lnTo>
                <a:lnTo>
                  <a:pt x="122098" y="10871"/>
                </a:lnTo>
                <a:lnTo>
                  <a:pt x="122145" y="10261"/>
                </a:lnTo>
                <a:lnTo>
                  <a:pt x="130251" y="548"/>
                </a:lnTo>
                <a:lnTo>
                  <a:pt x="137281" y="548"/>
                </a:lnTo>
                <a:lnTo>
                  <a:pt x="140045" y="1788"/>
                </a:lnTo>
                <a:lnTo>
                  <a:pt x="142440" y="4937"/>
                </a:lnTo>
                <a:lnTo>
                  <a:pt x="131409" y="4937"/>
                </a:lnTo>
                <a:lnTo>
                  <a:pt x="129814" y="5648"/>
                </a:lnTo>
                <a:lnTo>
                  <a:pt x="129596" y="5831"/>
                </a:lnTo>
                <a:lnTo>
                  <a:pt x="128490" y="7071"/>
                </a:lnTo>
                <a:lnTo>
                  <a:pt x="127081" y="8696"/>
                </a:lnTo>
                <a:lnTo>
                  <a:pt x="126431" y="10871"/>
                </a:lnTo>
                <a:lnTo>
                  <a:pt x="126431" y="13716"/>
                </a:lnTo>
                <a:close/>
              </a:path>
              <a:path w="172720" h="45720">
                <a:moveTo>
                  <a:pt x="144780" y="44378"/>
                </a:moveTo>
                <a:lnTo>
                  <a:pt x="121066" y="44378"/>
                </a:lnTo>
                <a:lnTo>
                  <a:pt x="121025" y="42306"/>
                </a:lnTo>
                <a:lnTo>
                  <a:pt x="134315" y="24160"/>
                </a:lnTo>
                <a:lnTo>
                  <a:pt x="137017" y="20990"/>
                </a:lnTo>
                <a:lnTo>
                  <a:pt x="139578" y="16479"/>
                </a:lnTo>
                <a:lnTo>
                  <a:pt x="140208" y="14406"/>
                </a:lnTo>
                <a:lnTo>
                  <a:pt x="140208" y="10261"/>
                </a:lnTo>
                <a:lnTo>
                  <a:pt x="139747" y="8981"/>
                </a:lnTo>
                <a:lnTo>
                  <a:pt x="139645" y="8696"/>
                </a:lnTo>
                <a:lnTo>
                  <a:pt x="139557" y="8453"/>
                </a:lnTo>
                <a:lnTo>
                  <a:pt x="138257" y="7071"/>
                </a:lnTo>
                <a:lnTo>
                  <a:pt x="136956" y="5648"/>
                </a:lnTo>
                <a:lnTo>
                  <a:pt x="135351" y="4937"/>
                </a:lnTo>
                <a:lnTo>
                  <a:pt x="142440" y="4937"/>
                </a:lnTo>
                <a:lnTo>
                  <a:pt x="143784" y="6705"/>
                </a:lnTo>
                <a:lnTo>
                  <a:pt x="144719" y="9489"/>
                </a:lnTo>
                <a:lnTo>
                  <a:pt x="144719" y="15422"/>
                </a:lnTo>
                <a:lnTo>
                  <a:pt x="131470" y="33528"/>
                </a:lnTo>
                <a:lnTo>
                  <a:pt x="129783" y="35356"/>
                </a:lnTo>
                <a:lnTo>
                  <a:pt x="129052" y="36332"/>
                </a:lnTo>
                <a:lnTo>
                  <a:pt x="128280" y="37307"/>
                </a:lnTo>
                <a:lnTo>
                  <a:pt x="127650" y="38282"/>
                </a:lnTo>
                <a:lnTo>
                  <a:pt x="127162" y="39258"/>
                </a:lnTo>
                <a:lnTo>
                  <a:pt x="144780" y="39258"/>
                </a:lnTo>
                <a:lnTo>
                  <a:pt x="144780" y="44378"/>
                </a:lnTo>
                <a:close/>
              </a:path>
              <a:path w="172720" h="45720">
                <a:moveTo>
                  <a:pt x="172394" y="33954"/>
                </a:moveTo>
                <a:lnTo>
                  <a:pt x="147645" y="33954"/>
                </a:lnTo>
                <a:lnTo>
                  <a:pt x="147645" y="29016"/>
                </a:lnTo>
                <a:lnTo>
                  <a:pt x="163860" y="731"/>
                </a:lnTo>
                <a:lnTo>
                  <a:pt x="167518" y="731"/>
                </a:lnTo>
                <a:lnTo>
                  <a:pt x="167518" y="9326"/>
                </a:lnTo>
                <a:lnTo>
                  <a:pt x="163128" y="9326"/>
                </a:lnTo>
                <a:lnTo>
                  <a:pt x="151973" y="29016"/>
                </a:lnTo>
                <a:lnTo>
                  <a:pt x="172394" y="29016"/>
                </a:lnTo>
                <a:lnTo>
                  <a:pt x="172394" y="33954"/>
                </a:lnTo>
                <a:close/>
              </a:path>
              <a:path w="172720" h="45720">
                <a:moveTo>
                  <a:pt x="167518" y="29016"/>
                </a:moveTo>
                <a:lnTo>
                  <a:pt x="163128" y="29016"/>
                </a:lnTo>
                <a:lnTo>
                  <a:pt x="163128" y="9326"/>
                </a:lnTo>
                <a:lnTo>
                  <a:pt x="167518" y="9326"/>
                </a:lnTo>
                <a:lnTo>
                  <a:pt x="167518" y="29016"/>
                </a:lnTo>
                <a:close/>
              </a:path>
              <a:path w="172720" h="45720">
                <a:moveTo>
                  <a:pt x="167518" y="44378"/>
                </a:moveTo>
                <a:lnTo>
                  <a:pt x="163128" y="44378"/>
                </a:lnTo>
                <a:lnTo>
                  <a:pt x="163128" y="33954"/>
                </a:lnTo>
                <a:lnTo>
                  <a:pt x="167518" y="33954"/>
                </a:lnTo>
                <a:lnTo>
                  <a:pt x="167518" y="44378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133" name="Shape 133">
            <a:extLst>
              <a:ext uri="{FF2B5EF4-FFF2-40B4-BE49-F238E27FC236}">
                <a16:creationId xmlns:a16="http://schemas.microsoft.com/office/drawing/2014/main" id="{00000000-0008-0000-0000-000085000000}"/>
              </a:ext>
            </a:extLst>
          </xdr:cNvPr>
          <xdr:cNvSpPr/>
        </xdr:nvSpPr>
        <xdr:spPr>
          <a:xfrm>
            <a:off x="361950" y="1035558"/>
            <a:ext cx="71755" cy="117475"/>
          </a:xfrm>
          <a:custGeom>
            <a:avLst/>
            <a:gdLst/>
            <a:ahLst/>
            <a:cxnLst/>
            <a:rect l="0" t="0" r="0" b="0"/>
            <a:pathLst>
              <a:path w="71755" h="117475">
                <a:moveTo>
                  <a:pt x="0" y="117348"/>
                </a:moveTo>
                <a:lnTo>
                  <a:pt x="71628" y="117348"/>
                </a:lnTo>
                <a:lnTo>
                  <a:pt x="71628" y="0"/>
                </a:lnTo>
                <a:lnTo>
                  <a:pt x="0" y="0"/>
                </a:lnTo>
                <a:lnTo>
                  <a:pt x="0" y="117348"/>
                </a:lnTo>
                <a:close/>
              </a:path>
            </a:pathLst>
          </a:custGeom>
          <a:solidFill>
            <a:srgbClr val="425467">
              <a:alpha val="50000"/>
            </a:srgbClr>
          </a:solidFill>
        </xdr:spPr>
      </xdr:sp>
      <xdr:sp macro="" textlink="">
        <xdr:nvSpPr>
          <xdr:cNvPr id="134" name="Shape 134">
            <a:extLst>
              <a:ext uri="{FF2B5EF4-FFF2-40B4-BE49-F238E27FC236}">
                <a16:creationId xmlns:a16="http://schemas.microsoft.com/office/drawing/2014/main" id="{00000000-0008-0000-0000-000086000000}"/>
              </a:ext>
            </a:extLst>
          </xdr:cNvPr>
          <xdr:cNvSpPr/>
        </xdr:nvSpPr>
        <xdr:spPr>
          <a:xfrm>
            <a:off x="433577" y="1035558"/>
            <a:ext cx="74930" cy="117475"/>
          </a:xfrm>
          <a:custGeom>
            <a:avLst/>
            <a:gdLst/>
            <a:ahLst/>
            <a:cxnLst/>
            <a:rect l="0" t="0" r="0" b="0"/>
            <a:pathLst>
              <a:path w="74930" h="117475">
                <a:moveTo>
                  <a:pt x="74675" y="117348"/>
                </a:moveTo>
                <a:lnTo>
                  <a:pt x="0" y="117348"/>
                </a:lnTo>
                <a:lnTo>
                  <a:pt x="0" y="0"/>
                </a:lnTo>
                <a:lnTo>
                  <a:pt x="74675" y="0"/>
                </a:lnTo>
                <a:lnTo>
                  <a:pt x="74675" y="117348"/>
                </a:lnTo>
                <a:close/>
              </a:path>
            </a:pathLst>
          </a:custGeom>
          <a:solidFill>
            <a:srgbClr val="85AACD">
              <a:alpha val="50000"/>
            </a:srgbClr>
          </a:solidFill>
        </xdr:spPr>
      </xdr:sp>
      <xdr:sp macro="" textlink="">
        <xdr:nvSpPr>
          <xdr:cNvPr id="135" name="Shape 135">
            <a:extLst>
              <a:ext uri="{FF2B5EF4-FFF2-40B4-BE49-F238E27FC236}">
                <a16:creationId xmlns:a16="http://schemas.microsoft.com/office/drawing/2014/main" id="{00000000-0008-0000-0000-000087000000}"/>
              </a:ext>
            </a:extLst>
          </xdr:cNvPr>
          <xdr:cNvSpPr/>
        </xdr:nvSpPr>
        <xdr:spPr>
          <a:xfrm>
            <a:off x="350550" y="1192347"/>
            <a:ext cx="172720" cy="45720"/>
          </a:xfrm>
          <a:custGeom>
            <a:avLst/>
            <a:gdLst/>
            <a:ahLst/>
            <a:cxnLst/>
            <a:rect l="0" t="0" r="0" b="0"/>
            <a:pathLst>
              <a:path w="172720" h="45720">
                <a:moveTo>
                  <a:pt x="0" y="16703"/>
                </a:moveTo>
                <a:lnTo>
                  <a:pt x="0" y="11582"/>
                </a:lnTo>
                <a:lnTo>
                  <a:pt x="2438" y="10200"/>
                </a:lnTo>
                <a:lnTo>
                  <a:pt x="4572" y="8493"/>
                </a:lnTo>
                <a:lnTo>
                  <a:pt x="6400" y="6461"/>
                </a:lnTo>
                <a:lnTo>
                  <a:pt x="8270" y="4429"/>
                </a:lnTo>
                <a:lnTo>
                  <a:pt x="9570" y="2458"/>
                </a:lnTo>
                <a:lnTo>
                  <a:pt x="10302" y="548"/>
                </a:lnTo>
                <a:lnTo>
                  <a:pt x="13167" y="548"/>
                </a:lnTo>
                <a:lnTo>
                  <a:pt x="13167" y="10200"/>
                </a:lnTo>
                <a:lnTo>
                  <a:pt x="8813" y="10200"/>
                </a:lnTo>
                <a:lnTo>
                  <a:pt x="7762" y="11419"/>
                </a:lnTo>
                <a:lnTo>
                  <a:pt x="6400" y="12639"/>
                </a:lnTo>
                <a:lnTo>
                  <a:pt x="4693" y="13898"/>
                </a:lnTo>
                <a:lnTo>
                  <a:pt x="2987" y="15118"/>
                </a:lnTo>
                <a:lnTo>
                  <a:pt x="1422" y="16052"/>
                </a:lnTo>
                <a:lnTo>
                  <a:pt x="0" y="16703"/>
                </a:lnTo>
                <a:close/>
              </a:path>
              <a:path w="172720" h="45720">
                <a:moveTo>
                  <a:pt x="13167" y="44378"/>
                </a:moveTo>
                <a:lnTo>
                  <a:pt x="8778" y="44378"/>
                </a:lnTo>
                <a:lnTo>
                  <a:pt x="8778" y="10200"/>
                </a:lnTo>
                <a:lnTo>
                  <a:pt x="13167" y="10200"/>
                </a:lnTo>
                <a:lnTo>
                  <a:pt x="13167" y="44378"/>
                </a:lnTo>
                <a:close/>
              </a:path>
              <a:path w="172720" h="45720">
                <a:moveTo>
                  <a:pt x="28895" y="13716"/>
                </a:moveTo>
                <a:lnTo>
                  <a:pt x="24384" y="13167"/>
                </a:lnTo>
                <a:lnTo>
                  <a:pt x="24562" y="10871"/>
                </a:lnTo>
                <a:lnTo>
                  <a:pt x="24609" y="10261"/>
                </a:lnTo>
                <a:lnTo>
                  <a:pt x="32715" y="548"/>
                </a:lnTo>
                <a:lnTo>
                  <a:pt x="39745" y="548"/>
                </a:lnTo>
                <a:lnTo>
                  <a:pt x="42509" y="1788"/>
                </a:lnTo>
                <a:lnTo>
                  <a:pt x="44904" y="4937"/>
                </a:lnTo>
                <a:lnTo>
                  <a:pt x="33873" y="4937"/>
                </a:lnTo>
                <a:lnTo>
                  <a:pt x="32278" y="5648"/>
                </a:lnTo>
                <a:lnTo>
                  <a:pt x="32060" y="5831"/>
                </a:lnTo>
                <a:lnTo>
                  <a:pt x="30954" y="7071"/>
                </a:lnTo>
                <a:lnTo>
                  <a:pt x="29545" y="8696"/>
                </a:lnTo>
                <a:lnTo>
                  <a:pt x="28895" y="10871"/>
                </a:lnTo>
                <a:lnTo>
                  <a:pt x="28895" y="13716"/>
                </a:lnTo>
                <a:close/>
              </a:path>
              <a:path w="172720" h="45720">
                <a:moveTo>
                  <a:pt x="47244" y="44378"/>
                </a:moveTo>
                <a:lnTo>
                  <a:pt x="23530" y="44378"/>
                </a:lnTo>
                <a:lnTo>
                  <a:pt x="23489" y="42306"/>
                </a:lnTo>
                <a:lnTo>
                  <a:pt x="36779" y="24160"/>
                </a:lnTo>
                <a:lnTo>
                  <a:pt x="39481" y="20990"/>
                </a:lnTo>
                <a:lnTo>
                  <a:pt x="42042" y="16479"/>
                </a:lnTo>
                <a:lnTo>
                  <a:pt x="42672" y="14406"/>
                </a:lnTo>
                <a:lnTo>
                  <a:pt x="42672" y="10261"/>
                </a:lnTo>
                <a:lnTo>
                  <a:pt x="42211" y="8981"/>
                </a:lnTo>
                <a:lnTo>
                  <a:pt x="42109" y="8696"/>
                </a:lnTo>
                <a:lnTo>
                  <a:pt x="42021" y="8453"/>
                </a:lnTo>
                <a:lnTo>
                  <a:pt x="40721" y="7071"/>
                </a:lnTo>
                <a:lnTo>
                  <a:pt x="39420" y="5648"/>
                </a:lnTo>
                <a:lnTo>
                  <a:pt x="37815" y="4937"/>
                </a:lnTo>
                <a:lnTo>
                  <a:pt x="44904" y="4937"/>
                </a:lnTo>
                <a:lnTo>
                  <a:pt x="46248" y="6705"/>
                </a:lnTo>
                <a:lnTo>
                  <a:pt x="47183" y="9489"/>
                </a:lnTo>
                <a:lnTo>
                  <a:pt x="47183" y="15422"/>
                </a:lnTo>
                <a:lnTo>
                  <a:pt x="33934" y="33528"/>
                </a:lnTo>
                <a:lnTo>
                  <a:pt x="32247" y="35356"/>
                </a:lnTo>
                <a:lnTo>
                  <a:pt x="31516" y="36332"/>
                </a:lnTo>
                <a:lnTo>
                  <a:pt x="30744" y="37307"/>
                </a:lnTo>
                <a:lnTo>
                  <a:pt x="30114" y="38282"/>
                </a:lnTo>
                <a:lnTo>
                  <a:pt x="29626" y="39258"/>
                </a:lnTo>
                <a:lnTo>
                  <a:pt x="47244" y="39258"/>
                </a:lnTo>
                <a:lnTo>
                  <a:pt x="47244" y="44378"/>
                </a:lnTo>
                <a:close/>
              </a:path>
              <a:path w="172720" h="45720">
                <a:moveTo>
                  <a:pt x="52974" y="45110"/>
                </a:moveTo>
                <a:lnTo>
                  <a:pt x="49438" y="45110"/>
                </a:lnTo>
                <a:lnTo>
                  <a:pt x="59862" y="0"/>
                </a:lnTo>
                <a:lnTo>
                  <a:pt x="63459" y="0"/>
                </a:lnTo>
                <a:lnTo>
                  <a:pt x="52974" y="45110"/>
                </a:lnTo>
                <a:close/>
              </a:path>
              <a:path w="172720" h="45720">
                <a:moveTo>
                  <a:pt x="71567" y="13716"/>
                </a:moveTo>
                <a:lnTo>
                  <a:pt x="67056" y="13167"/>
                </a:lnTo>
                <a:lnTo>
                  <a:pt x="67234" y="10871"/>
                </a:lnTo>
                <a:lnTo>
                  <a:pt x="67281" y="10261"/>
                </a:lnTo>
                <a:lnTo>
                  <a:pt x="67381" y="8981"/>
                </a:lnTo>
                <a:lnTo>
                  <a:pt x="68559" y="5831"/>
                </a:lnTo>
                <a:lnTo>
                  <a:pt x="70591" y="3718"/>
                </a:lnTo>
                <a:lnTo>
                  <a:pt x="72664" y="1605"/>
                </a:lnTo>
                <a:lnTo>
                  <a:pt x="75387" y="548"/>
                </a:lnTo>
                <a:lnTo>
                  <a:pt x="82417" y="548"/>
                </a:lnTo>
                <a:lnTo>
                  <a:pt x="85181" y="1788"/>
                </a:lnTo>
                <a:lnTo>
                  <a:pt x="87576" y="4937"/>
                </a:lnTo>
                <a:lnTo>
                  <a:pt x="76545" y="4937"/>
                </a:lnTo>
                <a:lnTo>
                  <a:pt x="74950" y="5648"/>
                </a:lnTo>
                <a:lnTo>
                  <a:pt x="74732" y="5831"/>
                </a:lnTo>
                <a:lnTo>
                  <a:pt x="73626" y="7071"/>
                </a:lnTo>
                <a:lnTo>
                  <a:pt x="72217" y="8696"/>
                </a:lnTo>
                <a:lnTo>
                  <a:pt x="71567" y="10871"/>
                </a:lnTo>
                <a:lnTo>
                  <a:pt x="71567" y="13716"/>
                </a:lnTo>
                <a:close/>
              </a:path>
              <a:path w="172720" h="45720">
                <a:moveTo>
                  <a:pt x="89916" y="44378"/>
                </a:moveTo>
                <a:lnTo>
                  <a:pt x="66202" y="44378"/>
                </a:lnTo>
                <a:lnTo>
                  <a:pt x="66161" y="42306"/>
                </a:lnTo>
                <a:lnTo>
                  <a:pt x="79451" y="24160"/>
                </a:lnTo>
                <a:lnTo>
                  <a:pt x="82153" y="20990"/>
                </a:lnTo>
                <a:lnTo>
                  <a:pt x="84714" y="16479"/>
                </a:lnTo>
                <a:lnTo>
                  <a:pt x="85344" y="14406"/>
                </a:lnTo>
                <a:lnTo>
                  <a:pt x="85344" y="10261"/>
                </a:lnTo>
                <a:lnTo>
                  <a:pt x="84883" y="8981"/>
                </a:lnTo>
                <a:lnTo>
                  <a:pt x="84781" y="8696"/>
                </a:lnTo>
                <a:lnTo>
                  <a:pt x="84693" y="8453"/>
                </a:lnTo>
                <a:lnTo>
                  <a:pt x="83393" y="7071"/>
                </a:lnTo>
                <a:lnTo>
                  <a:pt x="82092" y="5648"/>
                </a:lnTo>
                <a:lnTo>
                  <a:pt x="80487" y="4937"/>
                </a:lnTo>
                <a:lnTo>
                  <a:pt x="87576" y="4937"/>
                </a:lnTo>
                <a:lnTo>
                  <a:pt x="88920" y="6705"/>
                </a:lnTo>
                <a:lnTo>
                  <a:pt x="89855" y="9489"/>
                </a:lnTo>
                <a:lnTo>
                  <a:pt x="89855" y="15422"/>
                </a:lnTo>
                <a:lnTo>
                  <a:pt x="76606" y="33528"/>
                </a:lnTo>
                <a:lnTo>
                  <a:pt x="74919" y="35356"/>
                </a:lnTo>
                <a:lnTo>
                  <a:pt x="74188" y="36332"/>
                </a:lnTo>
                <a:lnTo>
                  <a:pt x="73416" y="37307"/>
                </a:lnTo>
                <a:lnTo>
                  <a:pt x="72786" y="38282"/>
                </a:lnTo>
                <a:lnTo>
                  <a:pt x="72298" y="39258"/>
                </a:lnTo>
                <a:lnTo>
                  <a:pt x="89916" y="39258"/>
                </a:lnTo>
                <a:lnTo>
                  <a:pt x="89916" y="44378"/>
                </a:lnTo>
                <a:close/>
              </a:path>
              <a:path w="172720" h="45720">
                <a:moveTo>
                  <a:pt x="109687" y="45110"/>
                </a:moveTo>
                <a:lnTo>
                  <a:pt x="102412" y="45110"/>
                </a:lnTo>
                <a:lnTo>
                  <a:pt x="99608" y="43444"/>
                </a:lnTo>
                <a:lnTo>
                  <a:pt x="97414" y="40111"/>
                </a:lnTo>
                <a:lnTo>
                  <a:pt x="95260" y="36779"/>
                </a:lnTo>
                <a:lnTo>
                  <a:pt x="94183" y="31028"/>
                </a:lnTo>
                <a:lnTo>
                  <a:pt x="94183" y="15544"/>
                </a:lnTo>
                <a:lnTo>
                  <a:pt x="95158" y="9997"/>
                </a:lnTo>
                <a:lnTo>
                  <a:pt x="97687" y="5120"/>
                </a:lnTo>
                <a:lnTo>
                  <a:pt x="99100" y="2438"/>
                </a:lnTo>
                <a:lnTo>
                  <a:pt x="102006" y="548"/>
                </a:lnTo>
                <a:lnTo>
                  <a:pt x="109240" y="548"/>
                </a:lnTo>
                <a:lnTo>
                  <a:pt x="111942" y="2072"/>
                </a:lnTo>
                <a:lnTo>
                  <a:pt x="113814" y="4937"/>
                </a:lnTo>
                <a:lnTo>
                  <a:pt x="103692" y="4937"/>
                </a:lnTo>
                <a:lnTo>
                  <a:pt x="102074" y="6136"/>
                </a:lnTo>
                <a:lnTo>
                  <a:pt x="99420" y="10932"/>
                </a:lnTo>
                <a:lnTo>
                  <a:pt x="98841" y="14732"/>
                </a:lnTo>
                <a:lnTo>
                  <a:pt x="98851" y="31028"/>
                </a:lnTo>
                <a:lnTo>
                  <a:pt x="103835" y="40721"/>
                </a:lnTo>
                <a:lnTo>
                  <a:pt x="113883" y="40721"/>
                </a:lnTo>
                <a:lnTo>
                  <a:pt x="112593" y="43220"/>
                </a:lnTo>
                <a:lnTo>
                  <a:pt x="109687" y="45110"/>
                </a:lnTo>
                <a:close/>
              </a:path>
              <a:path w="172720" h="45720">
                <a:moveTo>
                  <a:pt x="113883" y="40721"/>
                </a:moveTo>
                <a:lnTo>
                  <a:pt x="107939" y="40721"/>
                </a:lnTo>
                <a:lnTo>
                  <a:pt x="109606" y="39502"/>
                </a:lnTo>
                <a:lnTo>
                  <a:pt x="112288" y="34625"/>
                </a:lnTo>
                <a:lnTo>
                  <a:pt x="112795" y="31028"/>
                </a:lnTo>
                <a:lnTo>
                  <a:pt x="112824" y="14732"/>
                </a:lnTo>
                <a:lnTo>
                  <a:pt x="112288" y="10932"/>
                </a:lnTo>
                <a:lnTo>
                  <a:pt x="110947" y="8534"/>
                </a:lnTo>
                <a:lnTo>
                  <a:pt x="109565" y="6136"/>
                </a:lnTo>
                <a:lnTo>
                  <a:pt x="107797" y="4937"/>
                </a:lnTo>
                <a:lnTo>
                  <a:pt x="113814" y="4937"/>
                </a:lnTo>
                <a:lnTo>
                  <a:pt x="116291" y="8818"/>
                </a:lnTo>
                <a:lnTo>
                  <a:pt x="117469" y="14732"/>
                </a:lnTo>
                <a:lnTo>
                  <a:pt x="117469" y="30134"/>
                </a:lnTo>
                <a:lnTo>
                  <a:pt x="116494" y="35661"/>
                </a:lnTo>
                <a:lnTo>
                  <a:pt x="113883" y="40721"/>
                </a:lnTo>
                <a:close/>
              </a:path>
              <a:path w="172720" h="45720">
                <a:moveTo>
                  <a:pt x="126431" y="13716"/>
                </a:moveTo>
                <a:lnTo>
                  <a:pt x="121920" y="13167"/>
                </a:lnTo>
                <a:lnTo>
                  <a:pt x="122098" y="10871"/>
                </a:lnTo>
                <a:lnTo>
                  <a:pt x="122145" y="10261"/>
                </a:lnTo>
                <a:lnTo>
                  <a:pt x="130251" y="548"/>
                </a:lnTo>
                <a:lnTo>
                  <a:pt x="137281" y="548"/>
                </a:lnTo>
                <a:lnTo>
                  <a:pt x="140045" y="1788"/>
                </a:lnTo>
                <a:lnTo>
                  <a:pt x="142440" y="4937"/>
                </a:lnTo>
                <a:lnTo>
                  <a:pt x="131409" y="4937"/>
                </a:lnTo>
                <a:lnTo>
                  <a:pt x="129814" y="5648"/>
                </a:lnTo>
                <a:lnTo>
                  <a:pt x="129596" y="5831"/>
                </a:lnTo>
                <a:lnTo>
                  <a:pt x="128490" y="7071"/>
                </a:lnTo>
                <a:lnTo>
                  <a:pt x="127081" y="8696"/>
                </a:lnTo>
                <a:lnTo>
                  <a:pt x="126431" y="10871"/>
                </a:lnTo>
                <a:lnTo>
                  <a:pt x="126431" y="13716"/>
                </a:lnTo>
                <a:close/>
              </a:path>
              <a:path w="172720" h="45720">
                <a:moveTo>
                  <a:pt x="144780" y="44378"/>
                </a:moveTo>
                <a:lnTo>
                  <a:pt x="121066" y="44378"/>
                </a:lnTo>
                <a:lnTo>
                  <a:pt x="121025" y="42306"/>
                </a:lnTo>
                <a:lnTo>
                  <a:pt x="134315" y="24160"/>
                </a:lnTo>
                <a:lnTo>
                  <a:pt x="137017" y="20990"/>
                </a:lnTo>
                <a:lnTo>
                  <a:pt x="139578" y="16479"/>
                </a:lnTo>
                <a:lnTo>
                  <a:pt x="140208" y="14406"/>
                </a:lnTo>
                <a:lnTo>
                  <a:pt x="140208" y="10261"/>
                </a:lnTo>
                <a:lnTo>
                  <a:pt x="139747" y="8981"/>
                </a:lnTo>
                <a:lnTo>
                  <a:pt x="139645" y="8696"/>
                </a:lnTo>
                <a:lnTo>
                  <a:pt x="139557" y="8453"/>
                </a:lnTo>
                <a:lnTo>
                  <a:pt x="138257" y="7071"/>
                </a:lnTo>
                <a:lnTo>
                  <a:pt x="136956" y="5648"/>
                </a:lnTo>
                <a:lnTo>
                  <a:pt x="135351" y="4937"/>
                </a:lnTo>
                <a:lnTo>
                  <a:pt x="142440" y="4937"/>
                </a:lnTo>
                <a:lnTo>
                  <a:pt x="143784" y="6705"/>
                </a:lnTo>
                <a:lnTo>
                  <a:pt x="144719" y="9489"/>
                </a:lnTo>
                <a:lnTo>
                  <a:pt x="144719" y="15422"/>
                </a:lnTo>
                <a:lnTo>
                  <a:pt x="131470" y="33528"/>
                </a:lnTo>
                <a:lnTo>
                  <a:pt x="129783" y="35356"/>
                </a:lnTo>
                <a:lnTo>
                  <a:pt x="129052" y="36332"/>
                </a:lnTo>
                <a:lnTo>
                  <a:pt x="128280" y="37307"/>
                </a:lnTo>
                <a:lnTo>
                  <a:pt x="127650" y="38282"/>
                </a:lnTo>
                <a:lnTo>
                  <a:pt x="127162" y="39258"/>
                </a:lnTo>
                <a:lnTo>
                  <a:pt x="144780" y="39258"/>
                </a:lnTo>
                <a:lnTo>
                  <a:pt x="144780" y="44378"/>
                </a:lnTo>
                <a:close/>
              </a:path>
              <a:path w="172720" h="45720">
                <a:moveTo>
                  <a:pt x="172394" y="33954"/>
                </a:moveTo>
                <a:lnTo>
                  <a:pt x="147645" y="33954"/>
                </a:lnTo>
                <a:lnTo>
                  <a:pt x="147645" y="29016"/>
                </a:lnTo>
                <a:lnTo>
                  <a:pt x="163860" y="731"/>
                </a:lnTo>
                <a:lnTo>
                  <a:pt x="167518" y="731"/>
                </a:lnTo>
                <a:lnTo>
                  <a:pt x="167518" y="9326"/>
                </a:lnTo>
                <a:lnTo>
                  <a:pt x="163128" y="9326"/>
                </a:lnTo>
                <a:lnTo>
                  <a:pt x="151973" y="29016"/>
                </a:lnTo>
                <a:lnTo>
                  <a:pt x="172394" y="29016"/>
                </a:lnTo>
                <a:lnTo>
                  <a:pt x="172394" y="33954"/>
                </a:lnTo>
                <a:close/>
              </a:path>
              <a:path w="172720" h="45720">
                <a:moveTo>
                  <a:pt x="167518" y="29016"/>
                </a:moveTo>
                <a:lnTo>
                  <a:pt x="163128" y="29016"/>
                </a:lnTo>
                <a:lnTo>
                  <a:pt x="163128" y="9326"/>
                </a:lnTo>
                <a:lnTo>
                  <a:pt x="167518" y="9326"/>
                </a:lnTo>
                <a:lnTo>
                  <a:pt x="167518" y="29016"/>
                </a:lnTo>
                <a:close/>
              </a:path>
              <a:path w="172720" h="45720">
                <a:moveTo>
                  <a:pt x="167518" y="44378"/>
                </a:moveTo>
                <a:lnTo>
                  <a:pt x="163128" y="44378"/>
                </a:lnTo>
                <a:lnTo>
                  <a:pt x="163128" y="33954"/>
                </a:lnTo>
                <a:lnTo>
                  <a:pt x="167518" y="33954"/>
                </a:lnTo>
                <a:lnTo>
                  <a:pt x="167518" y="44378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136" name="Shape 136">
            <a:extLst>
              <a:ext uri="{FF2B5EF4-FFF2-40B4-BE49-F238E27FC236}">
                <a16:creationId xmlns:a16="http://schemas.microsoft.com/office/drawing/2014/main" id="{00000000-0008-0000-0000-000088000000}"/>
              </a:ext>
            </a:extLst>
          </xdr:cNvPr>
          <xdr:cNvSpPr/>
        </xdr:nvSpPr>
        <xdr:spPr>
          <a:xfrm>
            <a:off x="578358" y="188213"/>
            <a:ext cx="71755" cy="965200"/>
          </a:xfrm>
          <a:custGeom>
            <a:avLst/>
            <a:gdLst/>
            <a:ahLst/>
            <a:cxnLst/>
            <a:rect l="0" t="0" r="0" b="0"/>
            <a:pathLst>
              <a:path w="71755" h="965200">
                <a:moveTo>
                  <a:pt x="0" y="964691"/>
                </a:moveTo>
                <a:lnTo>
                  <a:pt x="71627" y="964691"/>
                </a:lnTo>
                <a:lnTo>
                  <a:pt x="71627" y="0"/>
                </a:lnTo>
                <a:lnTo>
                  <a:pt x="0" y="0"/>
                </a:lnTo>
                <a:lnTo>
                  <a:pt x="0" y="964691"/>
                </a:lnTo>
                <a:close/>
              </a:path>
            </a:pathLst>
          </a:custGeom>
          <a:solidFill>
            <a:srgbClr val="425467">
              <a:alpha val="50000"/>
            </a:srgbClr>
          </a:solidFill>
        </xdr:spPr>
      </xdr:sp>
      <xdr:sp macro="" textlink="">
        <xdr:nvSpPr>
          <xdr:cNvPr id="137" name="Shape 137">
            <a:extLst>
              <a:ext uri="{FF2B5EF4-FFF2-40B4-BE49-F238E27FC236}">
                <a16:creationId xmlns:a16="http://schemas.microsoft.com/office/drawing/2014/main" id="{00000000-0008-0000-0000-000089000000}"/>
              </a:ext>
            </a:extLst>
          </xdr:cNvPr>
          <xdr:cNvSpPr/>
        </xdr:nvSpPr>
        <xdr:spPr>
          <a:xfrm>
            <a:off x="649986" y="188213"/>
            <a:ext cx="73660" cy="965200"/>
          </a:xfrm>
          <a:custGeom>
            <a:avLst/>
            <a:gdLst/>
            <a:ahLst/>
            <a:cxnLst/>
            <a:rect l="0" t="0" r="0" b="0"/>
            <a:pathLst>
              <a:path w="73660" h="965200">
                <a:moveTo>
                  <a:pt x="73151" y="964691"/>
                </a:moveTo>
                <a:lnTo>
                  <a:pt x="0" y="964691"/>
                </a:lnTo>
                <a:lnTo>
                  <a:pt x="0" y="0"/>
                </a:lnTo>
                <a:lnTo>
                  <a:pt x="73151" y="0"/>
                </a:lnTo>
                <a:lnTo>
                  <a:pt x="73151" y="964691"/>
                </a:lnTo>
                <a:close/>
              </a:path>
            </a:pathLst>
          </a:custGeom>
          <a:solidFill>
            <a:srgbClr val="85AACD">
              <a:alpha val="50000"/>
            </a:srgbClr>
          </a:solidFill>
        </xdr:spPr>
      </xdr:sp>
      <xdr:sp macro="" textlink="">
        <xdr:nvSpPr>
          <xdr:cNvPr id="138" name="Shape 138">
            <a:extLst>
              <a:ext uri="{FF2B5EF4-FFF2-40B4-BE49-F238E27FC236}">
                <a16:creationId xmlns:a16="http://schemas.microsoft.com/office/drawing/2014/main" id="{00000000-0008-0000-0000-00008A000000}"/>
              </a:ext>
            </a:extLst>
          </xdr:cNvPr>
          <xdr:cNvSpPr/>
        </xdr:nvSpPr>
        <xdr:spPr>
          <a:xfrm>
            <a:off x="794766" y="1137666"/>
            <a:ext cx="73660" cy="15240"/>
          </a:xfrm>
          <a:custGeom>
            <a:avLst/>
            <a:gdLst/>
            <a:ahLst/>
            <a:cxnLst/>
            <a:rect l="0" t="0" r="0" b="0"/>
            <a:pathLst>
              <a:path w="73660" h="15240">
                <a:moveTo>
                  <a:pt x="73151" y="15239"/>
                </a:moveTo>
                <a:lnTo>
                  <a:pt x="0" y="15239"/>
                </a:lnTo>
                <a:lnTo>
                  <a:pt x="0" y="0"/>
                </a:lnTo>
                <a:lnTo>
                  <a:pt x="73151" y="0"/>
                </a:lnTo>
                <a:lnTo>
                  <a:pt x="73151" y="15239"/>
                </a:lnTo>
                <a:close/>
              </a:path>
            </a:pathLst>
          </a:custGeom>
          <a:solidFill>
            <a:srgbClr val="425467">
              <a:alpha val="50000"/>
            </a:srgbClr>
          </a:solidFill>
        </xdr:spPr>
      </xdr:sp>
      <xdr:sp macro="" textlink="">
        <xdr:nvSpPr>
          <xdr:cNvPr id="139" name="Shape 139">
            <a:extLst>
              <a:ext uri="{FF2B5EF4-FFF2-40B4-BE49-F238E27FC236}">
                <a16:creationId xmlns:a16="http://schemas.microsoft.com/office/drawing/2014/main" id="{00000000-0008-0000-0000-00008B000000}"/>
              </a:ext>
            </a:extLst>
          </xdr:cNvPr>
          <xdr:cNvSpPr/>
        </xdr:nvSpPr>
        <xdr:spPr>
          <a:xfrm>
            <a:off x="866394" y="1137666"/>
            <a:ext cx="73660" cy="15240"/>
          </a:xfrm>
          <a:custGeom>
            <a:avLst/>
            <a:gdLst/>
            <a:ahLst/>
            <a:cxnLst/>
            <a:rect l="0" t="0" r="0" b="0"/>
            <a:pathLst>
              <a:path w="73660" h="15240">
                <a:moveTo>
                  <a:pt x="73151" y="15239"/>
                </a:moveTo>
                <a:lnTo>
                  <a:pt x="0" y="15239"/>
                </a:lnTo>
                <a:lnTo>
                  <a:pt x="0" y="0"/>
                </a:lnTo>
                <a:lnTo>
                  <a:pt x="73151" y="0"/>
                </a:lnTo>
                <a:lnTo>
                  <a:pt x="73151" y="15239"/>
                </a:lnTo>
                <a:close/>
              </a:path>
            </a:pathLst>
          </a:custGeom>
          <a:solidFill>
            <a:srgbClr val="85AACD">
              <a:alpha val="50000"/>
            </a:srgbClr>
          </a:solidFill>
        </xdr:spPr>
      </xdr:sp>
      <xdr:sp macro="" textlink="">
        <xdr:nvSpPr>
          <xdr:cNvPr id="140" name="Shape 140">
            <a:extLst>
              <a:ext uri="{FF2B5EF4-FFF2-40B4-BE49-F238E27FC236}">
                <a16:creationId xmlns:a16="http://schemas.microsoft.com/office/drawing/2014/main" id="{00000000-0008-0000-0000-00008C000000}"/>
              </a:ext>
            </a:extLst>
          </xdr:cNvPr>
          <xdr:cNvSpPr/>
        </xdr:nvSpPr>
        <xdr:spPr>
          <a:xfrm>
            <a:off x="778489" y="1192347"/>
            <a:ext cx="176530" cy="45720"/>
          </a:xfrm>
          <a:custGeom>
            <a:avLst/>
            <a:gdLst/>
            <a:ahLst/>
            <a:cxnLst/>
            <a:rect l="0" t="0" r="0" b="0"/>
            <a:pathLst>
              <a:path w="176530" h="45720">
                <a:moveTo>
                  <a:pt x="15504" y="45110"/>
                </a:moveTo>
                <a:lnTo>
                  <a:pt x="8229" y="45110"/>
                </a:lnTo>
                <a:lnTo>
                  <a:pt x="5425" y="43444"/>
                </a:lnTo>
                <a:lnTo>
                  <a:pt x="3230" y="40111"/>
                </a:lnTo>
                <a:lnTo>
                  <a:pt x="1076" y="36779"/>
                </a:lnTo>
                <a:lnTo>
                  <a:pt x="0" y="31028"/>
                </a:lnTo>
                <a:lnTo>
                  <a:pt x="0" y="15544"/>
                </a:lnTo>
                <a:lnTo>
                  <a:pt x="975" y="9997"/>
                </a:lnTo>
                <a:lnTo>
                  <a:pt x="3504" y="5120"/>
                </a:lnTo>
                <a:lnTo>
                  <a:pt x="4917" y="2438"/>
                </a:lnTo>
                <a:lnTo>
                  <a:pt x="7823" y="548"/>
                </a:lnTo>
                <a:lnTo>
                  <a:pt x="15057" y="548"/>
                </a:lnTo>
                <a:lnTo>
                  <a:pt x="17759" y="2072"/>
                </a:lnTo>
                <a:lnTo>
                  <a:pt x="19631" y="4937"/>
                </a:lnTo>
                <a:lnTo>
                  <a:pt x="9509" y="4937"/>
                </a:lnTo>
                <a:lnTo>
                  <a:pt x="7891" y="6136"/>
                </a:lnTo>
                <a:lnTo>
                  <a:pt x="5237" y="10932"/>
                </a:lnTo>
                <a:lnTo>
                  <a:pt x="4657" y="14732"/>
                </a:lnTo>
                <a:lnTo>
                  <a:pt x="4667" y="31028"/>
                </a:lnTo>
                <a:lnTo>
                  <a:pt x="9651" y="40721"/>
                </a:lnTo>
                <a:lnTo>
                  <a:pt x="19699" y="40721"/>
                </a:lnTo>
                <a:lnTo>
                  <a:pt x="18409" y="43220"/>
                </a:lnTo>
                <a:lnTo>
                  <a:pt x="15504" y="45110"/>
                </a:lnTo>
                <a:close/>
              </a:path>
              <a:path w="176530" h="45720">
                <a:moveTo>
                  <a:pt x="19699" y="40721"/>
                </a:moveTo>
                <a:lnTo>
                  <a:pt x="13756" y="40721"/>
                </a:lnTo>
                <a:lnTo>
                  <a:pt x="15422" y="39502"/>
                </a:lnTo>
                <a:lnTo>
                  <a:pt x="18105" y="34625"/>
                </a:lnTo>
                <a:lnTo>
                  <a:pt x="18612" y="31028"/>
                </a:lnTo>
                <a:lnTo>
                  <a:pt x="18640" y="14732"/>
                </a:lnTo>
                <a:lnTo>
                  <a:pt x="18105" y="10932"/>
                </a:lnTo>
                <a:lnTo>
                  <a:pt x="16764" y="8534"/>
                </a:lnTo>
                <a:lnTo>
                  <a:pt x="15382" y="6136"/>
                </a:lnTo>
                <a:lnTo>
                  <a:pt x="13614" y="4937"/>
                </a:lnTo>
                <a:lnTo>
                  <a:pt x="19631" y="4937"/>
                </a:lnTo>
                <a:lnTo>
                  <a:pt x="22108" y="8818"/>
                </a:lnTo>
                <a:lnTo>
                  <a:pt x="23286" y="14732"/>
                </a:lnTo>
                <a:lnTo>
                  <a:pt x="23286" y="30134"/>
                </a:lnTo>
                <a:lnTo>
                  <a:pt x="22311" y="35661"/>
                </a:lnTo>
                <a:lnTo>
                  <a:pt x="19699" y="40721"/>
                </a:lnTo>
                <a:close/>
              </a:path>
              <a:path w="176530" h="45720">
                <a:moveTo>
                  <a:pt x="32247" y="13716"/>
                </a:moveTo>
                <a:lnTo>
                  <a:pt x="27736" y="13167"/>
                </a:lnTo>
                <a:lnTo>
                  <a:pt x="27915" y="10871"/>
                </a:lnTo>
                <a:lnTo>
                  <a:pt x="27962" y="10261"/>
                </a:lnTo>
                <a:lnTo>
                  <a:pt x="36067" y="548"/>
                </a:lnTo>
                <a:lnTo>
                  <a:pt x="43098" y="548"/>
                </a:lnTo>
                <a:lnTo>
                  <a:pt x="45862" y="1788"/>
                </a:lnTo>
                <a:lnTo>
                  <a:pt x="48256" y="4937"/>
                </a:lnTo>
                <a:lnTo>
                  <a:pt x="37226" y="4937"/>
                </a:lnTo>
                <a:lnTo>
                  <a:pt x="35630" y="5648"/>
                </a:lnTo>
                <a:lnTo>
                  <a:pt x="35412" y="5831"/>
                </a:lnTo>
                <a:lnTo>
                  <a:pt x="34307" y="7071"/>
                </a:lnTo>
                <a:lnTo>
                  <a:pt x="32898" y="8696"/>
                </a:lnTo>
                <a:lnTo>
                  <a:pt x="32247" y="10871"/>
                </a:lnTo>
                <a:lnTo>
                  <a:pt x="32247" y="13716"/>
                </a:lnTo>
                <a:close/>
              </a:path>
              <a:path w="176530" h="45720">
                <a:moveTo>
                  <a:pt x="50596" y="44378"/>
                </a:moveTo>
                <a:lnTo>
                  <a:pt x="26883" y="44378"/>
                </a:lnTo>
                <a:lnTo>
                  <a:pt x="26842" y="42306"/>
                </a:lnTo>
                <a:lnTo>
                  <a:pt x="40131" y="24160"/>
                </a:lnTo>
                <a:lnTo>
                  <a:pt x="42834" y="20990"/>
                </a:lnTo>
                <a:lnTo>
                  <a:pt x="45394" y="16479"/>
                </a:lnTo>
                <a:lnTo>
                  <a:pt x="46024" y="14406"/>
                </a:lnTo>
                <a:lnTo>
                  <a:pt x="46024" y="10261"/>
                </a:lnTo>
                <a:lnTo>
                  <a:pt x="45564" y="8981"/>
                </a:lnTo>
                <a:lnTo>
                  <a:pt x="45462" y="8696"/>
                </a:lnTo>
                <a:lnTo>
                  <a:pt x="45374" y="8453"/>
                </a:lnTo>
                <a:lnTo>
                  <a:pt x="44074" y="7071"/>
                </a:lnTo>
                <a:lnTo>
                  <a:pt x="42773" y="5648"/>
                </a:lnTo>
                <a:lnTo>
                  <a:pt x="41168" y="4937"/>
                </a:lnTo>
                <a:lnTo>
                  <a:pt x="48256" y="4937"/>
                </a:lnTo>
                <a:lnTo>
                  <a:pt x="49601" y="6705"/>
                </a:lnTo>
                <a:lnTo>
                  <a:pt x="50535" y="9489"/>
                </a:lnTo>
                <a:lnTo>
                  <a:pt x="50535" y="15422"/>
                </a:lnTo>
                <a:lnTo>
                  <a:pt x="37287" y="33528"/>
                </a:lnTo>
                <a:lnTo>
                  <a:pt x="35600" y="35356"/>
                </a:lnTo>
                <a:lnTo>
                  <a:pt x="34869" y="36332"/>
                </a:lnTo>
                <a:lnTo>
                  <a:pt x="34096" y="37307"/>
                </a:lnTo>
                <a:lnTo>
                  <a:pt x="33467" y="38282"/>
                </a:lnTo>
                <a:lnTo>
                  <a:pt x="32979" y="39258"/>
                </a:lnTo>
                <a:lnTo>
                  <a:pt x="50596" y="39258"/>
                </a:lnTo>
                <a:lnTo>
                  <a:pt x="50596" y="44378"/>
                </a:lnTo>
                <a:close/>
              </a:path>
              <a:path w="176530" h="45720">
                <a:moveTo>
                  <a:pt x="56327" y="45110"/>
                </a:moveTo>
                <a:lnTo>
                  <a:pt x="52791" y="45110"/>
                </a:lnTo>
                <a:lnTo>
                  <a:pt x="63215" y="0"/>
                </a:lnTo>
                <a:lnTo>
                  <a:pt x="66812" y="0"/>
                </a:lnTo>
                <a:lnTo>
                  <a:pt x="56327" y="45110"/>
                </a:lnTo>
                <a:close/>
              </a:path>
              <a:path w="176530" h="45720">
                <a:moveTo>
                  <a:pt x="74919" y="13716"/>
                </a:moveTo>
                <a:lnTo>
                  <a:pt x="70408" y="13167"/>
                </a:lnTo>
                <a:lnTo>
                  <a:pt x="70587" y="10871"/>
                </a:lnTo>
                <a:lnTo>
                  <a:pt x="70634" y="10261"/>
                </a:lnTo>
                <a:lnTo>
                  <a:pt x="70733" y="8981"/>
                </a:lnTo>
                <a:lnTo>
                  <a:pt x="71912" y="5831"/>
                </a:lnTo>
                <a:lnTo>
                  <a:pt x="73944" y="3718"/>
                </a:lnTo>
                <a:lnTo>
                  <a:pt x="76017" y="1605"/>
                </a:lnTo>
                <a:lnTo>
                  <a:pt x="78740" y="548"/>
                </a:lnTo>
                <a:lnTo>
                  <a:pt x="85770" y="548"/>
                </a:lnTo>
                <a:lnTo>
                  <a:pt x="88534" y="1788"/>
                </a:lnTo>
                <a:lnTo>
                  <a:pt x="90928" y="4937"/>
                </a:lnTo>
                <a:lnTo>
                  <a:pt x="79898" y="4937"/>
                </a:lnTo>
                <a:lnTo>
                  <a:pt x="78302" y="5648"/>
                </a:lnTo>
                <a:lnTo>
                  <a:pt x="78084" y="5831"/>
                </a:lnTo>
                <a:lnTo>
                  <a:pt x="76979" y="7071"/>
                </a:lnTo>
                <a:lnTo>
                  <a:pt x="75570" y="8696"/>
                </a:lnTo>
                <a:lnTo>
                  <a:pt x="74919" y="10871"/>
                </a:lnTo>
                <a:lnTo>
                  <a:pt x="74919" y="13716"/>
                </a:lnTo>
                <a:close/>
              </a:path>
              <a:path w="176530" h="45720">
                <a:moveTo>
                  <a:pt x="93268" y="44378"/>
                </a:moveTo>
                <a:lnTo>
                  <a:pt x="69555" y="44378"/>
                </a:lnTo>
                <a:lnTo>
                  <a:pt x="69514" y="42306"/>
                </a:lnTo>
                <a:lnTo>
                  <a:pt x="82803" y="24160"/>
                </a:lnTo>
                <a:lnTo>
                  <a:pt x="85506" y="20990"/>
                </a:lnTo>
                <a:lnTo>
                  <a:pt x="88066" y="16479"/>
                </a:lnTo>
                <a:lnTo>
                  <a:pt x="88696" y="14406"/>
                </a:lnTo>
                <a:lnTo>
                  <a:pt x="88696" y="10261"/>
                </a:lnTo>
                <a:lnTo>
                  <a:pt x="88236" y="8981"/>
                </a:lnTo>
                <a:lnTo>
                  <a:pt x="88134" y="8696"/>
                </a:lnTo>
                <a:lnTo>
                  <a:pt x="88046" y="8453"/>
                </a:lnTo>
                <a:lnTo>
                  <a:pt x="86746" y="7071"/>
                </a:lnTo>
                <a:lnTo>
                  <a:pt x="85445" y="5648"/>
                </a:lnTo>
                <a:lnTo>
                  <a:pt x="83840" y="4937"/>
                </a:lnTo>
                <a:lnTo>
                  <a:pt x="90928" y="4937"/>
                </a:lnTo>
                <a:lnTo>
                  <a:pt x="92273" y="6705"/>
                </a:lnTo>
                <a:lnTo>
                  <a:pt x="93207" y="9489"/>
                </a:lnTo>
                <a:lnTo>
                  <a:pt x="93207" y="15422"/>
                </a:lnTo>
                <a:lnTo>
                  <a:pt x="79959" y="33528"/>
                </a:lnTo>
                <a:lnTo>
                  <a:pt x="78272" y="35356"/>
                </a:lnTo>
                <a:lnTo>
                  <a:pt x="77541" y="36332"/>
                </a:lnTo>
                <a:lnTo>
                  <a:pt x="76768" y="37307"/>
                </a:lnTo>
                <a:lnTo>
                  <a:pt x="76139" y="38282"/>
                </a:lnTo>
                <a:lnTo>
                  <a:pt x="75651" y="39258"/>
                </a:lnTo>
                <a:lnTo>
                  <a:pt x="93268" y="39258"/>
                </a:lnTo>
                <a:lnTo>
                  <a:pt x="93268" y="44378"/>
                </a:lnTo>
                <a:close/>
              </a:path>
              <a:path w="176530" h="45720">
                <a:moveTo>
                  <a:pt x="113040" y="45110"/>
                </a:moveTo>
                <a:lnTo>
                  <a:pt x="105765" y="45110"/>
                </a:lnTo>
                <a:lnTo>
                  <a:pt x="102961" y="43444"/>
                </a:lnTo>
                <a:lnTo>
                  <a:pt x="100766" y="40111"/>
                </a:lnTo>
                <a:lnTo>
                  <a:pt x="98612" y="36779"/>
                </a:lnTo>
                <a:lnTo>
                  <a:pt x="97536" y="31028"/>
                </a:lnTo>
                <a:lnTo>
                  <a:pt x="97536" y="15544"/>
                </a:lnTo>
                <a:lnTo>
                  <a:pt x="98511" y="9997"/>
                </a:lnTo>
                <a:lnTo>
                  <a:pt x="101040" y="5120"/>
                </a:lnTo>
                <a:lnTo>
                  <a:pt x="102453" y="2438"/>
                </a:lnTo>
                <a:lnTo>
                  <a:pt x="105359" y="548"/>
                </a:lnTo>
                <a:lnTo>
                  <a:pt x="112593" y="548"/>
                </a:lnTo>
                <a:lnTo>
                  <a:pt x="115295" y="2072"/>
                </a:lnTo>
                <a:lnTo>
                  <a:pt x="117167" y="4937"/>
                </a:lnTo>
                <a:lnTo>
                  <a:pt x="107045" y="4937"/>
                </a:lnTo>
                <a:lnTo>
                  <a:pt x="105427" y="6136"/>
                </a:lnTo>
                <a:lnTo>
                  <a:pt x="102773" y="10932"/>
                </a:lnTo>
                <a:lnTo>
                  <a:pt x="102193" y="14732"/>
                </a:lnTo>
                <a:lnTo>
                  <a:pt x="102203" y="31028"/>
                </a:lnTo>
                <a:lnTo>
                  <a:pt x="107187" y="40721"/>
                </a:lnTo>
                <a:lnTo>
                  <a:pt x="117235" y="40721"/>
                </a:lnTo>
                <a:lnTo>
                  <a:pt x="115945" y="43220"/>
                </a:lnTo>
                <a:lnTo>
                  <a:pt x="113040" y="45110"/>
                </a:lnTo>
                <a:close/>
              </a:path>
              <a:path w="176530" h="45720">
                <a:moveTo>
                  <a:pt x="117235" y="40721"/>
                </a:moveTo>
                <a:lnTo>
                  <a:pt x="111292" y="40721"/>
                </a:lnTo>
                <a:lnTo>
                  <a:pt x="112958" y="39502"/>
                </a:lnTo>
                <a:lnTo>
                  <a:pt x="115641" y="34625"/>
                </a:lnTo>
                <a:lnTo>
                  <a:pt x="116148" y="31028"/>
                </a:lnTo>
                <a:lnTo>
                  <a:pt x="116176" y="14732"/>
                </a:lnTo>
                <a:lnTo>
                  <a:pt x="115641" y="10932"/>
                </a:lnTo>
                <a:lnTo>
                  <a:pt x="114300" y="8534"/>
                </a:lnTo>
                <a:lnTo>
                  <a:pt x="112918" y="6136"/>
                </a:lnTo>
                <a:lnTo>
                  <a:pt x="111150" y="4937"/>
                </a:lnTo>
                <a:lnTo>
                  <a:pt x="117167" y="4937"/>
                </a:lnTo>
                <a:lnTo>
                  <a:pt x="119644" y="8818"/>
                </a:lnTo>
                <a:lnTo>
                  <a:pt x="120822" y="14732"/>
                </a:lnTo>
                <a:lnTo>
                  <a:pt x="120822" y="30134"/>
                </a:lnTo>
                <a:lnTo>
                  <a:pt x="119847" y="35661"/>
                </a:lnTo>
                <a:lnTo>
                  <a:pt x="117235" y="40721"/>
                </a:lnTo>
                <a:close/>
              </a:path>
              <a:path w="176530" h="45720">
                <a:moveTo>
                  <a:pt x="129783" y="13716"/>
                </a:moveTo>
                <a:lnTo>
                  <a:pt x="125272" y="13167"/>
                </a:lnTo>
                <a:lnTo>
                  <a:pt x="125451" y="10871"/>
                </a:lnTo>
                <a:lnTo>
                  <a:pt x="125498" y="10261"/>
                </a:lnTo>
                <a:lnTo>
                  <a:pt x="133604" y="548"/>
                </a:lnTo>
                <a:lnTo>
                  <a:pt x="140634" y="548"/>
                </a:lnTo>
                <a:lnTo>
                  <a:pt x="143398" y="1788"/>
                </a:lnTo>
                <a:lnTo>
                  <a:pt x="145792" y="4937"/>
                </a:lnTo>
                <a:lnTo>
                  <a:pt x="134762" y="4937"/>
                </a:lnTo>
                <a:lnTo>
                  <a:pt x="133166" y="5648"/>
                </a:lnTo>
                <a:lnTo>
                  <a:pt x="132948" y="5831"/>
                </a:lnTo>
                <a:lnTo>
                  <a:pt x="131843" y="7071"/>
                </a:lnTo>
                <a:lnTo>
                  <a:pt x="130434" y="8696"/>
                </a:lnTo>
                <a:lnTo>
                  <a:pt x="129783" y="10871"/>
                </a:lnTo>
                <a:lnTo>
                  <a:pt x="129783" y="13716"/>
                </a:lnTo>
                <a:close/>
              </a:path>
              <a:path w="176530" h="45720">
                <a:moveTo>
                  <a:pt x="148132" y="44378"/>
                </a:moveTo>
                <a:lnTo>
                  <a:pt x="124419" y="44378"/>
                </a:lnTo>
                <a:lnTo>
                  <a:pt x="124378" y="42306"/>
                </a:lnTo>
                <a:lnTo>
                  <a:pt x="137667" y="24160"/>
                </a:lnTo>
                <a:lnTo>
                  <a:pt x="140370" y="20990"/>
                </a:lnTo>
                <a:lnTo>
                  <a:pt x="142930" y="16479"/>
                </a:lnTo>
                <a:lnTo>
                  <a:pt x="143560" y="14406"/>
                </a:lnTo>
                <a:lnTo>
                  <a:pt x="143560" y="10261"/>
                </a:lnTo>
                <a:lnTo>
                  <a:pt x="143100" y="8981"/>
                </a:lnTo>
                <a:lnTo>
                  <a:pt x="142998" y="8696"/>
                </a:lnTo>
                <a:lnTo>
                  <a:pt x="142910" y="8453"/>
                </a:lnTo>
                <a:lnTo>
                  <a:pt x="141610" y="7071"/>
                </a:lnTo>
                <a:lnTo>
                  <a:pt x="140309" y="5648"/>
                </a:lnTo>
                <a:lnTo>
                  <a:pt x="138704" y="4937"/>
                </a:lnTo>
                <a:lnTo>
                  <a:pt x="145792" y="4937"/>
                </a:lnTo>
                <a:lnTo>
                  <a:pt x="147137" y="6705"/>
                </a:lnTo>
                <a:lnTo>
                  <a:pt x="148071" y="9489"/>
                </a:lnTo>
                <a:lnTo>
                  <a:pt x="148071" y="15422"/>
                </a:lnTo>
                <a:lnTo>
                  <a:pt x="134823" y="33528"/>
                </a:lnTo>
                <a:lnTo>
                  <a:pt x="133136" y="35356"/>
                </a:lnTo>
                <a:lnTo>
                  <a:pt x="132405" y="36332"/>
                </a:lnTo>
                <a:lnTo>
                  <a:pt x="131632" y="37307"/>
                </a:lnTo>
                <a:lnTo>
                  <a:pt x="131003" y="38282"/>
                </a:lnTo>
                <a:lnTo>
                  <a:pt x="130515" y="39258"/>
                </a:lnTo>
                <a:lnTo>
                  <a:pt x="148132" y="39258"/>
                </a:lnTo>
                <a:lnTo>
                  <a:pt x="148132" y="44378"/>
                </a:lnTo>
                <a:close/>
              </a:path>
              <a:path w="176530" h="45720">
                <a:moveTo>
                  <a:pt x="157337" y="24383"/>
                </a:moveTo>
                <a:lnTo>
                  <a:pt x="153192" y="23713"/>
                </a:lnTo>
                <a:lnTo>
                  <a:pt x="156667" y="1280"/>
                </a:lnTo>
                <a:lnTo>
                  <a:pt x="174406" y="1280"/>
                </a:lnTo>
                <a:lnTo>
                  <a:pt x="174406" y="6400"/>
                </a:lnTo>
                <a:lnTo>
                  <a:pt x="160141" y="6400"/>
                </a:lnTo>
                <a:lnTo>
                  <a:pt x="158252" y="18227"/>
                </a:lnTo>
                <a:lnTo>
                  <a:pt x="171916" y="18227"/>
                </a:lnTo>
                <a:lnTo>
                  <a:pt x="173605" y="20177"/>
                </a:lnTo>
                <a:lnTo>
                  <a:pt x="162499" y="20177"/>
                </a:lnTo>
                <a:lnTo>
                  <a:pt x="161259" y="20543"/>
                </a:lnTo>
                <a:lnTo>
                  <a:pt x="160080" y="21275"/>
                </a:lnTo>
                <a:lnTo>
                  <a:pt x="158943" y="22047"/>
                </a:lnTo>
                <a:lnTo>
                  <a:pt x="158028" y="23083"/>
                </a:lnTo>
                <a:lnTo>
                  <a:pt x="157337" y="24383"/>
                </a:lnTo>
                <a:close/>
              </a:path>
              <a:path w="176530" h="45720">
                <a:moveTo>
                  <a:pt x="171916" y="18227"/>
                </a:moveTo>
                <a:lnTo>
                  <a:pt x="158252" y="18227"/>
                </a:lnTo>
                <a:lnTo>
                  <a:pt x="160365" y="16357"/>
                </a:lnTo>
                <a:lnTo>
                  <a:pt x="162620" y="15422"/>
                </a:lnTo>
                <a:lnTo>
                  <a:pt x="167985" y="15422"/>
                </a:lnTo>
                <a:lnTo>
                  <a:pt x="170586" y="16703"/>
                </a:lnTo>
                <a:lnTo>
                  <a:pt x="171916" y="18227"/>
                </a:lnTo>
                <a:close/>
              </a:path>
              <a:path w="176530" h="45720">
                <a:moveTo>
                  <a:pt x="172687" y="40721"/>
                </a:moveTo>
                <a:lnTo>
                  <a:pt x="165933" y="40721"/>
                </a:lnTo>
                <a:lnTo>
                  <a:pt x="167188" y="40050"/>
                </a:lnTo>
                <a:lnTo>
                  <a:pt x="167753" y="39725"/>
                </a:lnTo>
                <a:lnTo>
                  <a:pt x="170728" y="35946"/>
                </a:lnTo>
                <a:lnTo>
                  <a:pt x="171480" y="33324"/>
                </a:lnTo>
                <a:lnTo>
                  <a:pt x="171480" y="26903"/>
                </a:lnTo>
                <a:lnTo>
                  <a:pt x="165994" y="20177"/>
                </a:lnTo>
                <a:lnTo>
                  <a:pt x="173605" y="20177"/>
                </a:lnTo>
                <a:lnTo>
                  <a:pt x="175016" y="21823"/>
                </a:lnTo>
                <a:lnTo>
                  <a:pt x="176113" y="25257"/>
                </a:lnTo>
                <a:lnTo>
                  <a:pt x="176113" y="33832"/>
                </a:lnTo>
                <a:lnTo>
                  <a:pt x="175064" y="37327"/>
                </a:lnTo>
                <a:lnTo>
                  <a:pt x="175016" y="37490"/>
                </a:lnTo>
                <a:lnTo>
                  <a:pt x="172687" y="40721"/>
                </a:lnTo>
                <a:close/>
              </a:path>
              <a:path w="176530" h="45720">
                <a:moveTo>
                  <a:pt x="167599" y="45110"/>
                </a:moveTo>
                <a:lnTo>
                  <a:pt x="160771" y="45110"/>
                </a:lnTo>
                <a:lnTo>
                  <a:pt x="158170" y="44033"/>
                </a:lnTo>
                <a:lnTo>
                  <a:pt x="156057" y="41879"/>
                </a:lnTo>
                <a:lnTo>
                  <a:pt x="153903" y="39725"/>
                </a:lnTo>
                <a:lnTo>
                  <a:pt x="152684" y="36738"/>
                </a:lnTo>
                <a:lnTo>
                  <a:pt x="152574" y="35255"/>
                </a:lnTo>
                <a:lnTo>
                  <a:pt x="152468" y="33832"/>
                </a:lnTo>
                <a:lnTo>
                  <a:pt x="152400" y="32918"/>
                </a:lnTo>
                <a:lnTo>
                  <a:pt x="157032" y="32491"/>
                </a:lnTo>
                <a:lnTo>
                  <a:pt x="157398" y="35255"/>
                </a:lnTo>
                <a:lnTo>
                  <a:pt x="158211" y="37327"/>
                </a:lnTo>
                <a:lnTo>
                  <a:pt x="159471" y="38709"/>
                </a:lnTo>
                <a:lnTo>
                  <a:pt x="160731" y="40050"/>
                </a:lnTo>
                <a:lnTo>
                  <a:pt x="162194" y="40721"/>
                </a:lnTo>
                <a:lnTo>
                  <a:pt x="172687" y="40721"/>
                </a:lnTo>
                <a:lnTo>
                  <a:pt x="170586" y="43586"/>
                </a:lnTo>
                <a:lnTo>
                  <a:pt x="167599" y="4511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141" name="Shape 141">
            <a:extLst>
              <a:ext uri="{FF2B5EF4-FFF2-40B4-BE49-F238E27FC236}">
                <a16:creationId xmlns:a16="http://schemas.microsoft.com/office/drawing/2014/main" id="{00000000-0008-0000-0000-00008D000000}"/>
              </a:ext>
            </a:extLst>
          </xdr:cNvPr>
          <xdr:cNvSpPr/>
        </xdr:nvSpPr>
        <xdr:spPr>
          <a:xfrm>
            <a:off x="1009650" y="6858"/>
            <a:ext cx="73660" cy="1146175"/>
          </a:xfrm>
          <a:custGeom>
            <a:avLst/>
            <a:gdLst/>
            <a:ahLst/>
            <a:cxnLst/>
            <a:rect l="0" t="0" r="0" b="0"/>
            <a:pathLst>
              <a:path w="73660" h="1146175">
                <a:moveTo>
                  <a:pt x="0" y="1146048"/>
                </a:moveTo>
                <a:lnTo>
                  <a:pt x="73152" y="1146048"/>
                </a:lnTo>
                <a:lnTo>
                  <a:pt x="73152" y="0"/>
                </a:lnTo>
                <a:lnTo>
                  <a:pt x="0" y="0"/>
                </a:lnTo>
                <a:lnTo>
                  <a:pt x="0" y="1146048"/>
                </a:lnTo>
                <a:close/>
              </a:path>
            </a:pathLst>
          </a:custGeom>
          <a:solidFill>
            <a:srgbClr val="425467">
              <a:alpha val="50000"/>
            </a:srgbClr>
          </a:solidFill>
        </xdr:spPr>
      </xdr:sp>
      <xdr:sp macro="" textlink="">
        <xdr:nvSpPr>
          <xdr:cNvPr id="142" name="Shape 142">
            <a:extLst>
              <a:ext uri="{FF2B5EF4-FFF2-40B4-BE49-F238E27FC236}">
                <a16:creationId xmlns:a16="http://schemas.microsoft.com/office/drawing/2014/main" id="{00000000-0008-0000-0000-00008E000000}"/>
              </a:ext>
            </a:extLst>
          </xdr:cNvPr>
          <xdr:cNvSpPr/>
        </xdr:nvSpPr>
        <xdr:spPr>
          <a:xfrm>
            <a:off x="1082802" y="6858"/>
            <a:ext cx="73660" cy="1146175"/>
          </a:xfrm>
          <a:custGeom>
            <a:avLst/>
            <a:gdLst/>
            <a:ahLst/>
            <a:cxnLst/>
            <a:rect l="0" t="0" r="0" b="0"/>
            <a:pathLst>
              <a:path w="73660" h="1146175">
                <a:moveTo>
                  <a:pt x="73151" y="1146048"/>
                </a:moveTo>
                <a:lnTo>
                  <a:pt x="0" y="1146048"/>
                </a:lnTo>
                <a:lnTo>
                  <a:pt x="0" y="0"/>
                </a:lnTo>
                <a:lnTo>
                  <a:pt x="73151" y="0"/>
                </a:lnTo>
                <a:lnTo>
                  <a:pt x="73151" y="1146048"/>
                </a:lnTo>
                <a:close/>
              </a:path>
            </a:pathLst>
          </a:custGeom>
          <a:solidFill>
            <a:srgbClr val="85AACD">
              <a:alpha val="50000"/>
            </a:srgbClr>
          </a:solidFill>
        </xdr:spPr>
      </xdr:sp>
      <xdr:sp macro="" textlink="">
        <xdr:nvSpPr>
          <xdr:cNvPr id="143" name="Shape 143">
            <a:extLst>
              <a:ext uri="{FF2B5EF4-FFF2-40B4-BE49-F238E27FC236}">
                <a16:creationId xmlns:a16="http://schemas.microsoft.com/office/drawing/2014/main" id="{00000000-0008-0000-0000-00008F000000}"/>
              </a:ext>
            </a:extLst>
          </xdr:cNvPr>
          <xdr:cNvSpPr/>
        </xdr:nvSpPr>
        <xdr:spPr>
          <a:xfrm>
            <a:off x="1226058" y="782573"/>
            <a:ext cx="73660" cy="370840"/>
          </a:xfrm>
          <a:custGeom>
            <a:avLst/>
            <a:gdLst/>
            <a:ahLst/>
            <a:cxnLst/>
            <a:rect l="0" t="0" r="0" b="0"/>
            <a:pathLst>
              <a:path w="73660" h="370840">
                <a:moveTo>
                  <a:pt x="73151" y="370332"/>
                </a:moveTo>
                <a:lnTo>
                  <a:pt x="0" y="370332"/>
                </a:lnTo>
                <a:lnTo>
                  <a:pt x="0" y="0"/>
                </a:lnTo>
                <a:lnTo>
                  <a:pt x="73151" y="0"/>
                </a:lnTo>
                <a:lnTo>
                  <a:pt x="73151" y="370332"/>
                </a:lnTo>
                <a:close/>
              </a:path>
            </a:pathLst>
          </a:custGeom>
          <a:solidFill>
            <a:srgbClr val="425467">
              <a:alpha val="50000"/>
            </a:srgbClr>
          </a:solidFill>
        </xdr:spPr>
      </xdr:sp>
      <xdr:sp macro="" textlink="">
        <xdr:nvSpPr>
          <xdr:cNvPr id="144" name="Shape 144">
            <a:extLst>
              <a:ext uri="{FF2B5EF4-FFF2-40B4-BE49-F238E27FC236}">
                <a16:creationId xmlns:a16="http://schemas.microsoft.com/office/drawing/2014/main" id="{00000000-0008-0000-0000-000090000000}"/>
              </a:ext>
            </a:extLst>
          </xdr:cNvPr>
          <xdr:cNvSpPr/>
        </xdr:nvSpPr>
        <xdr:spPr>
          <a:xfrm>
            <a:off x="1297686" y="1151382"/>
            <a:ext cx="74930" cy="3175"/>
          </a:xfrm>
          <a:custGeom>
            <a:avLst/>
            <a:gdLst/>
            <a:ahLst/>
            <a:cxnLst/>
            <a:rect l="0" t="0" r="0" b="0"/>
            <a:pathLst>
              <a:path w="74930" h="3175">
                <a:moveTo>
                  <a:pt x="74675" y="3048"/>
                </a:moveTo>
                <a:lnTo>
                  <a:pt x="0" y="3048"/>
                </a:lnTo>
                <a:lnTo>
                  <a:pt x="0" y="0"/>
                </a:lnTo>
                <a:lnTo>
                  <a:pt x="74675" y="0"/>
                </a:lnTo>
                <a:lnTo>
                  <a:pt x="74675" y="3048"/>
                </a:lnTo>
                <a:close/>
              </a:path>
            </a:pathLst>
          </a:custGeom>
          <a:solidFill>
            <a:srgbClr val="85AACD">
              <a:alpha val="50000"/>
            </a:srgbClr>
          </a:solidFill>
        </xdr:spPr>
      </xdr:sp>
      <xdr:sp macro="" textlink="">
        <xdr:nvSpPr>
          <xdr:cNvPr id="145" name="Shape 145">
            <a:extLst>
              <a:ext uri="{FF2B5EF4-FFF2-40B4-BE49-F238E27FC236}">
                <a16:creationId xmlns:a16="http://schemas.microsoft.com/office/drawing/2014/main" id="{00000000-0008-0000-0000-000091000000}"/>
              </a:ext>
            </a:extLst>
          </xdr:cNvPr>
          <xdr:cNvSpPr/>
        </xdr:nvSpPr>
        <xdr:spPr>
          <a:xfrm>
            <a:off x="1211305" y="1192347"/>
            <a:ext cx="176530" cy="45720"/>
          </a:xfrm>
          <a:custGeom>
            <a:avLst/>
            <a:gdLst/>
            <a:ahLst/>
            <a:cxnLst/>
            <a:rect l="0" t="0" r="0" b="0"/>
            <a:pathLst>
              <a:path w="176530" h="45720">
                <a:moveTo>
                  <a:pt x="15504" y="45110"/>
                </a:moveTo>
                <a:lnTo>
                  <a:pt x="8229" y="45110"/>
                </a:lnTo>
                <a:lnTo>
                  <a:pt x="5425" y="43444"/>
                </a:lnTo>
                <a:lnTo>
                  <a:pt x="3230" y="40111"/>
                </a:lnTo>
                <a:lnTo>
                  <a:pt x="1076" y="36779"/>
                </a:lnTo>
                <a:lnTo>
                  <a:pt x="0" y="31028"/>
                </a:lnTo>
                <a:lnTo>
                  <a:pt x="0" y="15544"/>
                </a:lnTo>
                <a:lnTo>
                  <a:pt x="975" y="9997"/>
                </a:lnTo>
                <a:lnTo>
                  <a:pt x="3504" y="5120"/>
                </a:lnTo>
                <a:lnTo>
                  <a:pt x="4917" y="2438"/>
                </a:lnTo>
                <a:lnTo>
                  <a:pt x="7823" y="548"/>
                </a:lnTo>
                <a:lnTo>
                  <a:pt x="15057" y="548"/>
                </a:lnTo>
                <a:lnTo>
                  <a:pt x="17759" y="2072"/>
                </a:lnTo>
                <a:lnTo>
                  <a:pt x="19631" y="4937"/>
                </a:lnTo>
                <a:lnTo>
                  <a:pt x="9509" y="4937"/>
                </a:lnTo>
                <a:lnTo>
                  <a:pt x="7891" y="6136"/>
                </a:lnTo>
                <a:lnTo>
                  <a:pt x="5237" y="10932"/>
                </a:lnTo>
                <a:lnTo>
                  <a:pt x="4657" y="14732"/>
                </a:lnTo>
                <a:lnTo>
                  <a:pt x="4667" y="31028"/>
                </a:lnTo>
                <a:lnTo>
                  <a:pt x="9651" y="40721"/>
                </a:lnTo>
                <a:lnTo>
                  <a:pt x="19699" y="40721"/>
                </a:lnTo>
                <a:lnTo>
                  <a:pt x="18409" y="43220"/>
                </a:lnTo>
                <a:lnTo>
                  <a:pt x="15504" y="45110"/>
                </a:lnTo>
                <a:close/>
              </a:path>
              <a:path w="176530" h="45720">
                <a:moveTo>
                  <a:pt x="19699" y="40721"/>
                </a:moveTo>
                <a:lnTo>
                  <a:pt x="13756" y="40721"/>
                </a:lnTo>
                <a:lnTo>
                  <a:pt x="15422" y="39502"/>
                </a:lnTo>
                <a:lnTo>
                  <a:pt x="18105" y="34625"/>
                </a:lnTo>
                <a:lnTo>
                  <a:pt x="18612" y="31028"/>
                </a:lnTo>
                <a:lnTo>
                  <a:pt x="18640" y="14732"/>
                </a:lnTo>
                <a:lnTo>
                  <a:pt x="18105" y="10932"/>
                </a:lnTo>
                <a:lnTo>
                  <a:pt x="16764" y="8534"/>
                </a:lnTo>
                <a:lnTo>
                  <a:pt x="15382" y="6136"/>
                </a:lnTo>
                <a:lnTo>
                  <a:pt x="13614" y="4937"/>
                </a:lnTo>
                <a:lnTo>
                  <a:pt x="19631" y="4937"/>
                </a:lnTo>
                <a:lnTo>
                  <a:pt x="22108" y="8818"/>
                </a:lnTo>
                <a:lnTo>
                  <a:pt x="23286" y="14732"/>
                </a:lnTo>
                <a:lnTo>
                  <a:pt x="23286" y="30134"/>
                </a:lnTo>
                <a:lnTo>
                  <a:pt x="22311" y="35661"/>
                </a:lnTo>
                <a:lnTo>
                  <a:pt x="19699" y="40721"/>
                </a:lnTo>
                <a:close/>
              </a:path>
              <a:path w="176530" h="45720">
                <a:moveTo>
                  <a:pt x="50779" y="33954"/>
                </a:moveTo>
                <a:lnTo>
                  <a:pt x="26029" y="33954"/>
                </a:lnTo>
                <a:lnTo>
                  <a:pt x="26029" y="29016"/>
                </a:lnTo>
                <a:lnTo>
                  <a:pt x="42245" y="731"/>
                </a:lnTo>
                <a:lnTo>
                  <a:pt x="45902" y="731"/>
                </a:lnTo>
                <a:lnTo>
                  <a:pt x="45902" y="9326"/>
                </a:lnTo>
                <a:lnTo>
                  <a:pt x="41513" y="9326"/>
                </a:lnTo>
                <a:lnTo>
                  <a:pt x="30358" y="29016"/>
                </a:lnTo>
                <a:lnTo>
                  <a:pt x="50779" y="29016"/>
                </a:lnTo>
                <a:lnTo>
                  <a:pt x="50779" y="33954"/>
                </a:lnTo>
                <a:close/>
              </a:path>
              <a:path w="176530" h="45720">
                <a:moveTo>
                  <a:pt x="45902" y="29016"/>
                </a:moveTo>
                <a:lnTo>
                  <a:pt x="41513" y="29016"/>
                </a:lnTo>
                <a:lnTo>
                  <a:pt x="41513" y="9326"/>
                </a:lnTo>
                <a:lnTo>
                  <a:pt x="45902" y="9326"/>
                </a:lnTo>
                <a:lnTo>
                  <a:pt x="45902" y="29016"/>
                </a:lnTo>
                <a:close/>
              </a:path>
              <a:path w="176530" h="45720">
                <a:moveTo>
                  <a:pt x="45902" y="44378"/>
                </a:moveTo>
                <a:lnTo>
                  <a:pt x="41513" y="44378"/>
                </a:lnTo>
                <a:lnTo>
                  <a:pt x="41513" y="33954"/>
                </a:lnTo>
                <a:lnTo>
                  <a:pt x="45902" y="33954"/>
                </a:lnTo>
                <a:lnTo>
                  <a:pt x="45902" y="44378"/>
                </a:lnTo>
                <a:close/>
              </a:path>
              <a:path w="176530" h="45720">
                <a:moveTo>
                  <a:pt x="56327" y="45110"/>
                </a:moveTo>
                <a:lnTo>
                  <a:pt x="52791" y="45110"/>
                </a:lnTo>
                <a:lnTo>
                  <a:pt x="63215" y="0"/>
                </a:lnTo>
                <a:lnTo>
                  <a:pt x="66812" y="0"/>
                </a:lnTo>
                <a:lnTo>
                  <a:pt x="56327" y="45110"/>
                </a:lnTo>
                <a:close/>
              </a:path>
              <a:path w="176530" h="45720">
                <a:moveTo>
                  <a:pt x="74919" y="13716"/>
                </a:moveTo>
                <a:lnTo>
                  <a:pt x="70408" y="13167"/>
                </a:lnTo>
                <a:lnTo>
                  <a:pt x="70587" y="10871"/>
                </a:lnTo>
                <a:lnTo>
                  <a:pt x="70634" y="10261"/>
                </a:lnTo>
                <a:lnTo>
                  <a:pt x="70733" y="8981"/>
                </a:lnTo>
                <a:lnTo>
                  <a:pt x="71912" y="5831"/>
                </a:lnTo>
                <a:lnTo>
                  <a:pt x="73944" y="3718"/>
                </a:lnTo>
                <a:lnTo>
                  <a:pt x="76017" y="1605"/>
                </a:lnTo>
                <a:lnTo>
                  <a:pt x="78740" y="548"/>
                </a:lnTo>
                <a:lnTo>
                  <a:pt x="85770" y="548"/>
                </a:lnTo>
                <a:lnTo>
                  <a:pt x="88534" y="1788"/>
                </a:lnTo>
                <a:lnTo>
                  <a:pt x="90928" y="4937"/>
                </a:lnTo>
                <a:lnTo>
                  <a:pt x="79898" y="4937"/>
                </a:lnTo>
                <a:lnTo>
                  <a:pt x="78302" y="5648"/>
                </a:lnTo>
                <a:lnTo>
                  <a:pt x="78084" y="5831"/>
                </a:lnTo>
                <a:lnTo>
                  <a:pt x="76979" y="7071"/>
                </a:lnTo>
                <a:lnTo>
                  <a:pt x="75570" y="8696"/>
                </a:lnTo>
                <a:lnTo>
                  <a:pt x="74919" y="10871"/>
                </a:lnTo>
                <a:lnTo>
                  <a:pt x="74919" y="13716"/>
                </a:lnTo>
                <a:close/>
              </a:path>
              <a:path w="176530" h="45720">
                <a:moveTo>
                  <a:pt x="93268" y="44378"/>
                </a:moveTo>
                <a:lnTo>
                  <a:pt x="69555" y="44378"/>
                </a:lnTo>
                <a:lnTo>
                  <a:pt x="69514" y="42306"/>
                </a:lnTo>
                <a:lnTo>
                  <a:pt x="82803" y="24160"/>
                </a:lnTo>
                <a:lnTo>
                  <a:pt x="85506" y="20990"/>
                </a:lnTo>
                <a:lnTo>
                  <a:pt x="88066" y="16479"/>
                </a:lnTo>
                <a:lnTo>
                  <a:pt x="88696" y="14406"/>
                </a:lnTo>
                <a:lnTo>
                  <a:pt x="88696" y="10261"/>
                </a:lnTo>
                <a:lnTo>
                  <a:pt x="88236" y="8981"/>
                </a:lnTo>
                <a:lnTo>
                  <a:pt x="88134" y="8696"/>
                </a:lnTo>
                <a:lnTo>
                  <a:pt x="88046" y="8453"/>
                </a:lnTo>
                <a:lnTo>
                  <a:pt x="86746" y="7071"/>
                </a:lnTo>
                <a:lnTo>
                  <a:pt x="85445" y="5648"/>
                </a:lnTo>
                <a:lnTo>
                  <a:pt x="83840" y="4937"/>
                </a:lnTo>
                <a:lnTo>
                  <a:pt x="90928" y="4937"/>
                </a:lnTo>
                <a:lnTo>
                  <a:pt x="92273" y="6705"/>
                </a:lnTo>
                <a:lnTo>
                  <a:pt x="93207" y="9489"/>
                </a:lnTo>
                <a:lnTo>
                  <a:pt x="93207" y="15422"/>
                </a:lnTo>
                <a:lnTo>
                  <a:pt x="79959" y="33528"/>
                </a:lnTo>
                <a:lnTo>
                  <a:pt x="78272" y="35356"/>
                </a:lnTo>
                <a:lnTo>
                  <a:pt x="77541" y="36332"/>
                </a:lnTo>
                <a:lnTo>
                  <a:pt x="76768" y="37307"/>
                </a:lnTo>
                <a:lnTo>
                  <a:pt x="76139" y="38282"/>
                </a:lnTo>
                <a:lnTo>
                  <a:pt x="75651" y="39258"/>
                </a:lnTo>
                <a:lnTo>
                  <a:pt x="93268" y="39258"/>
                </a:lnTo>
                <a:lnTo>
                  <a:pt x="93268" y="44378"/>
                </a:lnTo>
                <a:close/>
              </a:path>
              <a:path w="176530" h="45720">
                <a:moveTo>
                  <a:pt x="113040" y="45110"/>
                </a:moveTo>
                <a:lnTo>
                  <a:pt x="105765" y="45110"/>
                </a:lnTo>
                <a:lnTo>
                  <a:pt x="102961" y="43444"/>
                </a:lnTo>
                <a:lnTo>
                  <a:pt x="100766" y="40111"/>
                </a:lnTo>
                <a:lnTo>
                  <a:pt x="98612" y="36779"/>
                </a:lnTo>
                <a:lnTo>
                  <a:pt x="97536" y="31028"/>
                </a:lnTo>
                <a:lnTo>
                  <a:pt x="97536" y="15544"/>
                </a:lnTo>
                <a:lnTo>
                  <a:pt x="98511" y="9997"/>
                </a:lnTo>
                <a:lnTo>
                  <a:pt x="101040" y="5120"/>
                </a:lnTo>
                <a:lnTo>
                  <a:pt x="102453" y="2438"/>
                </a:lnTo>
                <a:lnTo>
                  <a:pt x="105359" y="548"/>
                </a:lnTo>
                <a:lnTo>
                  <a:pt x="112593" y="548"/>
                </a:lnTo>
                <a:lnTo>
                  <a:pt x="115295" y="2072"/>
                </a:lnTo>
                <a:lnTo>
                  <a:pt x="117167" y="4937"/>
                </a:lnTo>
                <a:lnTo>
                  <a:pt x="107045" y="4937"/>
                </a:lnTo>
                <a:lnTo>
                  <a:pt x="105427" y="6136"/>
                </a:lnTo>
                <a:lnTo>
                  <a:pt x="102773" y="10932"/>
                </a:lnTo>
                <a:lnTo>
                  <a:pt x="102193" y="14732"/>
                </a:lnTo>
                <a:lnTo>
                  <a:pt x="102203" y="31028"/>
                </a:lnTo>
                <a:lnTo>
                  <a:pt x="107187" y="40721"/>
                </a:lnTo>
                <a:lnTo>
                  <a:pt x="117235" y="40721"/>
                </a:lnTo>
                <a:lnTo>
                  <a:pt x="115945" y="43220"/>
                </a:lnTo>
                <a:lnTo>
                  <a:pt x="113040" y="45110"/>
                </a:lnTo>
                <a:close/>
              </a:path>
              <a:path w="176530" h="45720">
                <a:moveTo>
                  <a:pt x="117235" y="40721"/>
                </a:moveTo>
                <a:lnTo>
                  <a:pt x="111292" y="40721"/>
                </a:lnTo>
                <a:lnTo>
                  <a:pt x="112958" y="39502"/>
                </a:lnTo>
                <a:lnTo>
                  <a:pt x="115641" y="34625"/>
                </a:lnTo>
                <a:lnTo>
                  <a:pt x="116148" y="31028"/>
                </a:lnTo>
                <a:lnTo>
                  <a:pt x="116176" y="14732"/>
                </a:lnTo>
                <a:lnTo>
                  <a:pt x="115641" y="10932"/>
                </a:lnTo>
                <a:lnTo>
                  <a:pt x="114300" y="8534"/>
                </a:lnTo>
                <a:lnTo>
                  <a:pt x="112918" y="6136"/>
                </a:lnTo>
                <a:lnTo>
                  <a:pt x="111150" y="4937"/>
                </a:lnTo>
                <a:lnTo>
                  <a:pt x="117167" y="4937"/>
                </a:lnTo>
                <a:lnTo>
                  <a:pt x="119644" y="8818"/>
                </a:lnTo>
                <a:lnTo>
                  <a:pt x="120822" y="14732"/>
                </a:lnTo>
                <a:lnTo>
                  <a:pt x="120822" y="30134"/>
                </a:lnTo>
                <a:lnTo>
                  <a:pt x="119847" y="35661"/>
                </a:lnTo>
                <a:lnTo>
                  <a:pt x="117235" y="40721"/>
                </a:lnTo>
                <a:close/>
              </a:path>
              <a:path w="176530" h="45720">
                <a:moveTo>
                  <a:pt x="129783" y="13716"/>
                </a:moveTo>
                <a:lnTo>
                  <a:pt x="125272" y="13167"/>
                </a:lnTo>
                <a:lnTo>
                  <a:pt x="125451" y="10871"/>
                </a:lnTo>
                <a:lnTo>
                  <a:pt x="125498" y="10261"/>
                </a:lnTo>
                <a:lnTo>
                  <a:pt x="133604" y="548"/>
                </a:lnTo>
                <a:lnTo>
                  <a:pt x="140634" y="548"/>
                </a:lnTo>
                <a:lnTo>
                  <a:pt x="143398" y="1788"/>
                </a:lnTo>
                <a:lnTo>
                  <a:pt x="145792" y="4937"/>
                </a:lnTo>
                <a:lnTo>
                  <a:pt x="134762" y="4937"/>
                </a:lnTo>
                <a:lnTo>
                  <a:pt x="133166" y="5648"/>
                </a:lnTo>
                <a:lnTo>
                  <a:pt x="132948" y="5831"/>
                </a:lnTo>
                <a:lnTo>
                  <a:pt x="131843" y="7071"/>
                </a:lnTo>
                <a:lnTo>
                  <a:pt x="130434" y="8696"/>
                </a:lnTo>
                <a:lnTo>
                  <a:pt x="129783" y="10871"/>
                </a:lnTo>
                <a:lnTo>
                  <a:pt x="129783" y="13716"/>
                </a:lnTo>
                <a:close/>
              </a:path>
              <a:path w="176530" h="45720">
                <a:moveTo>
                  <a:pt x="148132" y="44378"/>
                </a:moveTo>
                <a:lnTo>
                  <a:pt x="124419" y="44378"/>
                </a:lnTo>
                <a:lnTo>
                  <a:pt x="124378" y="42306"/>
                </a:lnTo>
                <a:lnTo>
                  <a:pt x="137667" y="24160"/>
                </a:lnTo>
                <a:lnTo>
                  <a:pt x="140370" y="20990"/>
                </a:lnTo>
                <a:lnTo>
                  <a:pt x="142930" y="16479"/>
                </a:lnTo>
                <a:lnTo>
                  <a:pt x="143560" y="14406"/>
                </a:lnTo>
                <a:lnTo>
                  <a:pt x="143560" y="10261"/>
                </a:lnTo>
                <a:lnTo>
                  <a:pt x="143100" y="8981"/>
                </a:lnTo>
                <a:lnTo>
                  <a:pt x="142998" y="8696"/>
                </a:lnTo>
                <a:lnTo>
                  <a:pt x="142910" y="8453"/>
                </a:lnTo>
                <a:lnTo>
                  <a:pt x="141610" y="7071"/>
                </a:lnTo>
                <a:lnTo>
                  <a:pt x="140309" y="5648"/>
                </a:lnTo>
                <a:lnTo>
                  <a:pt x="138704" y="4937"/>
                </a:lnTo>
                <a:lnTo>
                  <a:pt x="145792" y="4937"/>
                </a:lnTo>
                <a:lnTo>
                  <a:pt x="147137" y="6705"/>
                </a:lnTo>
                <a:lnTo>
                  <a:pt x="148071" y="9489"/>
                </a:lnTo>
                <a:lnTo>
                  <a:pt x="148071" y="15422"/>
                </a:lnTo>
                <a:lnTo>
                  <a:pt x="134823" y="33528"/>
                </a:lnTo>
                <a:lnTo>
                  <a:pt x="133136" y="35356"/>
                </a:lnTo>
                <a:lnTo>
                  <a:pt x="132405" y="36332"/>
                </a:lnTo>
                <a:lnTo>
                  <a:pt x="131632" y="37307"/>
                </a:lnTo>
                <a:lnTo>
                  <a:pt x="131003" y="38282"/>
                </a:lnTo>
                <a:lnTo>
                  <a:pt x="130515" y="39258"/>
                </a:lnTo>
                <a:lnTo>
                  <a:pt x="148132" y="39258"/>
                </a:lnTo>
                <a:lnTo>
                  <a:pt x="148132" y="44378"/>
                </a:lnTo>
                <a:close/>
              </a:path>
              <a:path w="176530" h="45720">
                <a:moveTo>
                  <a:pt x="157337" y="24383"/>
                </a:moveTo>
                <a:lnTo>
                  <a:pt x="153192" y="23713"/>
                </a:lnTo>
                <a:lnTo>
                  <a:pt x="156667" y="1280"/>
                </a:lnTo>
                <a:lnTo>
                  <a:pt x="174406" y="1280"/>
                </a:lnTo>
                <a:lnTo>
                  <a:pt x="174406" y="6400"/>
                </a:lnTo>
                <a:lnTo>
                  <a:pt x="160141" y="6400"/>
                </a:lnTo>
                <a:lnTo>
                  <a:pt x="158252" y="18227"/>
                </a:lnTo>
                <a:lnTo>
                  <a:pt x="171916" y="18227"/>
                </a:lnTo>
                <a:lnTo>
                  <a:pt x="173605" y="20177"/>
                </a:lnTo>
                <a:lnTo>
                  <a:pt x="162499" y="20177"/>
                </a:lnTo>
                <a:lnTo>
                  <a:pt x="161259" y="20543"/>
                </a:lnTo>
                <a:lnTo>
                  <a:pt x="160080" y="21275"/>
                </a:lnTo>
                <a:lnTo>
                  <a:pt x="158943" y="22047"/>
                </a:lnTo>
                <a:lnTo>
                  <a:pt x="158028" y="23083"/>
                </a:lnTo>
                <a:lnTo>
                  <a:pt x="157337" y="24383"/>
                </a:lnTo>
                <a:close/>
              </a:path>
              <a:path w="176530" h="45720">
                <a:moveTo>
                  <a:pt x="171916" y="18227"/>
                </a:moveTo>
                <a:lnTo>
                  <a:pt x="158252" y="18227"/>
                </a:lnTo>
                <a:lnTo>
                  <a:pt x="160365" y="16357"/>
                </a:lnTo>
                <a:lnTo>
                  <a:pt x="162620" y="15422"/>
                </a:lnTo>
                <a:lnTo>
                  <a:pt x="167985" y="15422"/>
                </a:lnTo>
                <a:lnTo>
                  <a:pt x="170586" y="16703"/>
                </a:lnTo>
                <a:lnTo>
                  <a:pt x="171916" y="18227"/>
                </a:lnTo>
                <a:close/>
              </a:path>
              <a:path w="176530" h="45720">
                <a:moveTo>
                  <a:pt x="172687" y="40721"/>
                </a:moveTo>
                <a:lnTo>
                  <a:pt x="165933" y="40721"/>
                </a:lnTo>
                <a:lnTo>
                  <a:pt x="167188" y="40050"/>
                </a:lnTo>
                <a:lnTo>
                  <a:pt x="167753" y="39725"/>
                </a:lnTo>
                <a:lnTo>
                  <a:pt x="170728" y="35946"/>
                </a:lnTo>
                <a:lnTo>
                  <a:pt x="171480" y="33324"/>
                </a:lnTo>
                <a:lnTo>
                  <a:pt x="171480" y="26903"/>
                </a:lnTo>
                <a:lnTo>
                  <a:pt x="165994" y="20177"/>
                </a:lnTo>
                <a:lnTo>
                  <a:pt x="173605" y="20177"/>
                </a:lnTo>
                <a:lnTo>
                  <a:pt x="175016" y="21823"/>
                </a:lnTo>
                <a:lnTo>
                  <a:pt x="176113" y="25257"/>
                </a:lnTo>
                <a:lnTo>
                  <a:pt x="176113" y="33832"/>
                </a:lnTo>
                <a:lnTo>
                  <a:pt x="175064" y="37327"/>
                </a:lnTo>
                <a:lnTo>
                  <a:pt x="175016" y="37490"/>
                </a:lnTo>
                <a:lnTo>
                  <a:pt x="172687" y="40721"/>
                </a:lnTo>
                <a:close/>
              </a:path>
              <a:path w="176530" h="45720">
                <a:moveTo>
                  <a:pt x="167599" y="45110"/>
                </a:moveTo>
                <a:lnTo>
                  <a:pt x="160771" y="45110"/>
                </a:lnTo>
                <a:lnTo>
                  <a:pt x="158170" y="44033"/>
                </a:lnTo>
                <a:lnTo>
                  <a:pt x="156057" y="41879"/>
                </a:lnTo>
                <a:lnTo>
                  <a:pt x="153903" y="39725"/>
                </a:lnTo>
                <a:lnTo>
                  <a:pt x="152684" y="36738"/>
                </a:lnTo>
                <a:lnTo>
                  <a:pt x="152574" y="35255"/>
                </a:lnTo>
                <a:lnTo>
                  <a:pt x="152468" y="33832"/>
                </a:lnTo>
                <a:lnTo>
                  <a:pt x="152400" y="32918"/>
                </a:lnTo>
                <a:lnTo>
                  <a:pt x="157032" y="32491"/>
                </a:lnTo>
                <a:lnTo>
                  <a:pt x="157398" y="35255"/>
                </a:lnTo>
                <a:lnTo>
                  <a:pt x="158211" y="37327"/>
                </a:lnTo>
                <a:lnTo>
                  <a:pt x="159471" y="38709"/>
                </a:lnTo>
                <a:lnTo>
                  <a:pt x="160731" y="40050"/>
                </a:lnTo>
                <a:lnTo>
                  <a:pt x="162194" y="40721"/>
                </a:lnTo>
                <a:lnTo>
                  <a:pt x="172687" y="40721"/>
                </a:lnTo>
                <a:lnTo>
                  <a:pt x="170586" y="43586"/>
                </a:lnTo>
                <a:lnTo>
                  <a:pt x="167599" y="4511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</xdr:grpSp>
    <xdr:clientData/>
  </xdr:oneCellAnchor>
  <xdr:oneCellAnchor>
    <xdr:from>
      <xdr:col>13</xdr:col>
      <xdr:colOff>43942</xdr:colOff>
      <xdr:row>54</xdr:row>
      <xdr:rowOff>678942</xdr:rowOff>
    </xdr:from>
    <xdr:ext cx="79375" cy="81280"/>
    <xdr:grpSp>
      <xdr:nvGrpSpPr>
        <xdr:cNvPr id="146" name="Group 146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GrpSpPr/>
      </xdr:nvGrpSpPr>
      <xdr:grpSpPr>
        <a:xfrm>
          <a:off x="2044192" y="12127992"/>
          <a:ext cx="79375" cy="81280"/>
          <a:chOff x="0" y="0"/>
          <a:chExt cx="79375" cy="81280"/>
        </a:xfrm>
      </xdr:grpSpPr>
      <xdr:sp macro="" textlink="">
        <xdr:nvSpPr>
          <xdr:cNvPr id="147" name="Shape 147">
            <a:extLst>
              <a:ext uri="{FF2B5EF4-FFF2-40B4-BE49-F238E27FC236}">
                <a16:creationId xmlns:a16="http://schemas.microsoft.com/office/drawing/2014/main" id="{00000000-0008-0000-0000-000093000000}"/>
              </a:ext>
            </a:extLst>
          </xdr:cNvPr>
          <xdr:cNvSpPr/>
        </xdr:nvSpPr>
        <xdr:spPr>
          <a:xfrm>
            <a:off x="2286" y="3810"/>
            <a:ext cx="73660" cy="73660"/>
          </a:xfrm>
          <a:custGeom>
            <a:avLst/>
            <a:gdLst/>
            <a:ahLst/>
            <a:cxnLst/>
            <a:rect l="0" t="0" r="0" b="0"/>
            <a:pathLst>
              <a:path w="73660" h="73660">
                <a:moveTo>
                  <a:pt x="73151" y="73151"/>
                </a:moveTo>
                <a:lnTo>
                  <a:pt x="0" y="73151"/>
                </a:lnTo>
                <a:lnTo>
                  <a:pt x="0" y="0"/>
                </a:lnTo>
                <a:lnTo>
                  <a:pt x="73151" y="0"/>
                </a:lnTo>
                <a:lnTo>
                  <a:pt x="73151" y="73151"/>
                </a:lnTo>
                <a:close/>
              </a:path>
            </a:pathLst>
          </a:custGeom>
          <a:solidFill>
            <a:srgbClr val="425467"/>
          </a:solidFill>
        </xdr:spPr>
      </xdr:sp>
      <xdr:sp macro="" textlink="">
        <xdr:nvSpPr>
          <xdr:cNvPr id="148" name="Shape 148">
            <a:extLst>
              <a:ext uri="{FF2B5EF4-FFF2-40B4-BE49-F238E27FC236}">
                <a16:creationId xmlns:a16="http://schemas.microsoft.com/office/drawing/2014/main" id="{00000000-0008-0000-0000-000094000000}"/>
              </a:ext>
            </a:extLst>
          </xdr:cNvPr>
          <xdr:cNvSpPr/>
        </xdr:nvSpPr>
        <xdr:spPr>
          <a:xfrm>
            <a:off x="3810" y="3810"/>
            <a:ext cx="71755" cy="73660"/>
          </a:xfrm>
          <a:custGeom>
            <a:avLst/>
            <a:gdLst/>
            <a:ahLst/>
            <a:cxnLst/>
            <a:rect l="0" t="0" r="0" b="0"/>
            <a:pathLst>
              <a:path w="71755" h="73660">
                <a:moveTo>
                  <a:pt x="0" y="0"/>
                </a:moveTo>
                <a:lnTo>
                  <a:pt x="71627" y="0"/>
                </a:lnTo>
                <a:lnTo>
                  <a:pt x="71627" y="73151"/>
                </a:lnTo>
                <a:lnTo>
                  <a:pt x="0" y="73151"/>
                </a:lnTo>
                <a:lnTo>
                  <a:pt x="0" y="0"/>
                </a:lnTo>
                <a:close/>
              </a:path>
            </a:pathLst>
          </a:custGeom>
          <a:ln w="7620">
            <a:solidFill>
              <a:srgbClr val="000000"/>
            </a:solidFill>
          </a:ln>
        </xdr:spPr>
      </xdr:sp>
    </xdr:grpSp>
    <xdr:clientData/>
  </xdr:oneCellAnchor>
  <xdr:oneCellAnchor>
    <xdr:from>
      <xdr:col>13</xdr:col>
      <xdr:colOff>43942</xdr:colOff>
      <xdr:row>54</xdr:row>
      <xdr:rowOff>823721</xdr:rowOff>
    </xdr:from>
    <xdr:ext cx="79375" cy="79375"/>
    <xdr:grpSp>
      <xdr:nvGrpSpPr>
        <xdr:cNvPr id="149" name="Group 149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GrpSpPr/>
      </xdr:nvGrpSpPr>
      <xdr:grpSpPr>
        <a:xfrm>
          <a:off x="2044192" y="12272771"/>
          <a:ext cx="79375" cy="79375"/>
          <a:chOff x="0" y="0"/>
          <a:chExt cx="79375" cy="79375"/>
        </a:xfrm>
      </xdr:grpSpPr>
      <xdr:sp macro="" textlink="">
        <xdr:nvSpPr>
          <xdr:cNvPr id="150" name="Shape 150">
            <a:extLst>
              <a:ext uri="{FF2B5EF4-FFF2-40B4-BE49-F238E27FC236}">
                <a16:creationId xmlns:a16="http://schemas.microsoft.com/office/drawing/2014/main" id="{00000000-0008-0000-0000-000096000000}"/>
              </a:ext>
            </a:extLst>
          </xdr:cNvPr>
          <xdr:cNvSpPr/>
        </xdr:nvSpPr>
        <xdr:spPr>
          <a:xfrm>
            <a:off x="2286" y="2286"/>
            <a:ext cx="73660" cy="74930"/>
          </a:xfrm>
          <a:custGeom>
            <a:avLst/>
            <a:gdLst/>
            <a:ahLst/>
            <a:cxnLst/>
            <a:rect l="0" t="0" r="0" b="0"/>
            <a:pathLst>
              <a:path w="73660" h="74930">
                <a:moveTo>
                  <a:pt x="73151" y="74676"/>
                </a:moveTo>
                <a:lnTo>
                  <a:pt x="0" y="74676"/>
                </a:lnTo>
                <a:lnTo>
                  <a:pt x="0" y="0"/>
                </a:lnTo>
                <a:lnTo>
                  <a:pt x="73151" y="0"/>
                </a:lnTo>
                <a:lnTo>
                  <a:pt x="73151" y="74676"/>
                </a:lnTo>
                <a:close/>
              </a:path>
            </a:pathLst>
          </a:custGeom>
          <a:solidFill>
            <a:srgbClr val="85AACD"/>
          </a:solidFill>
        </xdr:spPr>
      </xdr:sp>
      <xdr:sp macro="" textlink="">
        <xdr:nvSpPr>
          <xdr:cNvPr id="151" name="Shape 151">
            <a:extLst>
              <a:ext uri="{FF2B5EF4-FFF2-40B4-BE49-F238E27FC236}">
                <a16:creationId xmlns:a16="http://schemas.microsoft.com/office/drawing/2014/main" id="{00000000-0008-0000-0000-000097000000}"/>
              </a:ext>
            </a:extLst>
          </xdr:cNvPr>
          <xdr:cNvSpPr/>
        </xdr:nvSpPr>
        <xdr:spPr>
          <a:xfrm>
            <a:off x="3810" y="3810"/>
            <a:ext cx="71755" cy="71755"/>
          </a:xfrm>
          <a:custGeom>
            <a:avLst/>
            <a:gdLst/>
            <a:ahLst/>
            <a:cxnLst/>
            <a:rect l="0" t="0" r="0" b="0"/>
            <a:pathLst>
              <a:path w="71755" h="71755">
                <a:moveTo>
                  <a:pt x="0" y="0"/>
                </a:moveTo>
                <a:lnTo>
                  <a:pt x="71627" y="0"/>
                </a:lnTo>
                <a:lnTo>
                  <a:pt x="71627" y="71627"/>
                </a:lnTo>
                <a:lnTo>
                  <a:pt x="0" y="71627"/>
                </a:lnTo>
                <a:lnTo>
                  <a:pt x="0" y="0"/>
                </a:lnTo>
                <a:close/>
              </a:path>
            </a:pathLst>
          </a:custGeom>
          <a:ln w="7620">
            <a:solidFill>
              <a:srgbClr val="000000"/>
            </a:solidFill>
          </a:ln>
        </xdr:spPr>
      </xdr:sp>
    </xdr:grpSp>
    <xdr:clientData/>
  </xdr:oneCellAnchor>
  <xdr:oneCellAnchor>
    <xdr:from>
      <xdr:col>1</xdr:col>
      <xdr:colOff>88900</xdr:colOff>
      <xdr:row>72</xdr:row>
      <xdr:rowOff>0</xdr:rowOff>
    </xdr:from>
    <xdr:ext cx="7035165" cy="1309370"/>
    <xdr:grpSp>
      <xdr:nvGrpSpPr>
        <xdr:cNvPr id="152" name="Group 152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GrpSpPr/>
      </xdr:nvGrpSpPr>
      <xdr:grpSpPr>
        <a:xfrm>
          <a:off x="546100" y="18288000"/>
          <a:ext cx="7035165" cy="1309370"/>
          <a:chOff x="0" y="0"/>
          <a:chExt cx="7035165" cy="1309370"/>
        </a:xfrm>
      </xdr:grpSpPr>
      <xdr:sp macro="" textlink="">
        <xdr:nvSpPr>
          <xdr:cNvPr id="153" name="Shape 153">
            <a:extLst>
              <a:ext uri="{FF2B5EF4-FFF2-40B4-BE49-F238E27FC236}">
                <a16:creationId xmlns:a16="http://schemas.microsoft.com/office/drawing/2014/main" id="{00000000-0008-0000-0000-000099000000}"/>
              </a:ext>
            </a:extLst>
          </xdr:cNvPr>
          <xdr:cNvSpPr/>
        </xdr:nvSpPr>
        <xdr:spPr>
          <a:xfrm>
            <a:off x="5832348" y="289559"/>
            <a:ext cx="1201420" cy="302260"/>
          </a:xfrm>
          <a:custGeom>
            <a:avLst/>
            <a:gdLst/>
            <a:ahLst/>
            <a:cxnLst/>
            <a:rect l="0" t="0" r="0" b="0"/>
            <a:pathLst>
              <a:path w="1201420" h="302260">
                <a:moveTo>
                  <a:pt x="12179" y="143256"/>
                </a:moveTo>
                <a:lnTo>
                  <a:pt x="0" y="143256"/>
                </a:lnTo>
                <a:lnTo>
                  <a:pt x="0" y="292608"/>
                </a:lnTo>
                <a:lnTo>
                  <a:pt x="12179" y="292608"/>
                </a:lnTo>
                <a:lnTo>
                  <a:pt x="12179" y="143256"/>
                </a:lnTo>
                <a:close/>
              </a:path>
              <a:path w="1201420" h="302260">
                <a:moveTo>
                  <a:pt x="1200912" y="0"/>
                </a:moveTo>
                <a:lnTo>
                  <a:pt x="1188720" y="0"/>
                </a:lnTo>
                <a:lnTo>
                  <a:pt x="1188720" y="143256"/>
                </a:lnTo>
                <a:lnTo>
                  <a:pt x="408432" y="143256"/>
                </a:lnTo>
                <a:lnTo>
                  <a:pt x="408419" y="0"/>
                </a:lnTo>
                <a:lnTo>
                  <a:pt x="396240" y="0"/>
                </a:lnTo>
                <a:lnTo>
                  <a:pt x="396240" y="143256"/>
                </a:lnTo>
                <a:lnTo>
                  <a:pt x="394716" y="143268"/>
                </a:lnTo>
                <a:lnTo>
                  <a:pt x="394716" y="301764"/>
                </a:lnTo>
                <a:lnTo>
                  <a:pt x="409956" y="301764"/>
                </a:lnTo>
                <a:lnTo>
                  <a:pt x="409956" y="156972"/>
                </a:lnTo>
                <a:lnTo>
                  <a:pt x="1187196" y="156972"/>
                </a:lnTo>
                <a:lnTo>
                  <a:pt x="1187196" y="301764"/>
                </a:lnTo>
                <a:lnTo>
                  <a:pt x="1200912" y="301764"/>
                </a:lnTo>
                <a:lnTo>
                  <a:pt x="1200912" y="156972"/>
                </a:lnTo>
                <a:lnTo>
                  <a:pt x="1200912" y="143268"/>
                </a:lnTo>
                <a:lnTo>
                  <a:pt x="1200912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154" name="Shape 154">
            <a:extLst>
              <a:ext uri="{FF2B5EF4-FFF2-40B4-BE49-F238E27FC236}">
                <a16:creationId xmlns:a16="http://schemas.microsoft.com/office/drawing/2014/main" id="{00000000-0008-0000-0000-00009A000000}"/>
              </a:ext>
            </a:extLst>
          </xdr:cNvPr>
          <xdr:cNvSpPr/>
        </xdr:nvSpPr>
        <xdr:spPr>
          <a:xfrm>
            <a:off x="6096" y="582168"/>
            <a:ext cx="6228715" cy="144780"/>
          </a:xfrm>
          <a:custGeom>
            <a:avLst/>
            <a:gdLst/>
            <a:ahLst/>
            <a:cxnLst/>
            <a:rect l="0" t="0" r="0" b="0"/>
            <a:pathLst>
              <a:path w="6228715" h="144780">
                <a:moveTo>
                  <a:pt x="0" y="144780"/>
                </a:moveTo>
                <a:lnTo>
                  <a:pt x="6228587" y="144780"/>
                </a:lnTo>
                <a:lnTo>
                  <a:pt x="6228587" y="0"/>
                </a:lnTo>
                <a:lnTo>
                  <a:pt x="0" y="0"/>
                </a:lnTo>
                <a:lnTo>
                  <a:pt x="0" y="144780"/>
                </a:lnTo>
                <a:close/>
              </a:path>
            </a:pathLst>
          </a:custGeom>
          <a:solidFill>
            <a:srgbClr val="EDEDEF"/>
          </a:solidFill>
        </xdr:spPr>
      </xdr:sp>
      <xdr:sp macro="" textlink="">
        <xdr:nvSpPr>
          <xdr:cNvPr id="155" name="Shape 155">
            <a:extLst>
              <a:ext uri="{FF2B5EF4-FFF2-40B4-BE49-F238E27FC236}">
                <a16:creationId xmlns:a16="http://schemas.microsoft.com/office/drawing/2014/main" id="{00000000-0008-0000-0000-00009B000000}"/>
              </a:ext>
            </a:extLst>
          </xdr:cNvPr>
          <xdr:cNvSpPr/>
        </xdr:nvSpPr>
        <xdr:spPr>
          <a:xfrm>
            <a:off x="0" y="577595"/>
            <a:ext cx="6240780" cy="155575"/>
          </a:xfrm>
          <a:custGeom>
            <a:avLst/>
            <a:gdLst/>
            <a:ahLst/>
            <a:cxnLst/>
            <a:rect l="0" t="0" r="0" b="0"/>
            <a:pathLst>
              <a:path w="6240780" h="155575">
                <a:moveTo>
                  <a:pt x="6240780" y="0"/>
                </a:moveTo>
                <a:lnTo>
                  <a:pt x="12192" y="0"/>
                </a:lnTo>
                <a:lnTo>
                  <a:pt x="0" y="0"/>
                </a:lnTo>
                <a:lnTo>
                  <a:pt x="0" y="155448"/>
                </a:lnTo>
                <a:lnTo>
                  <a:pt x="12192" y="155448"/>
                </a:lnTo>
                <a:lnTo>
                  <a:pt x="12192" y="149364"/>
                </a:lnTo>
                <a:lnTo>
                  <a:pt x="6240780" y="149364"/>
                </a:lnTo>
                <a:lnTo>
                  <a:pt x="6240780" y="143256"/>
                </a:lnTo>
                <a:lnTo>
                  <a:pt x="12192" y="143256"/>
                </a:lnTo>
                <a:lnTo>
                  <a:pt x="12192" y="12192"/>
                </a:lnTo>
                <a:lnTo>
                  <a:pt x="6240780" y="12192"/>
                </a:lnTo>
                <a:lnTo>
                  <a:pt x="6240780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156" name="Shape 156">
            <a:extLst>
              <a:ext uri="{FF2B5EF4-FFF2-40B4-BE49-F238E27FC236}">
                <a16:creationId xmlns:a16="http://schemas.microsoft.com/office/drawing/2014/main" id="{00000000-0008-0000-0000-00009C000000}"/>
              </a:ext>
            </a:extLst>
          </xdr:cNvPr>
          <xdr:cNvSpPr/>
        </xdr:nvSpPr>
        <xdr:spPr>
          <a:xfrm>
            <a:off x="6233159" y="582168"/>
            <a:ext cx="794385" cy="144780"/>
          </a:xfrm>
          <a:custGeom>
            <a:avLst/>
            <a:gdLst/>
            <a:ahLst/>
            <a:cxnLst/>
            <a:rect l="0" t="0" r="0" b="0"/>
            <a:pathLst>
              <a:path w="794385" h="144780">
                <a:moveTo>
                  <a:pt x="0" y="144780"/>
                </a:moveTo>
                <a:lnTo>
                  <a:pt x="794003" y="144780"/>
                </a:lnTo>
                <a:lnTo>
                  <a:pt x="794003" y="0"/>
                </a:lnTo>
                <a:lnTo>
                  <a:pt x="0" y="0"/>
                </a:lnTo>
                <a:lnTo>
                  <a:pt x="0" y="144780"/>
                </a:lnTo>
                <a:close/>
              </a:path>
            </a:pathLst>
          </a:custGeom>
          <a:solidFill>
            <a:srgbClr val="EDEDEF"/>
          </a:solidFill>
        </xdr:spPr>
      </xdr:sp>
      <xdr:sp macro="" textlink="">
        <xdr:nvSpPr>
          <xdr:cNvPr id="157" name="Shape 157">
            <a:extLst>
              <a:ext uri="{FF2B5EF4-FFF2-40B4-BE49-F238E27FC236}">
                <a16:creationId xmlns:a16="http://schemas.microsoft.com/office/drawing/2014/main" id="{00000000-0008-0000-0000-00009D000000}"/>
              </a:ext>
            </a:extLst>
          </xdr:cNvPr>
          <xdr:cNvSpPr/>
        </xdr:nvSpPr>
        <xdr:spPr>
          <a:xfrm>
            <a:off x="6228575" y="577595"/>
            <a:ext cx="805180" cy="155575"/>
          </a:xfrm>
          <a:custGeom>
            <a:avLst/>
            <a:gdLst/>
            <a:ahLst/>
            <a:cxnLst/>
            <a:rect l="0" t="0" r="0" b="0"/>
            <a:pathLst>
              <a:path w="805180" h="155575">
                <a:moveTo>
                  <a:pt x="78232" y="80467"/>
                </a:moveTo>
                <a:lnTo>
                  <a:pt x="72453" y="67716"/>
                </a:lnTo>
                <a:lnTo>
                  <a:pt x="70739" y="65862"/>
                </a:lnTo>
                <a:lnTo>
                  <a:pt x="69900" y="65252"/>
                </a:lnTo>
                <a:lnTo>
                  <a:pt x="69900" y="89331"/>
                </a:lnTo>
                <a:lnTo>
                  <a:pt x="68961" y="92557"/>
                </a:lnTo>
                <a:lnTo>
                  <a:pt x="64808" y="98044"/>
                </a:lnTo>
                <a:lnTo>
                  <a:pt x="62255" y="99644"/>
                </a:lnTo>
                <a:lnTo>
                  <a:pt x="59207" y="100088"/>
                </a:lnTo>
                <a:lnTo>
                  <a:pt x="59207" y="70269"/>
                </a:lnTo>
                <a:lnTo>
                  <a:pt x="69900" y="89331"/>
                </a:lnTo>
                <a:lnTo>
                  <a:pt x="69900" y="65252"/>
                </a:lnTo>
                <a:lnTo>
                  <a:pt x="68707" y="64376"/>
                </a:lnTo>
                <a:lnTo>
                  <a:pt x="65214" y="62738"/>
                </a:lnTo>
                <a:lnTo>
                  <a:pt x="62852" y="61925"/>
                </a:lnTo>
                <a:lnTo>
                  <a:pt x="59207" y="60820"/>
                </a:lnTo>
                <a:lnTo>
                  <a:pt x="59207" y="59372"/>
                </a:lnTo>
                <a:lnTo>
                  <a:pt x="59207" y="32562"/>
                </a:lnTo>
                <a:lnTo>
                  <a:pt x="64401" y="33896"/>
                </a:lnTo>
                <a:lnTo>
                  <a:pt x="67449" y="38188"/>
                </a:lnTo>
                <a:lnTo>
                  <a:pt x="67500" y="38671"/>
                </a:lnTo>
                <a:lnTo>
                  <a:pt x="67576" y="39268"/>
                </a:lnTo>
                <a:lnTo>
                  <a:pt x="67640" y="39827"/>
                </a:lnTo>
                <a:lnTo>
                  <a:pt x="68338" y="45466"/>
                </a:lnTo>
                <a:lnTo>
                  <a:pt x="76568" y="43903"/>
                </a:lnTo>
                <a:lnTo>
                  <a:pt x="76047" y="39827"/>
                </a:lnTo>
                <a:lnTo>
                  <a:pt x="75006" y="36410"/>
                </a:lnTo>
                <a:lnTo>
                  <a:pt x="72771" y="32448"/>
                </a:lnTo>
                <a:lnTo>
                  <a:pt x="71894" y="30848"/>
                </a:lnTo>
                <a:lnTo>
                  <a:pt x="69964" y="28702"/>
                </a:lnTo>
                <a:lnTo>
                  <a:pt x="67665" y="27216"/>
                </a:lnTo>
                <a:lnTo>
                  <a:pt x="65366" y="25654"/>
                </a:lnTo>
                <a:lnTo>
                  <a:pt x="62547" y="24701"/>
                </a:lnTo>
                <a:lnTo>
                  <a:pt x="59207" y="24320"/>
                </a:lnTo>
                <a:lnTo>
                  <a:pt x="59207" y="19646"/>
                </a:lnTo>
                <a:lnTo>
                  <a:pt x="54432" y="19646"/>
                </a:lnTo>
                <a:lnTo>
                  <a:pt x="54432" y="24320"/>
                </a:lnTo>
                <a:lnTo>
                  <a:pt x="54432" y="32448"/>
                </a:lnTo>
                <a:lnTo>
                  <a:pt x="54432" y="59372"/>
                </a:lnTo>
                <a:lnTo>
                  <a:pt x="47675" y="56921"/>
                </a:lnTo>
                <a:lnTo>
                  <a:pt x="44310" y="52476"/>
                </a:lnTo>
                <a:lnTo>
                  <a:pt x="44310" y="42316"/>
                </a:lnTo>
                <a:lnTo>
                  <a:pt x="45237" y="39268"/>
                </a:lnTo>
                <a:lnTo>
                  <a:pt x="48945" y="34518"/>
                </a:lnTo>
                <a:lnTo>
                  <a:pt x="51384" y="33045"/>
                </a:lnTo>
                <a:lnTo>
                  <a:pt x="54432" y="32448"/>
                </a:lnTo>
                <a:lnTo>
                  <a:pt x="54432" y="24320"/>
                </a:lnTo>
                <a:lnTo>
                  <a:pt x="38633" y="35344"/>
                </a:lnTo>
                <a:lnTo>
                  <a:pt x="37071" y="38671"/>
                </a:lnTo>
                <a:lnTo>
                  <a:pt x="36944" y="39268"/>
                </a:lnTo>
                <a:lnTo>
                  <a:pt x="36830" y="39827"/>
                </a:lnTo>
                <a:lnTo>
                  <a:pt x="36309" y="42316"/>
                </a:lnTo>
                <a:lnTo>
                  <a:pt x="54432" y="68935"/>
                </a:lnTo>
                <a:lnTo>
                  <a:pt x="54432" y="100088"/>
                </a:lnTo>
                <a:lnTo>
                  <a:pt x="51689" y="99796"/>
                </a:lnTo>
                <a:lnTo>
                  <a:pt x="49276" y="98272"/>
                </a:lnTo>
                <a:lnTo>
                  <a:pt x="47193" y="95529"/>
                </a:lnTo>
                <a:lnTo>
                  <a:pt x="45046" y="92786"/>
                </a:lnTo>
                <a:lnTo>
                  <a:pt x="44970" y="92557"/>
                </a:lnTo>
                <a:lnTo>
                  <a:pt x="43637" y="88480"/>
                </a:lnTo>
                <a:lnTo>
                  <a:pt x="42964" y="82626"/>
                </a:lnTo>
                <a:lnTo>
                  <a:pt x="34963" y="84505"/>
                </a:lnTo>
                <a:lnTo>
                  <a:pt x="44196" y="104648"/>
                </a:lnTo>
                <a:lnTo>
                  <a:pt x="46647" y="106426"/>
                </a:lnTo>
                <a:lnTo>
                  <a:pt x="50050" y="107657"/>
                </a:lnTo>
                <a:lnTo>
                  <a:pt x="53695" y="108204"/>
                </a:lnTo>
                <a:lnTo>
                  <a:pt x="54432" y="108204"/>
                </a:lnTo>
                <a:lnTo>
                  <a:pt x="54432" y="118110"/>
                </a:lnTo>
                <a:lnTo>
                  <a:pt x="59207" y="118110"/>
                </a:lnTo>
                <a:lnTo>
                  <a:pt x="59207" y="108204"/>
                </a:lnTo>
                <a:lnTo>
                  <a:pt x="64554" y="107911"/>
                </a:lnTo>
                <a:lnTo>
                  <a:pt x="69075" y="105537"/>
                </a:lnTo>
                <a:lnTo>
                  <a:pt x="73609" y="100088"/>
                </a:lnTo>
                <a:lnTo>
                  <a:pt x="76415" y="96710"/>
                </a:lnTo>
                <a:lnTo>
                  <a:pt x="78232" y="90995"/>
                </a:lnTo>
                <a:lnTo>
                  <a:pt x="78232" y="80467"/>
                </a:lnTo>
                <a:close/>
              </a:path>
              <a:path w="805180" h="155575">
                <a:moveTo>
                  <a:pt x="804684" y="0"/>
                </a:moveTo>
                <a:lnTo>
                  <a:pt x="792492" y="0"/>
                </a:lnTo>
                <a:lnTo>
                  <a:pt x="156984" y="0"/>
                </a:lnTo>
                <a:lnTo>
                  <a:pt x="12" y="0"/>
                </a:lnTo>
                <a:lnTo>
                  <a:pt x="0" y="12192"/>
                </a:lnTo>
                <a:lnTo>
                  <a:pt x="156984" y="12192"/>
                </a:lnTo>
                <a:lnTo>
                  <a:pt x="792492" y="12192"/>
                </a:lnTo>
                <a:lnTo>
                  <a:pt x="792492" y="143256"/>
                </a:lnTo>
                <a:lnTo>
                  <a:pt x="156984" y="143256"/>
                </a:lnTo>
                <a:lnTo>
                  <a:pt x="12" y="143256"/>
                </a:lnTo>
                <a:lnTo>
                  <a:pt x="0" y="149364"/>
                </a:lnTo>
                <a:lnTo>
                  <a:pt x="156984" y="149364"/>
                </a:lnTo>
                <a:lnTo>
                  <a:pt x="792492" y="149364"/>
                </a:lnTo>
                <a:lnTo>
                  <a:pt x="792492" y="155448"/>
                </a:lnTo>
                <a:lnTo>
                  <a:pt x="804684" y="155448"/>
                </a:lnTo>
                <a:lnTo>
                  <a:pt x="804684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158" name="Shape 158">
            <a:extLst>
              <a:ext uri="{FF2B5EF4-FFF2-40B4-BE49-F238E27FC236}">
                <a16:creationId xmlns:a16="http://schemas.microsoft.com/office/drawing/2014/main" id="{00000000-0008-0000-0000-00009E000000}"/>
              </a:ext>
            </a:extLst>
          </xdr:cNvPr>
          <xdr:cNvSpPr/>
        </xdr:nvSpPr>
        <xdr:spPr>
          <a:xfrm>
            <a:off x="6121472" y="604584"/>
            <a:ext cx="48895" cy="80010"/>
          </a:xfrm>
          <a:custGeom>
            <a:avLst/>
            <a:gdLst/>
            <a:ahLst/>
            <a:cxnLst/>
            <a:rect l="0" t="0" r="0" b="0"/>
            <a:pathLst>
              <a:path w="48895" h="80010">
                <a:moveTo>
                  <a:pt x="48728" y="79656"/>
                </a:moveTo>
                <a:lnTo>
                  <a:pt x="0" y="79656"/>
                </a:lnTo>
                <a:lnTo>
                  <a:pt x="0" y="0"/>
                </a:lnTo>
                <a:lnTo>
                  <a:pt x="47170" y="0"/>
                </a:lnTo>
                <a:lnTo>
                  <a:pt x="47170" y="9345"/>
                </a:lnTo>
                <a:lnTo>
                  <a:pt x="8677" y="9345"/>
                </a:lnTo>
                <a:lnTo>
                  <a:pt x="8677" y="33820"/>
                </a:lnTo>
                <a:lnTo>
                  <a:pt x="44834" y="33820"/>
                </a:lnTo>
                <a:lnTo>
                  <a:pt x="44834" y="43165"/>
                </a:lnTo>
                <a:lnTo>
                  <a:pt x="8677" y="43165"/>
                </a:lnTo>
                <a:lnTo>
                  <a:pt x="8677" y="70311"/>
                </a:lnTo>
                <a:lnTo>
                  <a:pt x="48728" y="70311"/>
                </a:lnTo>
                <a:lnTo>
                  <a:pt x="48728" y="79656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159" name="Shape 159">
            <a:extLst>
              <a:ext uri="{FF2B5EF4-FFF2-40B4-BE49-F238E27FC236}">
                <a16:creationId xmlns:a16="http://schemas.microsoft.com/office/drawing/2014/main" id="{00000000-0008-0000-0000-00009F000000}"/>
              </a:ext>
            </a:extLst>
          </xdr:cNvPr>
          <xdr:cNvSpPr/>
        </xdr:nvSpPr>
        <xdr:spPr>
          <a:xfrm>
            <a:off x="6121908" y="603504"/>
            <a:ext cx="48895" cy="79375"/>
          </a:xfrm>
          <a:custGeom>
            <a:avLst/>
            <a:gdLst/>
            <a:ahLst/>
            <a:cxnLst/>
            <a:rect l="0" t="0" r="0" b="0"/>
            <a:pathLst>
              <a:path w="48895" h="79375">
                <a:moveTo>
                  <a:pt x="48768" y="79248"/>
                </a:moveTo>
                <a:lnTo>
                  <a:pt x="48768" y="70104"/>
                </a:lnTo>
                <a:lnTo>
                  <a:pt x="7620" y="70104"/>
                </a:lnTo>
                <a:lnTo>
                  <a:pt x="7620" y="42672"/>
                </a:lnTo>
                <a:lnTo>
                  <a:pt x="44196" y="42672"/>
                </a:lnTo>
                <a:lnTo>
                  <a:pt x="44196" y="33528"/>
                </a:lnTo>
                <a:lnTo>
                  <a:pt x="7620" y="33528"/>
                </a:lnTo>
                <a:lnTo>
                  <a:pt x="7620" y="9144"/>
                </a:lnTo>
                <a:lnTo>
                  <a:pt x="47244" y="9144"/>
                </a:lnTo>
                <a:lnTo>
                  <a:pt x="47244" y="0"/>
                </a:lnTo>
                <a:lnTo>
                  <a:pt x="0" y="0"/>
                </a:lnTo>
                <a:lnTo>
                  <a:pt x="0" y="79248"/>
                </a:lnTo>
                <a:lnTo>
                  <a:pt x="48768" y="79248"/>
                </a:lnTo>
                <a:close/>
              </a:path>
            </a:pathLst>
          </a:custGeom>
          <a:ln w="4572">
            <a:solidFill>
              <a:srgbClr val="FFFFFF"/>
            </a:solidFill>
          </a:ln>
        </xdr:spPr>
      </xdr:sp>
      <xdr:sp macro="" textlink="">
        <xdr:nvSpPr>
          <xdr:cNvPr id="160" name="Shape 160">
            <a:extLst>
              <a:ext uri="{FF2B5EF4-FFF2-40B4-BE49-F238E27FC236}">
                <a16:creationId xmlns:a16="http://schemas.microsoft.com/office/drawing/2014/main" id="{00000000-0008-0000-0000-0000A0000000}"/>
              </a:ext>
            </a:extLst>
          </xdr:cNvPr>
          <xdr:cNvSpPr/>
        </xdr:nvSpPr>
        <xdr:spPr>
          <a:xfrm>
            <a:off x="6096" y="726948"/>
            <a:ext cx="7021195" cy="144780"/>
          </a:xfrm>
          <a:custGeom>
            <a:avLst/>
            <a:gdLst/>
            <a:ahLst/>
            <a:cxnLst/>
            <a:rect l="0" t="0" r="0" b="0"/>
            <a:pathLst>
              <a:path w="7021195" h="144780">
                <a:moveTo>
                  <a:pt x="7021067" y="144779"/>
                </a:moveTo>
                <a:lnTo>
                  <a:pt x="0" y="144779"/>
                </a:lnTo>
                <a:lnTo>
                  <a:pt x="0" y="0"/>
                </a:lnTo>
                <a:lnTo>
                  <a:pt x="7021067" y="0"/>
                </a:lnTo>
                <a:lnTo>
                  <a:pt x="7021067" y="144779"/>
                </a:lnTo>
                <a:close/>
              </a:path>
            </a:pathLst>
          </a:custGeom>
          <a:solidFill>
            <a:srgbClr val="97979E"/>
          </a:solidFill>
        </xdr:spPr>
      </xdr:sp>
      <xdr:sp macro="" textlink="">
        <xdr:nvSpPr>
          <xdr:cNvPr id="161" name="Shape 161">
            <a:extLst>
              <a:ext uri="{FF2B5EF4-FFF2-40B4-BE49-F238E27FC236}">
                <a16:creationId xmlns:a16="http://schemas.microsoft.com/office/drawing/2014/main" id="{00000000-0008-0000-0000-0000A1000000}"/>
              </a:ext>
            </a:extLst>
          </xdr:cNvPr>
          <xdr:cNvSpPr/>
        </xdr:nvSpPr>
        <xdr:spPr>
          <a:xfrm>
            <a:off x="-12" y="720597"/>
            <a:ext cx="7033895" cy="302260"/>
          </a:xfrm>
          <a:custGeom>
            <a:avLst/>
            <a:gdLst/>
            <a:ahLst/>
            <a:cxnLst/>
            <a:rect l="0" t="0" r="0" b="0"/>
            <a:pathLst>
              <a:path w="7033895" h="302260">
                <a:moveTo>
                  <a:pt x="7033273" y="0"/>
                </a:moveTo>
                <a:lnTo>
                  <a:pt x="7019557" y="0"/>
                </a:lnTo>
                <a:lnTo>
                  <a:pt x="7019557" y="12700"/>
                </a:lnTo>
                <a:lnTo>
                  <a:pt x="7019557" y="143522"/>
                </a:lnTo>
                <a:lnTo>
                  <a:pt x="7019557" y="144780"/>
                </a:lnTo>
                <a:lnTo>
                  <a:pt x="6242316" y="144780"/>
                </a:lnTo>
                <a:lnTo>
                  <a:pt x="6242316" y="143522"/>
                </a:lnTo>
                <a:lnTo>
                  <a:pt x="6227076" y="143522"/>
                </a:lnTo>
                <a:lnTo>
                  <a:pt x="6227076" y="144780"/>
                </a:lnTo>
                <a:lnTo>
                  <a:pt x="12204" y="144780"/>
                </a:lnTo>
                <a:lnTo>
                  <a:pt x="12204" y="145034"/>
                </a:lnTo>
                <a:lnTo>
                  <a:pt x="6108" y="145034"/>
                </a:lnTo>
                <a:lnTo>
                  <a:pt x="6108" y="144780"/>
                </a:lnTo>
                <a:lnTo>
                  <a:pt x="12204" y="144780"/>
                </a:lnTo>
                <a:lnTo>
                  <a:pt x="12204" y="12700"/>
                </a:lnTo>
                <a:lnTo>
                  <a:pt x="7019557" y="12700"/>
                </a:lnTo>
                <a:lnTo>
                  <a:pt x="7019557" y="0"/>
                </a:lnTo>
                <a:lnTo>
                  <a:pt x="0" y="0"/>
                </a:lnTo>
                <a:lnTo>
                  <a:pt x="0" y="12700"/>
                </a:lnTo>
                <a:lnTo>
                  <a:pt x="0" y="144780"/>
                </a:lnTo>
                <a:lnTo>
                  <a:pt x="0" y="151130"/>
                </a:lnTo>
                <a:lnTo>
                  <a:pt x="0" y="157480"/>
                </a:lnTo>
                <a:lnTo>
                  <a:pt x="6227076" y="157480"/>
                </a:lnTo>
                <a:lnTo>
                  <a:pt x="6227076" y="302018"/>
                </a:lnTo>
                <a:lnTo>
                  <a:pt x="6242316" y="302018"/>
                </a:lnTo>
                <a:lnTo>
                  <a:pt x="6242316" y="157480"/>
                </a:lnTo>
                <a:lnTo>
                  <a:pt x="7019557" y="157480"/>
                </a:lnTo>
                <a:lnTo>
                  <a:pt x="7019557" y="302018"/>
                </a:lnTo>
                <a:lnTo>
                  <a:pt x="7033273" y="302018"/>
                </a:lnTo>
                <a:lnTo>
                  <a:pt x="7033273" y="157480"/>
                </a:lnTo>
                <a:lnTo>
                  <a:pt x="7033273" y="151130"/>
                </a:lnTo>
                <a:lnTo>
                  <a:pt x="7033273" y="144780"/>
                </a:lnTo>
                <a:lnTo>
                  <a:pt x="7033273" y="143522"/>
                </a:lnTo>
                <a:lnTo>
                  <a:pt x="7033273" y="12700"/>
                </a:lnTo>
                <a:lnTo>
                  <a:pt x="7033273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162" name="Shape 162">
            <a:extLst>
              <a:ext uri="{FF2B5EF4-FFF2-40B4-BE49-F238E27FC236}">
                <a16:creationId xmlns:a16="http://schemas.microsoft.com/office/drawing/2014/main" id="{00000000-0008-0000-0000-0000A2000000}"/>
              </a:ext>
            </a:extLst>
          </xdr:cNvPr>
          <xdr:cNvSpPr/>
        </xdr:nvSpPr>
        <xdr:spPr>
          <a:xfrm>
            <a:off x="6096" y="1014983"/>
            <a:ext cx="6228715" cy="143510"/>
          </a:xfrm>
          <a:custGeom>
            <a:avLst/>
            <a:gdLst/>
            <a:ahLst/>
            <a:cxnLst/>
            <a:rect l="0" t="0" r="0" b="0"/>
            <a:pathLst>
              <a:path w="6228715" h="143510">
                <a:moveTo>
                  <a:pt x="0" y="143255"/>
                </a:moveTo>
                <a:lnTo>
                  <a:pt x="6228587" y="143255"/>
                </a:lnTo>
                <a:lnTo>
                  <a:pt x="6228587" y="0"/>
                </a:lnTo>
                <a:lnTo>
                  <a:pt x="0" y="0"/>
                </a:lnTo>
                <a:lnTo>
                  <a:pt x="0" y="143255"/>
                </a:lnTo>
                <a:close/>
              </a:path>
            </a:pathLst>
          </a:custGeom>
          <a:solidFill>
            <a:srgbClr val="EDEDEF"/>
          </a:solidFill>
        </xdr:spPr>
      </xdr:sp>
      <xdr:sp macro="" textlink="">
        <xdr:nvSpPr>
          <xdr:cNvPr id="163" name="Shape 163">
            <a:extLst>
              <a:ext uri="{FF2B5EF4-FFF2-40B4-BE49-F238E27FC236}">
                <a16:creationId xmlns:a16="http://schemas.microsoft.com/office/drawing/2014/main" id="{00000000-0008-0000-0000-0000A3000000}"/>
              </a:ext>
            </a:extLst>
          </xdr:cNvPr>
          <xdr:cNvSpPr/>
        </xdr:nvSpPr>
        <xdr:spPr>
          <a:xfrm>
            <a:off x="0" y="1008887"/>
            <a:ext cx="6240780" cy="157480"/>
          </a:xfrm>
          <a:custGeom>
            <a:avLst/>
            <a:gdLst/>
            <a:ahLst/>
            <a:cxnLst/>
            <a:rect l="0" t="0" r="0" b="0"/>
            <a:pathLst>
              <a:path w="6240780" h="157480">
                <a:moveTo>
                  <a:pt x="6240780" y="0"/>
                </a:moveTo>
                <a:lnTo>
                  <a:pt x="12192" y="0"/>
                </a:lnTo>
                <a:lnTo>
                  <a:pt x="0" y="0"/>
                </a:lnTo>
                <a:lnTo>
                  <a:pt x="0" y="156972"/>
                </a:lnTo>
                <a:lnTo>
                  <a:pt x="12192" y="156972"/>
                </a:lnTo>
                <a:lnTo>
                  <a:pt x="12192" y="149352"/>
                </a:lnTo>
                <a:lnTo>
                  <a:pt x="6240780" y="149352"/>
                </a:lnTo>
                <a:lnTo>
                  <a:pt x="6240780" y="144780"/>
                </a:lnTo>
                <a:lnTo>
                  <a:pt x="12192" y="144780"/>
                </a:lnTo>
                <a:lnTo>
                  <a:pt x="12192" y="12192"/>
                </a:lnTo>
                <a:lnTo>
                  <a:pt x="6240780" y="12192"/>
                </a:lnTo>
                <a:lnTo>
                  <a:pt x="6240780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164" name="Shape 164">
            <a:extLst>
              <a:ext uri="{FF2B5EF4-FFF2-40B4-BE49-F238E27FC236}">
                <a16:creationId xmlns:a16="http://schemas.microsoft.com/office/drawing/2014/main" id="{00000000-0008-0000-0000-0000A4000000}"/>
              </a:ext>
            </a:extLst>
          </xdr:cNvPr>
          <xdr:cNvSpPr/>
        </xdr:nvSpPr>
        <xdr:spPr>
          <a:xfrm>
            <a:off x="6233159" y="1014983"/>
            <a:ext cx="794385" cy="143510"/>
          </a:xfrm>
          <a:custGeom>
            <a:avLst/>
            <a:gdLst/>
            <a:ahLst/>
            <a:cxnLst/>
            <a:rect l="0" t="0" r="0" b="0"/>
            <a:pathLst>
              <a:path w="794385" h="143510">
                <a:moveTo>
                  <a:pt x="0" y="143255"/>
                </a:moveTo>
                <a:lnTo>
                  <a:pt x="794003" y="143255"/>
                </a:lnTo>
                <a:lnTo>
                  <a:pt x="794003" y="0"/>
                </a:lnTo>
                <a:lnTo>
                  <a:pt x="0" y="0"/>
                </a:lnTo>
                <a:lnTo>
                  <a:pt x="0" y="143255"/>
                </a:lnTo>
                <a:close/>
              </a:path>
            </a:pathLst>
          </a:custGeom>
          <a:solidFill>
            <a:srgbClr val="EDEDEF"/>
          </a:solidFill>
        </xdr:spPr>
      </xdr:sp>
      <xdr:sp macro="" textlink="">
        <xdr:nvSpPr>
          <xdr:cNvPr id="165" name="Shape 165">
            <a:extLst>
              <a:ext uri="{FF2B5EF4-FFF2-40B4-BE49-F238E27FC236}">
                <a16:creationId xmlns:a16="http://schemas.microsoft.com/office/drawing/2014/main" id="{00000000-0008-0000-0000-0000A5000000}"/>
              </a:ext>
            </a:extLst>
          </xdr:cNvPr>
          <xdr:cNvSpPr/>
        </xdr:nvSpPr>
        <xdr:spPr>
          <a:xfrm>
            <a:off x="6228575" y="1008887"/>
            <a:ext cx="805180" cy="157480"/>
          </a:xfrm>
          <a:custGeom>
            <a:avLst/>
            <a:gdLst/>
            <a:ahLst/>
            <a:cxnLst/>
            <a:rect l="0" t="0" r="0" b="0"/>
            <a:pathLst>
              <a:path w="805180" h="157480">
                <a:moveTo>
                  <a:pt x="78232" y="82054"/>
                </a:moveTo>
                <a:lnTo>
                  <a:pt x="72453" y="69303"/>
                </a:lnTo>
                <a:lnTo>
                  <a:pt x="70739" y="67449"/>
                </a:lnTo>
                <a:lnTo>
                  <a:pt x="69900" y="66840"/>
                </a:lnTo>
                <a:lnTo>
                  <a:pt x="69900" y="90919"/>
                </a:lnTo>
                <a:lnTo>
                  <a:pt x="68961" y="94145"/>
                </a:lnTo>
                <a:lnTo>
                  <a:pt x="64808" y="99631"/>
                </a:lnTo>
                <a:lnTo>
                  <a:pt x="62255" y="101231"/>
                </a:lnTo>
                <a:lnTo>
                  <a:pt x="59207" y="101676"/>
                </a:lnTo>
                <a:lnTo>
                  <a:pt x="59207" y="71856"/>
                </a:lnTo>
                <a:lnTo>
                  <a:pt x="69900" y="90919"/>
                </a:lnTo>
                <a:lnTo>
                  <a:pt x="69900" y="66840"/>
                </a:lnTo>
                <a:lnTo>
                  <a:pt x="68707" y="65963"/>
                </a:lnTo>
                <a:lnTo>
                  <a:pt x="65214" y="64338"/>
                </a:lnTo>
                <a:lnTo>
                  <a:pt x="62852" y="63512"/>
                </a:lnTo>
                <a:lnTo>
                  <a:pt x="59207" y="62407"/>
                </a:lnTo>
                <a:lnTo>
                  <a:pt x="59207" y="60960"/>
                </a:lnTo>
                <a:lnTo>
                  <a:pt x="59207" y="34150"/>
                </a:lnTo>
                <a:lnTo>
                  <a:pt x="64401" y="35483"/>
                </a:lnTo>
                <a:lnTo>
                  <a:pt x="67449" y="39789"/>
                </a:lnTo>
                <a:lnTo>
                  <a:pt x="67500" y="40271"/>
                </a:lnTo>
                <a:lnTo>
                  <a:pt x="67576" y="40855"/>
                </a:lnTo>
                <a:lnTo>
                  <a:pt x="67640" y="41414"/>
                </a:lnTo>
                <a:lnTo>
                  <a:pt x="68338" y="47053"/>
                </a:lnTo>
                <a:lnTo>
                  <a:pt x="76568" y="45491"/>
                </a:lnTo>
                <a:lnTo>
                  <a:pt x="76047" y="41414"/>
                </a:lnTo>
                <a:lnTo>
                  <a:pt x="75006" y="37998"/>
                </a:lnTo>
                <a:lnTo>
                  <a:pt x="72771" y="34036"/>
                </a:lnTo>
                <a:lnTo>
                  <a:pt x="71894" y="32435"/>
                </a:lnTo>
                <a:lnTo>
                  <a:pt x="69964" y="30289"/>
                </a:lnTo>
                <a:lnTo>
                  <a:pt x="67665" y="28803"/>
                </a:lnTo>
                <a:lnTo>
                  <a:pt x="65366" y="27254"/>
                </a:lnTo>
                <a:lnTo>
                  <a:pt x="62547" y="26289"/>
                </a:lnTo>
                <a:lnTo>
                  <a:pt x="59207" y="25920"/>
                </a:lnTo>
                <a:lnTo>
                  <a:pt x="59207" y="21247"/>
                </a:lnTo>
                <a:lnTo>
                  <a:pt x="54432" y="21247"/>
                </a:lnTo>
                <a:lnTo>
                  <a:pt x="54432" y="25920"/>
                </a:lnTo>
                <a:lnTo>
                  <a:pt x="54432" y="34036"/>
                </a:lnTo>
                <a:lnTo>
                  <a:pt x="54432" y="60960"/>
                </a:lnTo>
                <a:lnTo>
                  <a:pt x="47675" y="58508"/>
                </a:lnTo>
                <a:lnTo>
                  <a:pt x="44310" y="54063"/>
                </a:lnTo>
                <a:lnTo>
                  <a:pt x="44310" y="43903"/>
                </a:lnTo>
                <a:lnTo>
                  <a:pt x="45237" y="40855"/>
                </a:lnTo>
                <a:lnTo>
                  <a:pt x="48945" y="36106"/>
                </a:lnTo>
                <a:lnTo>
                  <a:pt x="51384" y="34632"/>
                </a:lnTo>
                <a:lnTo>
                  <a:pt x="54432" y="34036"/>
                </a:lnTo>
                <a:lnTo>
                  <a:pt x="54432" y="25920"/>
                </a:lnTo>
                <a:lnTo>
                  <a:pt x="38633" y="36931"/>
                </a:lnTo>
                <a:lnTo>
                  <a:pt x="37071" y="40271"/>
                </a:lnTo>
                <a:lnTo>
                  <a:pt x="36944" y="40855"/>
                </a:lnTo>
                <a:lnTo>
                  <a:pt x="36830" y="41414"/>
                </a:lnTo>
                <a:lnTo>
                  <a:pt x="36309" y="43903"/>
                </a:lnTo>
                <a:lnTo>
                  <a:pt x="54432" y="70523"/>
                </a:lnTo>
                <a:lnTo>
                  <a:pt x="54432" y="101676"/>
                </a:lnTo>
                <a:lnTo>
                  <a:pt x="51689" y="101384"/>
                </a:lnTo>
                <a:lnTo>
                  <a:pt x="49276" y="99860"/>
                </a:lnTo>
                <a:lnTo>
                  <a:pt x="47193" y="97116"/>
                </a:lnTo>
                <a:lnTo>
                  <a:pt x="45046" y="94373"/>
                </a:lnTo>
                <a:lnTo>
                  <a:pt x="44970" y="94145"/>
                </a:lnTo>
                <a:lnTo>
                  <a:pt x="43637" y="90068"/>
                </a:lnTo>
                <a:lnTo>
                  <a:pt x="42964" y="84213"/>
                </a:lnTo>
                <a:lnTo>
                  <a:pt x="34963" y="86106"/>
                </a:lnTo>
                <a:lnTo>
                  <a:pt x="44196" y="106235"/>
                </a:lnTo>
                <a:lnTo>
                  <a:pt x="46647" y="108013"/>
                </a:lnTo>
                <a:lnTo>
                  <a:pt x="50050" y="109245"/>
                </a:lnTo>
                <a:lnTo>
                  <a:pt x="53695" y="109804"/>
                </a:lnTo>
                <a:lnTo>
                  <a:pt x="54432" y="109804"/>
                </a:lnTo>
                <a:lnTo>
                  <a:pt x="54432" y="119697"/>
                </a:lnTo>
                <a:lnTo>
                  <a:pt x="59207" y="119697"/>
                </a:lnTo>
                <a:lnTo>
                  <a:pt x="59207" y="109804"/>
                </a:lnTo>
                <a:lnTo>
                  <a:pt x="64554" y="109499"/>
                </a:lnTo>
                <a:lnTo>
                  <a:pt x="69075" y="107124"/>
                </a:lnTo>
                <a:lnTo>
                  <a:pt x="73609" y="101676"/>
                </a:lnTo>
                <a:lnTo>
                  <a:pt x="76415" y="98298"/>
                </a:lnTo>
                <a:lnTo>
                  <a:pt x="78232" y="92595"/>
                </a:lnTo>
                <a:lnTo>
                  <a:pt x="78232" y="82054"/>
                </a:lnTo>
                <a:close/>
              </a:path>
              <a:path w="805180" h="157480">
                <a:moveTo>
                  <a:pt x="804684" y="0"/>
                </a:moveTo>
                <a:lnTo>
                  <a:pt x="792492" y="0"/>
                </a:lnTo>
                <a:lnTo>
                  <a:pt x="156984" y="0"/>
                </a:lnTo>
                <a:lnTo>
                  <a:pt x="12" y="0"/>
                </a:lnTo>
                <a:lnTo>
                  <a:pt x="0" y="12192"/>
                </a:lnTo>
                <a:lnTo>
                  <a:pt x="156984" y="12192"/>
                </a:lnTo>
                <a:lnTo>
                  <a:pt x="792492" y="12192"/>
                </a:lnTo>
                <a:lnTo>
                  <a:pt x="792492" y="144780"/>
                </a:lnTo>
                <a:lnTo>
                  <a:pt x="156984" y="144780"/>
                </a:lnTo>
                <a:lnTo>
                  <a:pt x="12" y="144780"/>
                </a:lnTo>
                <a:lnTo>
                  <a:pt x="0" y="149352"/>
                </a:lnTo>
                <a:lnTo>
                  <a:pt x="156984" y="149352"/>
                </a:lnTo>
                <a:lnTo>
                  <a:pt x="792492" y="149352"/>
                </a:lnTo>
                <a:lnTo>
                  <a:pt x="792492" y="156972"/>
                </a:lnTo>
                <a:lnTo>
                  <a:pt x="804684" y="156972"/>
                </a:lnTo>
                <a:lnTo>
                  <a:pt x="804684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166" name="Shape 166">
            <a:extLst>
              <a:ext uri="{FF2B5EF4-FFF2-40B4-BE49-F238E27FC236}">
                <a16:creationId xmlns:a16="http://schemas.microsoft.com/office/drawing/2014/main" id="{00000000-0008-0000-0000-0000A6000000}"/>
              </a:ext>
            </a:extLst>
          </xdr:cNvPr>
          <xdr:cNvSpPr/>
        </xdr:nvSpPr>
        <xdr:spPr>
          <a:xfrm>
            <a:off x="6125032" y="1037466"/>
            <a:ext cx="44450" cy="80010"/>
          </a:xfrm>
          <a:custGeom>
            <a:avLst/>
            <a:gdLst/>
            <a:ahLst/>
            <a:cxnLst/>
            <a:rect l="0" t="0" r="0" b="0"/>
            <a:pathLst>
              <a:path w="44450" h="80010">
                <a:moveTo>
                  <a:pt x="8677" y="79656"/>
                </a:moveTo>
                <a:lnTo>
                  <a:pt x="0" y="79656"/>
                </a:lnTo>
                <a:lnTo>
                  <a:pt x="0" y="0"/>
                </a:lnTo>
                <a:lnTo>
                  <a:pt x="44055" y="0"/>
                </a:lnTo>
                <a:lnTo>
                  <a:pt x="44055" y="9345"/>
                </a:lnTo>
                <a:lnTo>
                  <a:pt x="8677" y="9345"/>
                </a:lnTo>
                <a:lnTo>
                  <a:pt x="8677" y="34154"/>
                </a:lnTo>
                <a:lnTo>
                  <a:pt x="39271" y="34154"/>
                </a:lnTo>
                <a:lnTo>
                  <a:pt x="39271" y="43499"/>
                </a:lnTo>
                <a:lnTo>
                  <a:pt x="8677" y="43499"/>
                </a:lnTo>
                <a:lnTo>
                  <a:pt x="8677" y="79656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167" name="Shape 167">
            <a:extLst>
              <a:ext uri="{FF2B5EF4-FFF2-40B4-BE49-F238E27FC236}">
                <a16:creationId xmlns:a16="http://schemas.microsoft.com/office/drawing/2014/main" id="{00000000-0008-0000-0000-0000A7000000}"/>
              </a:ext>
            </a:extLst>
          </xdr:cNvPr>
          <xdr:cNvSpPr/>
        </xdr:nvSpPr>
        <xdr:spPr>
          <a:xfrm>
            <a:off x="6124955" y="1034796"/>
            <a:ext cx="44450" cy="81280"/>
          </a:xfrm>
          <a:custGeom>
            <a:avLst/>
            <a:gdLst/>
            <a:ahLst/>
            <a:cxnLst/>
            <a:rect l="0" t="0" r="0" b="0"/>
            <a:pathLst>
              <a:path w="44450" h="81280">
                <a:moveTo>
                  <a:pt x="7620" y="80772"/>
                </a:moveTo>
                <a:lnTo>
                  <a:pt x="7620" y="44196"/>
                </a:lnTo>
                <a:lnTo>
                  <a:pt x="39624" y="44196"/>
                </a:lnTo>
                <a:lnTo>
                  <a:pt x="39624" y="35052"/>
                </a:lnTo>
                <a:lnTo>
                  <a:pt x="7620" y="35052"/>
                </a:lnTo>
                <a:lnTo>
                  <a:pt x="7620" y="9144"/>
                </a:lnTo>
                <a:lnTo>
                  <a:pt x="44196" y="9144"/>
                </a:lnTo>
                <a:lnTo>
                  <a:pt x="44196" y="0"/>
                </a:lnTo>
                <a:lnTo>
                  <a:pt x="0" y="0"/>
                </a:lnTo>
                <a:lnTo>
                  <a:pt x="0" y="80772"/>
                </a:lnTo>
                <a:lnTo>
                  <a:pt x="7620" y="80772"/>
                </a:lnTo>
                <a:close/>
              </a:path>
            </a:pathLst>
          </a:custGeom>
          <a:ln w="4572">
            <a:solidFill>
              <a:srgbClr val="FFFFFF"/>
            </a:solidFill>
          </a:ln>
        </xdr:spPr>
      </xdr:sp>
      <xdr:sp macro="" textlink="">
        <xdr:nvSpPr>
          <xdr:cNvPr id="168" name="Shape 168">
            <a:extLst>
              <a:ext uri="{FF2B5EF4-FFF2-40B4-BE49-F238E27FC236}">
                <a16:creationId xmlns:a16="http://schemas.microsoft.com/office/drawing/2014/main" id="{00000000-0008-0000-0000-0000A8000000}"/>
              </a:ext>
            </a:extLst>
          </xdr:cNvPr>
          <xdr:cNvSpPr/>
        </xdr:nvSpPr>
        <xdr:spPr>
          <a:xfrm>
            <a:off x="6096" y="1158239"/>
            <a:ext cx="7021195" cy="146685"/>
          </a:xfrm>
          <a:custGeom>
            <a:avLst/>
            <a:gdLst/>
            <a:ahLst/>
            <a:cxnLst/>
            <a:rect l="0" t="0" r="0" b="0"/>
            <a:pathLst>
              <a:path w="7021195" h="146685">
                <a:moveTo>
                  <a:pt x="7021067" y="146304"/>
                </a:moveTo>
                <a:lnTo>
                  <a:pt x="0" y="146304"/>
                </a:lnTo>
                <a:lnTo>
                  <a:pt x="0" y="0"/>
                </a:lnTo>
                <a:lnTo>
                  <a:pt x="7021067" y="0"/>
                </a:lnTo>
                <a:lnTo>
                  <a:pt x="7021067" y="146304"/>
                </a:lnTo>
                <a:close/>
              </a:path>
            </a:pathLst>
          </a:custGeom>
          <a:solidFill>
            <a:srgbClr val="97979E"/>
          </a:solidFill>
        </xdr:spPr>
      </xdr:sp>
      <xdr:sp macro="" textlink="">
        <xdr:nvSpPr>
          <xdr:cNvPr id="169" name="Shape 169">
            <a:extLst>
              <a:ext uri="{FF2B5EF4-FFF2-40B4-BE49-F238E27FC236}">
                <a16:creationId xmlns:a16="http://schemas.microsoft.com/office/drawing/2014/main" id="{00000000-0008-0000-0000-0000A9000000}"/>
              </a:ext>
            </a:extLst>
          </xdr:cNvPr>
          <xdr:cNvSpPr/>
        </xdr:nvSpPr>
        <xdr:spPr>
          <a:xfrm>
            <a:off x="-12" y="1153159"/>
            <a:ext cx="7033895" cy="156210"/>
          </a:xfrm>
          <a:custGeom>
            <a:avLst/>
            <a:gdLst/>
            <a:ahLst/>
            <a:cxnLst/>
            <a:rect l="0" t="0" r="0" b="0"/>
            <a:pathLst>
              <a:path w="7033895" h="156210">
                <a:moveTo>
                  <a:pt x="7033273" y="0"/>
                </a:moveTo>
                <a:lnTo>
                  <a:pt x="7019557" y="0"/>
                </a:lnTo>
                <a:lnTo>
                  <a:pt x="7019557" y="12700"/>
                </a:lnTo>
                <a:lnTo>
                  <a:pt x="7019557" y="143510"/>
                </a:lnTo>
                <a:lnTo>
                  <a:pt x="12204" y="143510"/>
                </a:lnTo>
                <a:lnTo>
                  <a:pt x="12204" y="143764"/>
                </a:lnTo>
                <a:lnTo>
                  <a:pt x="6108" y="143764"/>
                </a:lnTo>
                <a:lnTo>
                  <a:pt x="6108" y="143510"/>
                </a:lnTo>
                <a:lnTo>
                  <a:pt x="12204" y="143510"/>
                </a:lnTo>
                <a:lnTo>
                  <a:pt x="12204" y="12700"/>
                </a:lnTo>
                <a:lnTo>
                  <a:pt x="7019557" y="12700"/>
                </a:lnTo>
                <a:lnTo>
                  <a:pt x="7019557" y="0"/>
                </a:lnTo>
                <a:lnTo>
                  <a:pt x="0" y="0"/>
                </a:lnTo>
                <a:lnTo>
                  <a:pt x="0" y="12700"/>
                </a:lnTo>
                <a:lnTo>
                  <a:pt x="0" y="143510"/>
                </a:lnTo>
                <a:lnTo>
                  <a:pt x="0" y="149860"/>
                </a:lnTo>
                <a:lnTo>
                  <a:pt x="0" y="156210"/>
                </a:lnTo>
                <a:lnTo>
                  <a:pt x="7033273" y="156210"/>
                </a:lnTo>
                <a:lnTo>
                  <a:pt x="7033273" y="149860"/>
                </a:lnTo>
                <a:lnTo>
                  <a:pt x="7033273" y="143510"/>
                </a:lnTo>
                <a:lnTo>
                  <a:pt x="7033273" y="12700"/>
                </a:lnTo>
                <a:lnTo>
                  <a:pt x="7033273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id="170" name="image83.jpeg">
            <a:extLst>
              <a:ext uri="{FF2B5EF4-FFF2-40B4-BE49-F238E27FC236}">
                <a16:creationId xmlns:a16="http://schemas.microsoft.com/office/drawing/2014/main" id="{00000000-0008-0000-0000-0000A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034783" cy="591312"/>
          </a:xfrm>
          <a:prstGeom prst="rect">
            <a:avLst/>
          </a:prstGeom>
        </xdr:spPr>
      </xdr:pic>
      <xdr:pic>
        <xdr:nvPicPr>
          <xdr:cNvPr id="171" name="image84.png">
            <a:extLst>
              <a:ext uri="{FF2B5EF4-FFF2-40B4-BE49-F238E27FC236}">
                <a16:creationId xmlns:a16="http://schemas.microsoft.com/office/drawing/2014/main" id="{00000000-0008-0000-0000-0000A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65632"/>
            <a:ext cx="12192" cy="155448"/>
          </a:xfrm>
          <a:prstGeom prst="rect">
            <a:avLst/>
          </a:prstGeom>
        </xdr:spPr>
      </xdr:pic>
      <xdr:pic>
        <xdr:nvPicPr>
          <xdr:cNvPr id="172" name="image85.png">
            <a:extLst>
              <a:ext uri="{FF2B5EF4-FFF2-40B4-BE49-F238E27FC236}">
                <a16:creationId xmlns:a16="http://schemas.microsoft.com/office/drawing/2014/main" id="{00000000-0008-0000-0000-0000A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2751" y="865632"/>
            <a:ext cx="15240" cy="155448"/>
          </a:xfrm>
          <a:prstGeom prst="rect">
            <a:avLst/>
          </a:prstGeom>
        </xdr:spPr>
      </xdr:pic>
      <xdr:pic>
        <xdr:nvPicPr>
          <xdr:cNvPr id="173" name="image85.png">
            <a:extLst>
              <a:ext uri="{FF2B5EF4-FFF2-40B4-BE49-F238E27FC236}">
                <a16:creationId xmlns:a16="http://schemas.microsoft.com/office/drawing/2014/main" id="{00000000-0008-0000-0000-0000A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58824" y="865632"/>
            <a:ext cx="15239" cy="155448"/>
          </a:xfrm>
          <a:prstGeom prst="rect">
            <a:avLst/>
          </a:prstGeom>
        </xdr:spPr>
      </xdr:pic>
      <xdr:pic>
        <xdr:nvPicPr>
          <xdr:cNvPr id="174" name="image86.png">
            <a:extLst>
              <a:ext uri="{FF2B5EF4-FFF2-40B4-BE49-F238E27FC236}">
                <a16:creationId xmlns:a16="http://schemas.microsoft.com/office/drawing/2014/main" id="{00000000-0008-0000-0000-0000A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083808" y="576072"/>
            <a:ext cx="121920" cy="158496"/>
          </a:xfrm>
          <a:prstGeom prst="rect">
            <a:avLst/>
          </a:prstGeom>
        </xdr:spPr>
      </xdr:pic>
      <xdr:pic>
        <xdr:nvPicPr>
          <xdr:cNvPr id="175" name="image87.png">
            <a:extLst>
              <a:ext uri="{FF2B5EF4-FFF2-40B4-BE49-F238E27FC236}">
                <a16:creationId xmlns:a16="http://schemas.microsoft.com/office/drawing/2014/main" id="{00000000-0008-0000-0000-0000A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830823" y="862583"/>
            <a:ext cx="411479" cy="304800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88900</xdr:colOff>
      <xdr:row>73</xdr:row>
      <xdr:rowOff>0</xdr:rowOff>
    </xdr:from>
    <xdr:ext cx="7027545" cy="273050"/>
    <xdr:grpSp>
      <xdr:nvGrpSpPr>
        <xdr:cNvPr id="176" name="Group 176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GrpSpPr/>
      </xdr:nvGrpSpPr>
      <xdr:grpSpPr>
        <a:xfrm>
          <a:off x="546100" y="19602450"/>
          <a:ext cx="7027545" cy="273050"/>
          <a:chOff x="0" y="0"/>
          <a:chExt cx="7027545" cy="273050"/>
        </a:xfrm>
      </xdr:grpSpPr>
      <xdr:sp macro="" textlink="">
        <xdr:nvSpPr>
          <xdr:cNvPr id="177" name="Shape 177">
            <a:extLst>
              <a:ext uri="{FF2B5EF4-FFF2-40B4-BE49-F238E27FC236}">
                <a16:creationId xmlns:a16="http://schemas.microsoft.com/office/drawing/2014/main" id="{00000000-0008-0000-0000-0000B1000000}"/>
              </a:ext>
            </a:extLst>
          </xdr:cNvPr>
          <xdr:cNvSpPr/>
        </xdr:nvSpPr>
        <xdr:spPr>
          <a:xfrm>
            <a:off x="6263540" y="0"/>
            <a:ext cx="43815" cy="99060"/>
          </a:xfrm>
          <a:custGeom>
            <a:avLst/>
            <a:gdLst/>
            <a:ahLst/>
            <a:cxnLst/>
            <a:rect l="0" t="0" r="0" b="0"/>
            <a:pathLst>
              <a:path w="43815" h="99060">
                <a:moveTo>
                  <a:pt x="24252" y="80435"/>
                </a:moveTo>
                <a:lnTo>
                  <a:pt x="19469" y="80435"/>
                </a:lnTo>
                <a:lnTo>
                  <a:pt x="19469" y="49284"/>
                </a:lnTo>
                <a:lnTo>
                  <a:pt x="15909" y="48468"/>
                </a:lnTo>
                <a:lnTo>
                  <a:pt x="1335" y="30816"/>
                </a:lnTo>
                <a:lnTo>
                  <a:pt x="1350" y="22658"/>
                </a:lnTo>
                <a:lnTo>
                  <a:pt x="1872" y="20173"/>
                </a:lnTo>
                <a:lnTo>
                  <a:pt x="1989" y="19617"/>
                </a:lnTo>
                <a:lnTo>
                  <a:pt x="2113" y="19024"/>
                </a:lnTo>
                <a:lnTo>
                  <a:pt x="3671" y="15686"/>
                </a:lnTo>
                <a:lnTo>
                  <a:pt x="5154" y="12348"/>
                </a:lnTo>
                <a:lnTo>
                  <a:pt x="7157" y="9790"/>
                </a:lnTo>
                <a:lnTo>
                  <a:pt x="12126" y="6304"/>
                </a:lnTo>
                <a:lnTo>
                  <a:pt x="15389" y="5191"/>
                </a:lnTo>
                <a:lnTo>
                  <a:pt x="19469" y="4672"/>
                </a:lnTo>
                <a:lnTo>
                  <a:pt x="19469" y="0"/>
                </a:lnTo>
                <a:lnTo>
                  <a:pt x="24252" y="0"/>
                </a:lnTo>
                <a:lnTo>
                  <a:pt x="24252" y="4672"/>
                </a:lnTo>
                <a:lnTo>
                  <a:pt x="27590" y="5043"/>
                </a:lnTo>
                <a:lnTo>
                  <a:pt x="30408" y="6007"/>
                </a:lnTo>
                <a:lnTo>
                  <a:pt x="32708" y="7565"/>
                </a:lnTo>
                <a:lnTo>
                  <a:pt x="35007" y="9048"/>
                </a:lnTo>
                <a:lnTo>
                  <a:pt x="36935" y="11199"/>
                </a:lnTo>
                <a:lnTo>
                  <a:pt x="37816" y="12793"/>
                </a:lnTo>
                <a:lnTo>
                  <a:pt x="19469" y="12793"/>
                </a:lnTo>
                <a:lnTo>
                  <a:pt x="16428" y="13387"/>
                </a:lnTo>
                <a:lnTo>
                  <a:pt x="13980" y="14870"/>
                </a:lnTo>
                <a:lnTo>
                  <a:pt x="10272" y="19617"/>
                </a:lnTo>
                <a:lnTo>
                  <a:pt x="9345" y="22658"/>
                </a:lnTo>
                <a:lnTo>
                  <a:pt x="9345" y="32819"/>
                </a:lnTo>
                <a:lnTo>
                  <a:pt x="12719" y="37269"/>
                </a:lnTo>
                <a:lnTo>
                  <a:pt x="19469" y="39716"/>
                </a:lnTo>
                <a:lnTo>
                  <a:pt x="24252" y="39716"/>
                </a:lnTo>
                <a:lnTo>
                  <a:pt x="24252" y="41163"/>
                </a:lnTo>
                <a:lnTo>
                  <a:pt x="37491" y="48060"/>
                </a:lnTo>
                <a:lnTo>
                  <a:pt x="39271" y="49915"/>
                </a:lnTo>
                <a:lnTo>
                  <a:pt x="39703" y="50619"/>
                </a:lnTo>
                <a:lnTo>
                  <a:pt x="24252" y="50619"/>
                </a:lnTo>
                <a:lnTo>
                  <a:pt x="24252" y="80435"/>
                </a:lnTo>
                <a:close/>
              </a:path>
              <a:path w="43815" h="99060">
                <a:moveTo>
                  <a:pt x="24252" y="39716"/>
                </a:moveTo>
                <a:lnTo>
                  <a:pt x="19469" y="39716"/>
                </a:lnTo>
                <a:lnTo>
                  <a:pt x="19469" y="12793"/>
                </a:lnTo>
                <a:lnTo>
                  <a:pt x="24252" y="12793"/>
                </a:lnTo>
                <a:lnTo>
                  <a:pt x="24252" y="39716"/>
                </a:lnTo>
                <a:close/>
              </a:path>
              <a:path w="43815" h="99060">
                <a:moveTo>
                  <a:pt x="33375" y="25810"/>
                </a:moveTo>
                <a:lnTo>
                  <a:pt x="32685" y="20173"/>
                </a:lnTo>
                <a:lnTo>
                  <a:pt x="32617" y="19617"/>
                </a:lnTo>
                <a:lnTo>
                  <a:pt x="32544" y="19024"/>
                </a:lnTo>
                <a:lnTo>
                  <a:pt x="32485" y="18541"/>
                </a:lnTo>
                <a:lnTo>
                  <a:pt x="29444" y="14240"/>
                </a:lnTo>
                <a:lnTo>
                  <a:pt x="23820" y="12793"/>
                </a:lnTo>
                <a:lnTo>
                  <a:pt x="37816" y="12793"/>
                </a:lnTo>
                <a:lnTo>
                  <a:pt x="40050" y="16761"/>
                </a:lnTo>
                <a:lnTo>
                  <a:pt x="41089" y="20173"/>
                </a:lnTo>
                <a:lnTo>
                  <a:pt x="41608" y="24252"/>
                </a:lnTo>
                <a:lnTo>
                  <a:pt x="33375" y="25810"/>
                </a:lnTo>
                <a:close/>
              </a:path>
              <a:path w="43815" h="99060">
                <a:moveTo>
                  <a:pt x="38652" y="80435"/>
                </a:moveTo>
                <a:lnTo>
                  <a:pt x="24252" y="80435"/>
                </a:lnTo>
                <a:lnTo>
                  <a:pt x="27293" y="79990"/>
                </a:lnTo>
                <a:lnTo>
                  <a:pt x="29852" y="78395"/>
                </a:lnTo>
                <a:lnTo>
                  <a:pt x="34006" y="72907"/>
                </a:lnTo>
                <a:lnTo>
                  <a:pt x="34937" y="69680"/>
                </a:lnTo>
                <a:lnTo>
                  <a:pt x="34934" y="60817"/>
                </a:lnTo>
                <a:lnTo>
                  <a:pt x="24252" y="50619"/>
                </a:lnTo>
                <a:lnTo>
                  <a:pt x="39703" y="50619"/>
                </a:lnTo>
                <a:lnTo>
                  <a:pt x="40681" y="52214"/>
                </a:lnTo>
                <a:lnTo>
                  <a:pt x="42757" y="57702"/>
                </a:lnTo>
                <a:lnTo>
                  <a:pt x="43277" y="60817"/>
                </a:lnTo>
                <a:lnTo>
                  <a:pt x="43277" y="71349"/>
                </a:lnTo>
                <a:lnTo>
                  <a:pt x="41459" y="77060"/>
                </a:lnTo>
                <a:lnTo>
                  <a:pt x="38652" y="80435"/>
                </a:lnTo>
                <a:close/>
              </a:path>
              <a:path w="43815" h="99060">
                <a:moveTo>
                  <a:pt x="24252" y="98458"/>
                </a:moveTo>
                <a:lnTo>
                  <a:pt x="19469" y="98458"/>
                </a:lnTo>
                <a:lnTo>
                  <a:pt x="19469" y="88556"/>
                </a:lnTo>
                <a:lnTo>
                  <a:pt x="18739" y="88556"/>
                </a:lnTo>
                <a:lnTo>
                  <a:pt x="15093" y="88000"/>
                </a:lnTo>
                <a:lnTo>
                  <a:pt x="11681" y="86776"/>
                </a:lnTo>
                <a:lnTo>
                  <a:pt x="9233" y="84996"/>
                </a:lnTo>
                <a:lnTo>
                  <a:pt x="6712" y="83216"/>
                </a:lnTo>
                <a:lnTo>
                  <a:pt x="0" y="64859"/>
                </a:lnTo>
                <a:lnTo>
                  <a:pt x="8010" y="62968"/>
                </a:lnTo>
                <a:lnTo>
                  <a:pt x="8677" y="68827"/>
                </a:lnTo>
                <a:lnTo>
                  <a:pt x="10013" y="72907"/>
                </a:lnTo>
                <a:lnTo>
                  <a:pt x="10086" y="73129"/>
                </a:lnTo>
                <a:lnTo>
                  <a:pt x="12237" y="75873"/>
                </a:lnTo>
                <a:lnTo>
                  <a:pt x="14314" y="78618"/>
                </a:lnTo>
                <a:lnTo>
                  <a:pt x="16724" y="80138"/>
                </a:lnTo>
                <a:lnTo>
                  <a:pt x="19469" y="80435"/>
                </a:lnTo>
                <a:lnTo>
                  <a:pt x="38652" y="80435"/>
                </a:lnTo>
                <a:lnTo>
                  <a:pt x="34117" y="85886"/>
                </a:lnTo>
                <a:lnTo>
                  <a:pt x="29593" y="88259"/>
                </a:lnTo>
                <a:lnTo>
                  <a:pt x="24252" y="88556"/>
                </a:lnTo>
                <a:lnTo>
                  <a:pt x="24252" y="98458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178" name="Shape 178">
            <a:extLst>
              <a:ext uri="{FF2B5EF4-FFF2-40B4-BE49-F238E27FC236}">
                <a16:creationId xmlns:a16="http://schemas.microsoft.com/office/drawing/2014/main" id="{00000000-0008-0000-0000-0000B2000000}"/>
              </a:ext>
            </a:extLst>
          </xdr:cNvPr>
          <xdr:cNvSpPr/>
        </xdr:nvSpPr>
        <xdr:spPr>
          <a:xfrm>
            <a:off x="6095" y="122006"/>
            <a:ext cx="6228715" cy="146685"/>
          </a:xfrm>
          <a:custGeom>
            <a:avLst/>
            <a:gdLst/>
            <a:ahLst/>
            <a:cxnLst/>
            <a:rect l="0" t="0" r="0" b="0"/>
            <a:pathLst>
              <a:path w="6228715" h="146685">
                <a:moveTo>
                  <a:pt x="6228587" y="146304"/>
                </a:moveTo>
                <a:lnTo>
                  <a:pt x="0" y="146304"/>
                </a:lnTo>
                <a:lnTo>
                  <a:pt x="0" y="0"/>
                </a:lnTo>
                <a:lnTo>
                  <a:pt x="6228587" y="0"/>
                </a:lnTo>
                <a:lnTo>
                  <a:pt x="6228587" y="146304"/>
                </a:lnTo>
                <a:close/>
              </a:path>
            </a:pathLst>
          </a:custGeom>
          <a:solidFill>
            <a:srgbClr val="EDEDEF"/>
          </a:solidFill>
        </xdr:spPr>
      </xdr:sp>
      <xdr:sp macro="" textlink="">
        <xdr:nvSpPr>
          <xdr:cNvPr id="179" name="Shape 179">
            <a:extLst>
              <a:ext uri="{FF2B5EF4-FFF2-40B4-BE49-F238E27FC236}">
                <a16:creationId xmlns:a16="http://schemas.microsoft.com/office/drawing/2014/main" id="{00000000-0008-0000-0000-0000B3000000}"/>
              </a:ext>
            </a:extLst>
          </xdr:cNvPr>
          <xdr:cNvSpPr/>
        </xdr:nvSpPr>
        <xdr:spPr>
          <a:xfrm>
            <a:off x="0" y="117434"/>
            <a:ext cx="12700" cy="155575"/>
          </a:xfrm>
          <a:custGeom>
            <a:avLst/>
            <a:gdLst/>
            <a:ahLst/>
            <a:cxnLst/>
            <a:rect l="0" t="0" r="0" b="0"/>
            <a:pathLst>
              <a:path w="12700" h="155575">
                <a:moveTo>
                  <a:pt x="12192" y="155448"/>
                </a:moveTo>
                <a:lnTo>
                  <a:pt x="0" y="155448"/>
                </a:lnTo>
                <a:lnTo>
                  <a:pt x="0" y="0"/>
                </a:lnTo>
                <a:lnTo>
                  <a:pt x="12192" y="0"/>
                </a:lnTo>
                <a:lnTo>
                  <a:pt x="12192" y="155448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id="180" name="image88.png">
            <a:extLst>
              <a:ext uri="{FF2B5EF4-FFF2-40B4-BE49-F238E27FC236}">
                <a16:creationId xmlns:a16="http://schemas.microsoft.com/office/drawing/2014/main" id="{00000000-0008-0000-0000-0000B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830573" y="139532"/>
            <a:ext cx="530352" cy="88392"/>
          </a:xfrm>
          <a:prstGeom prst="rect">
            <a:avLst/>
          </a:prstGeom>
        </xdr:spPr>
      </xdr:pic>
      <xdr:sp macro="" textlink="">
        <xdr:nvSpPr>
          <xdr:cNvPr id="181" name="Shape 181">
            <a:extLst>
              <a:ext uri="{FF2B5EF4-FFF2-40B4-BE49-F238E27FC236}">
                <a16:creationId xmlns:a16="http://schemas.microsoft.com/office/drawing/2014/main" id="{00000000-0008-0000-0000-0000B5000000}"/>
              </a:ext>
            </a:extLst>
          </xdr:cNvPr>
          <xdr:cNvSpPr/>
        </xdr:nvSpPr>
        <xdr:spPr>
          <a:xfrm>
            <a:off x="6233159" y="122006"/>
            <a:ext cx="794385" cy="146685"/>
          </a:xfrm>
          <a:custGeom>
            <a:avLst/>
            <a:gdLst/>
            <a:ahLst/>
            <a:cxnLst/>
            <a:rect l="0" t="0" r="0" b="0"/>
            <a:pathLst>
              <a:path w="794385" h="146685">
                <a:moveTo>
                  <a:pt x="794003" y="146304"/>
                </a:moveTo>
                <a:lnTo>
                  <a:pt x="0" y="146304"/>
                </a:lnTo>
                <a:lnTo>
                  <a:pt x="0" y="0"/>
                </a:lnTo>
                <a:lnTo>
                  <a:pt x="794003" y="0"/>
                </a:lnTo>
                <a:lnTo>
                  <a:pt x="794003" y="146304"/>
                </a:lnTo>
                <a:close/>
              </a:path>
            </a:pathLst>
          </a:custGeom>
          <a:solidFill>
            <a:srgbClr val="EDEDEF"/>
          </a:solidFill>
        </xdr:spPr>
      </xdr:sp>
      <xdr:sp macro="" textlink="">
        <xdr:nvSpPr>
          <xdr:cNvPr id="182" name="Shape 182">
            <a:extLst>
              <a:ext uri="{FF2B5EF4-FFF2-40B4-BE49-F238E27FC236}">
                <a16:creationId xmlns:a16="http://schemas.microsoft.com/office/drawing/2014/main" id="{00000000-0008-0000-0000-0000B6000000}"/>
              </a:ext>
            </a:extLst>
          </xdr:cNvPr>
          <xdr:cNvSpPr/>
        </xdr:nvSpPr>
        <xdr:spPr>
          <a:xfrm>
            <a:off x="6263540" y="137062"/>
            <a:ext cx="43815" cy="99060"/>
          </a:xfrm>
          <a:custGeom>
            <a:avLst/>
            <a:gdLst/>
            <a:ahLst/>
            <a:cxnLst/>
            <a:rect l="0" t="0" r="0" b="0"/>
            <a:pathLst>
              <a:path w="43815" h="99060">
                <a:moveTo>
                  <a:pt x="24252" y="80435"/>
                </a:moveTo>
                <a:lnTo>
                  <a:pt x="19469" y="80435"/>
                </a:lnTo>
                <a:lnTo>
                  <a:pt x="19469" y="49284"/>
                </a:lnTo>
                <a:lnTo>
                  <a:pt x="15909" y="48468"/>
                </a:lnTo>
                <a:lnTo>
                  <a:pt x="1335" y="30816"/>
                </a:lnTo>
                <a:lnTo>
                  <a:pt x="1350" y="22658"/>
                </a:lnTo>
                <a:lnTo>
                  <a:pt x="1872" y="20173"/>
                </a:lnTo>
                <a:lnTo>
                  <a:pt x="1989" y="19617"/>
                </a:lnTo>
                <a:lnTo>
                  <a:pt x="2113" y="19024"/>
                </a:lnTo>
                <a:lnTo>
                  <a:pt x="3671" y="15686"/>
                </a:lnTo>
                <a:lnTo>
                  <a:pt x="5154" y="12348"/>
                </a:lnTo>
                <a:lnTo>
                  <a:pt x="7157" y="9790"/>
                </a:lnTo>
                <a:lnTo>
                  <a:pt x="12126" y="6304"/>
                </a:lnTo>
                <a:lnTo>
                  <a:pt x="15389" y="5191"/>
                </a:lnTo>
                <a:lnTo>
                  <a:pt x="19469" y="4672"/>
                </a:lnTo>
                <a:lnTo>
                  <a:pt x="19469" y="0"/>
                </a:lnTo>
                <a:lnTo>
                  <a:pt x="24252" y="0"/>
                </a:lnTo>
                <a:lnTo>
                  <a:pt x="24252" y="4672"/>
                </a:lnTo>
                <a:lnTo>
                  <a:pt x="27590" y="5043"/>
                </a:lnTo>
                <a:lnTo>
                  <a:pt x="30408" y="6007"/>
                </a:lnTo>
                <a:lnTo>
                  <a:pt x="32708" y="7565"/>
                </a:lnTo>
                <a:lnTo>
                  <a:pt x="35007" y="9048"/>
                </a:lnTo>
                <a:lnTo>
                  <a:pt x="36935" y="11199"/>
                </a:lnTo>
                <a:lnTo>
                  <a:pt x="37816" y="12793"/>
                </a:lnTo>
                <a:lnTo>
                  <a:pt x="19469" y="12793"/>
                </a:lnTo>
                <a:lnTo>
                  <a:pt x="16428" y="13387"/>
                </a:lnTo>
                <a:lnTo>
                  <a:pt x="13980" y="14870"/>
                </a:lnTo>
                <a:lnTo>
                  <a:pt x="10272" y="19617"/>
                </a:lnTo>
                <a:lnTo>
                  <a:pt x="9345" y="22658"/>
                </a:lnTo>
                <a:lnTo>
                  <a:pt x="9345" y="32819"/>
                </a:lnTo>
                <a:lnTo>
                  <a:pt x="12719" y="37269"/>
                </a:lnTo>
                <a:lnTo>
                  <a:pt x="19469" y="39716"/>
                </a:lnTo>
                <a:lnTo>
                  <a:pt x="24252" y="39716"/>
                </a:lnTo>
                <a:lnTo>
                  <a:pt x="24252" y="41163"/>
                </a:lnTo>
                <a:lnTo>
                  <a:pt x="37491" y="48060"/>
                </a:lnTo>
                <a:lnTo>
                  <a:pt x="39271" y="49915"/>
                </a:lnTo>
                <a:lnTo>
                  <a:pt x="39703" y="50619"/>
                </a:lnTo>
                <a:lnTo>
                  <a:pt x="24252" y="50619"/>
                </a:lnTo>
                <a:lnTo>
                  <a:pt x="24252" y="80435"/>
                </a:lnTo>
                <a:close/>
              </a:path>
              <a:path w="43815" h="99060">
                <a:moveTo>
                  <a:pt x="24252" y="39716"/>
                </a:moveTo>
                <a:lnTo>
                  <a:pt x="19469" y="39716"/>
                </a:lnTo>
                <a:lnTo>
                  <a:pt x="19469" y="12793"/>
                </a:lnTo>
                <a:lnTo>
                  <a:pt x="24252" y="12793"/>
                </a:lnTo>
                <a:lnTo>
                  <a:pt x="24252" y="39716"/>
                </a:lnTo>
                <a:close/>
              </a:path>
              <a:path w="43815" h="99060">
                <a:moveTo>
                  <a:pt x="33375" y="25810"/>
                </a:moveTo>
                <a:lnTo>
                  <a:pt x="32685" y="20173"/>
                </a:lnTo>
                <a:lnTo>
                  <a:pt x="32617" y="19617"/>
                </a:lnTo>
                <a:lnTo>
                  <a:pt x="32544" y="19024"/>
                </a:lnTo>
                <a:lnTo>
                  <a:pt x="32485" y="18541"/>
                </a:lnTo>
                <a:lnTo>
                  <a:pt x="29444" y="14240"/>
                </a:lnTo>
                <a:lnTo>
                  <a:pt x="23820" y="12793"/>
                </a:lnTo>
                <a:lnTo>
                  <a:pt x="37816" y="12793"/>
                </a:lnTo>
                <a:lnTo>
                  <a:pt x="40050" y="16761"/>
                </a:lnTo>
                <a:lnTo>
                  <a:pt x="41089" y="20173"/>
                </a:lnTo>
                <a:lnTo>
                  <a:pt x="41608" y="24252"/>
                </a:lnTo>
                <a:lnTo>
                  <a:pt x="33375" y="25810"/>
                </a:lnTo>
                <a:close/>
              </a:path>
              <a:path w="43815" h="99060">
                <a:moveTo>
                  <a:pt x="38652" y="80435"/>
                </a:moveTo>
                <a:lnTo>
                  <a:pt x="24252" y="80435"/>
                </a:lnTo>
                <a:lnTo>
                  <a:pt x="27293" y="79990"/>
                </a:lnTo>
                <a:lnTo>
                  <a:pt x="29852" y="78395"/>
                </a:lnTo>
                <a:lnTo>
                  <a:pt x="34006" y="72907"/>
                </a:lnTo>
                <a:lnTo>
                  <a:pt x="34937" y="69680"/>
                </a:lnTo>
                <a:lnTo>
                  <a:pt x="34934" y="60817"/>
                </a:lnTo>
                <a:lnTo>
                  <a:pt x="24252" y="50619"/>
                </a:lnTo>
                <a:lnTo>
                  <a:pt x="39703" y="50619"/>
                </a:lnTo>
                <a:lnTo>
                  <a:pt x="40681" y="52214"/>
                </a:lnTo>
                <a:lnTo>
                  <a:pt x="42757" y="57702"/>
                </a:lnTo>
                <a:lnTo>
                  <a:pt x="43277" y="60817"/>
                </a:lnTo>
                <a:lnTo>
                  <a:pt x="43277" y="71349"/>
                </a:lnTo>
                <a:lnTo>
                  <a:pt x="41459" y="77060"/>
                </a:lnTo>
                <a:lnTo>
                  <a:pt x="38652" y="80435"/>
                </a:lnTo>
                <a:close/>
              </a:path>
              <a:path w="43815" h="99060">
                <a:moveTo>
                  <a:pt x="24252" y="98458"/>
                </a:moveTo>
                <a:lnTo>
                  <a:pt x="19469" y="98458"/>
                </a:lnTo>
                <a:lnTo>
                  <a:pt x="19469" y="88556"/>
                </a:lnTo>
                <a:lnTo>
                  <a:pt x="18739" y="88556"/>
                </a:lnTo>
                <a:lnTo>
                  <a:pt x="15093" y="88000"/>
                </a:lnTo>
                <a:lnTo>
                  <a:pt x="11681" y="86776"/>
                </a:lnTo>
                <a:lnTo>
                  <a:pt x="9233" y="84996"/>
                </a:lnTo>
                <a:lnTo>
                  <a:pt x="6712" y="83216"/>
                </a:lnTo>
                <a:lnTo>
                  <a:pt x="0" y="64859"/>
                </a:lnTo>
                <a:lnTo>
                  <a:pt x="8010" y="62968"/>
                </a:lnTo>
                <a:lnTo>
                  <a:pt x="8677" y="68827"/>
                </a:lnTo>
                <a:lnTo>
                  <a:pt x="10013" y="72907"/>
                </a:lnTo>
                <a:lnTo>
                  <a:pt x="10086" y="73129"/>
                </a:lnTo>
                <a:lnTo>
                  <a:pt x="12237" y="75873"/>
                </a:lnTo>
                <a:lnTo>
                  <a:pt x="14314" y="78618"/>
                </a:lnTo>
                <a:lnTo>
                  <a:pt x="16724" y="80138"/>
                </a:lnTo>
                <a:lnTo>
                  <a:pt x="19469" y="80435"/>
                </a:lnTo>
                <a:lnTo>
                  <a:pt x="38652" y="80435"/>
                </a:lnTo>
                <a:lnTo>
                  <a:pt x="34117" y="85886"/>
                </a:lnTo>
                <a:lnTo>
                  <a:pt x="29593" y="88259"/>
                </a:lnTo>
                <a:lnTo>
                  <a:pt x="24252" y="88556"/>
                </a:lnTo>
                <a:lnTo>
                  <a:pt x="24252" y="98458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183" name="Shape 183">
            <a:extLst>
              <a:ext uri="{FF2B5EF4-FFF2-40B4-BE49-F238E27FC236}">
                <a16:creationId xmlns:a16="http://schemas.microsoft.com/office/drawing/2014/main" id="{00000000-0008-0000-0000-0000B7000000}"/>
              </a:ext>
            </a:extLst>
          </xdr:cNvPr>
          <xdr:cNvSpPr/>
        </xdr:nvSpPr>
        <xdr:spPr>
          <a:xfrm>
            <a:off x="6113239" y="143070"/>
            <a:ext cx="60960" cy="82550"/>
          </a:xfrm>
          <a:custGeom>
            <a:avLst/>
            <a:gdLst/>
            <a:ahLst/>
            <a:cxnLst/>
            <a:rect l="0" t="0" r="0" b="0"/>
            <a:pathLst>
              <a:path w="60960" h="82550">
                <a:moveTo>
                  <a:pt x="38085" y="82326"/>
                </a:moveTo>
                <a:lnTo>
                  <a:pt x="26885" y="82326"/>
                </a:lnTo>
                <a:lnTo>
                  <a:pt x="21212" y="80731"/>
                </a:lnTo>
                <a:lnTo>
                  <a:pt x="0" y="50100"/>
                </a:lnTo>
                <a:lnTo>
                  <a:pt x="0" y="32819"/>
                </a:lnTo>
                <a:lnTo>
                  <a:pt x="1483" y="25254"/>
                </a:lnTo>
                <a:lnTo>
                  <a:pt x="4450" y="18801"/>
                </a:lnTo>
                <a:lnTo>
                  <a:pt x="7342" y="12423"/>
                </a:lnTo>
                <a:lnTo>
                  <a:pt x="11162" y="7676"/>
                </a:lnTo>
                <a:lnTo>
                  <a:pt x="15909" y="4561"/>
                </a:lnTo>
                <a:lnTo>
                  <a:pt x="20655" y="1520"/>
                </a:lnTo>
                <a:lnTo>
                  <a:pt x="26292" y="0"/>
                </a:lnTo>
                <a:lnTo>
                  <a:pt x="37566" y="0"/>
                </a:lnTo>
                <a:lnTo>
                  <a:pt x="41719" y="890"/>
                </a:lnTo>
                <a:lnTo>
                  <a:pt x="45279" y="2670"/>
                </a:lnTo>
                <a:lnTo>
                  <a:pt x="48913" y="4450"/>
                </a:lnTo>
                <a:lnTo>
                  <a:pt x="51880" y="6971"/>
                </a:lnTo>
                <a:lnTo>
                  <a:pt x="56478" y="13498"/>
                </a:lnTo>
                <a:lnTo>
                  <a:pt x="58221" y="17985"/>
                </a:lnTo>
                <a:lnTo>
                  <a:pt x="59408" y="23696"/>
                </a:lnTo>
                <a:lnTo>
                  <a:pt x="51620" y="26255"/>
                </a:lnTo>
                <a:lnTo>
                  <a:pt x="50582" y="21731"/>
                </a:lnTo>
                <a:lnTo>
                  <a:pt x="49247" y="18356"/>
                </a:lnTo>
                <a:lnTo>
                  <a:pt x="47615" y="16131"/>
                </a:lnTo>
                <a:lnTo>
                  <a:pt x="46058" y="13906"/>
                </a:lnTo>
                <a:lnTo>
                  <a:pt x="43981" y="12163"/>
                </a:lnTo>
                <a:lnTo>
                  <a:pt x="41385" y="10902"/>
                </a:lnTo>
                <a:lnTo>
                  <a:pt x="38715" y="9641"/>
                </a:lnTo>
                <a:lnTo>
                  <a:pt x="35786" y="9011"/>
                </a:lnTo>
                <a:lnTo>
                  <a:pt x="27850" y="9011"/>
                </a:lnTo>
                <a:lnTo>
                  <a:pt x="12015" y="23251"/>
                </a:lnTo>
                <a:lnTo>
                  <a:pt x="9938" y="28072"/>
                </a:lnTo>
                <a:lnTo>
                  <a:pt x="8900" y="33968"/>
                </a:lnTo>
                <a:lnTo>
                  <a:pt x="8900" y="51620"/>
                </a:lnTo>
                <a:lnTo>
                  <a:pt x="11125" y="59593"/>
                </a:lnTo>
                <a:lnTo>
                  <a:pt x="15575" y="64859"/>
                </a:lnTo>
                <a:lnTo>
                  <a:pt x="20025" y="70200"/>
                </a:lnTo>
                <a:lnTo>
                  <a:pt x="25810" y="72870"/>
                </a:lnTo>
                <a:lnTo>
                  <a:pt x="36342" y="72870"/>
                </a:lnTo>
                <a:lnTo>
                  <a:pt x="51954" y="64637"/>
                </a:lnTo>
                <a:lnTo>
                  <a:pt x="51954" y="49729"/>
                </a:lnTo>
                <a:lnTo>
                  <a:pt x="32819" y="49729"/>
                </a:lnTo>
                <a:lnTo>
                  <a:pt x="32819" y="40384"/>
                </a:lnTo>
                <a:lnTo>
                  <a:pt x="60409" y="40384"/>
                </a:lnTo>
                <a:lnTo>
                  <a:pt x="60409" y="69977"/>
                </a:lnTo>
                <a:lnTo>
                  <a:pt x="56182" y="74056"/>
                </a:lnTo>
                <a:lnTo>
                  <a:pt x="51806" y="77134"/>
                </a:lnTo>
                <a:lnTo>
                  <a:pt x="42757" y="81288"/>
                </a:lnTo>
                <a:lnTo>
                  <a:pt x="38085" y="82326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184" name="Shape 184">
            <a:extLst>
              <a:ext uri="{FF2B5EF4-FFF2-40B4-BE49-F238E27FC236}">
                <a16:creationId xmlns:a16="http://schemas.microsoft.com/office/drawing/2014/main" id="{00000000-0008-0000-0000-0000B8000000}"/>
              </a:ext>
            </a:extLst>
          </xdr:cNvPr>
          <xdr:cNvSpPr/>
        </xdr:nvSpPr>
        <xdr:spPr>
          <a:xfrm>
            <a:off x="6114288" y="143342"/>
            <a:ext cx="60960" cy="82550"/>
          </a:xfrm>
          <a:custGeom>
            <a:avLst/>
            <a:gdLst/>
            <a:ahLst/>
            <a:cxnLst/>
            <a:rect l="0" t="0" r="0" b="0"/>
            <a:pathLst>
              <a:path w="60960" h="82550">
                <a:moveTo>
                  <a:pt x="51816" y="48768"/>
                </a:moveTo>
                <a:lnTo>
                  <a:pt x="51816" y="64008"/>
                </a:lnTo>
                <a:lnTo>
                  <a:pt x="50292" y="67056"/>
                </a:lnTo>
                <a:lnTo>
                  <a:pt x="47244" y="68580"/>
                </a:lnTo>
                <a:lnTo>
                  <a:pt x="42672" y="70104"/>
                </a:lnTo>
                <a:lnTo>
                  <a:pt x="39624" y="71628"/>
                </a:lnTo>
                <a:lnTo>
                  <a:pt x="36576" y="73152"/>
                </a:lnTo>
                <a:lnTo>
                  <a:pt x="32004" y="73152"/>
                </a:lnTo>
                <a:lnTo>
                  <a:pt x="25908" y="73152"/>
                </a:lnTo>
                <a:lnTo>
                  <a:pt x="19812" y="70104"/>
                </a:lnTo>
                <a:lnTo>
                  <a:pt x="15240" y="64008"/>
                </a:lnTo>
                <a:lnTo>
                  <a:pt x="10668" y="59436"/>
                </a:lnTo>
                <a:lnTo>
                  <a:pt x="9144" y="51816"/>
                </a:lnTo>
                <a:lnTo>
                  <a:pt x="9144" y="41148"/>
                </a:lnTo>
                <a:lnTo>
                  <a:pt x="9144" y="33528"/>
                </a:lnTo>
                <a:lnTo>
                  <a:pt x="9144" y="27432"/>
                </a:lnTo>
                <a:lnTo>
                  <a:pt x="12192" y="22860"/>
                </a:lnTo>
                <a:lnTo>
                  <a:pt x="13716" y="18288"/>
                </a:lnTo>
                <a:lnTo>
                  <a:pt x="16764" y="13716"/>
                </a:lnTo>
                <a:lnTo>
                  <a:pt x="19812" y="12192"/>
                </a:lnTo>
                <a:lnTo>
                  <a:pt x="22860" y="9144"/>
                </a:lnTo>
                <a:lnTo>
                  <a:pt x="27432" y="9144"/>
                </a:lnTo>
                <a:lnTo>
                  <a:pt x="32004" y="9144"/>
                </a:lnTo>
                <a:lnTo>
                  <a:pt x="35052" y="9144"/>
                </a:lnTo>
                <a:lnTo>
                  <a:pt x="38100" y="9144"/>
                </a:lnTo>
                <a:lnTo>
                  <a:pt x="41148" y="10668"/>
                </a:lnTo>
                <a:lnTo>
                  <a:pt x="44196" y="12192"/>
                </a:lnTo>
                <a:lnTo>
                  <a:pt x="45720" y="13716"/>
                </a:lnTo>
                <a:lnTo>
                  <a:pt x="47244" y="15240"/>
                </a:lnTo>
                <a:lnTo>
                  <a:pt x="48768" y="18288"/>
                </a:lnTo>
                <a:lnTo>
                  <a:pt x="50292" y="21336"/>
                </a:lnTo>
                <a:lnTo>
                  <a:pt x="51816" y="25908"/>
                </a:lnTo>
                <a:lnTo>
                  <a:pt x="59436" y="22860"/>
                </a:lnTo>
                <a:lnTo>
                  <a:pt x="57912" y="16764"/>
                </a:lnTo>
                <a:lnTo>
                  <a:pt x="56388" y="13716"/>
                </a:lnTo>
                <a:lnTo>
                  <a:pt x="54864" y="9144"/>
                </a:lnTo>
                <a:lnTo>
                  <a:pt x="51816" y="6096"/>
                </a:lnTo>
                <a:lnTo>
                  <a:pt x="48768" y="4572"/>
                </a:lnTo>
                <a:lnTo>
                  <a:pt x="45720" y="1524"/>
                </a:lnTo>
                <a:lnTo>
                  <a:pt x="41148" y="0"/>
                </a:lnTo>
                <a:lnTo>
                  <a:pt x="38100" y="0"/>
                </a:lnTo>
                <a:lnTo>
                  <a:pt x="32004" y="0"/>
                </a:lnTo>
                <a:lnTo>
                  <a:pt x="25908" y="0"/>
                </a:lnTo>
                <a:lnTo>
                  <a:pt x="19812" y="1524"/>
                </a:lnTo>
                <a:lnTo>
                  <a:pt x="15240" y="4572"/>
                </a:lnTo>
                <a:lnTo>
                  <a:pt x="10668" y="7620"/>
                </a:lnTo>
                <a:lnTo>
                  <a:pt x="7620" y="12192"/>
                </a:lnTo>
                <a:lnTo>
                  <a:pt x="4572" y="18288"/>
                </a:lnTo>
                <a:lnTo>
                  <a:pt x="1524" y="24384"/>
                </a:lnTo>
                <a:lnTo>
                  <a:pt x="0" y="32004"/>
                </a:lnTo>
                <a:lnTo>
                  <a:pt x="0" y="41148"/>
                </a:lnTo>
                <a:lnTo>
                  <a:pt x="0" y="50292"/>
                </a:lnTo>
                <a:lnTo>
                  <a:pt x="27432" y="82296"/>
                </a:lnTo>
                <a:lnTo>
                  <a:pt x="33528" y="82296"/>
                </a:lnTo>
                <a:lnTo>
                  <a:pt x="38100" y="82296"/>
                </a:lnTo>
                <a:lnTo>
                  <a:pt x="42672" y="80772"/>
                </a:lnTo>
                <a:lnTo>
                  <a:pt x="47244" y="79248"/>
                </a:lnTo>
                <a:lnTo>
                  <a:pt x="51816" y="76200"/>
                </a:lnTo>
                <a:lnTo>
                  <a:pt x="56388" y="73152"/>
                </a:lnTo>
                <a:lnTo>
                  <a:pt x="60960" y="70104"/>
                </a:lnTo>
                <a:lnTo>
                  <a:pt x="60960" y="39624"/>
                </a:lnTo>
                <a:lnTo>
                  <a:pt x="32004" y="39624"/>
                </a:lnTo>
                <a:lnTo>
                  <a:pt x="32004" y="48768"/>
                </a:lnTo>
                <a:lnTo>
                  <a:pt x="51816" y="48768"/>
                </a:lnTo>
                <a:close/>
              </a:path>
            </a:pathLst>
          </a:custGeom>
          <a:ln w="4572">
            <a:solidFill>
              <a:srgbClr val="FFFFFF"/>
            </a:solidFill>
          </a:ln>
        </xdr:spPr>
      </xdr:sp>
    </xdr:grpSp>
    <xdr:clientData/>
  </xdr:oneCellAnchor>
  <xdr:oneCellAnchor>
    <xdr:from>
      <xdr:col>1</xdr:col>
      <xdr:colOff>94996</xdr:colOff>
      <xdr:row>74</xdr:row>
      <xdr:rowOff>0</xdr:rowOff>
    </xdr:from>
    <xdr:ext cx="3961129" cy="326390"/>
    <xdr:sp macro="" textlink="">
      <xdr:nvSpPr>
        <xdr:cNvPr id="185" name="Shape 185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/>
      </xdr:nvSpPr>
      <xdr:spPr>
        <a:xfrm>
          <a:off x="0" y="0"/>
          <a:ext cx="3961129" cy="326390"/>
        </a:xfrm>
        <a:custGeom>
          <a:avLst/>
          <a:gdLst/>
          <a:ahLst/>
          <a:cxnLst/>
          <a:rect l="0" t="0" r="0" b="0"/>
          <a:pathLst>
            <a:path w="3961129" h="326390">
              <a:moveTo>
                <a:pt x="3960876" y="0"/>
              </a:moveTo>
              <a:lnTo>
                <a:pt x="3960876" y="0"/>
              </a:lnTo>
              <a:lnTo>
                <a:pt x="0" y="0"/>
              </a:lnTo>
              <a:lnTo>
                <a:pt x="0" y="144780"/>
              </a:lnTo>
              <a:lnTo>
                <a:pt x="0" y="182880"/>
              </a:lnTo>
              <a:lnTo>
                <a:pt x="0" y="326136"/>
              </a:lnTo>
              <a:lnTo>
                <a:pt x="790956" y="326136"/>
              </a:lnTo>
              <a:lnTo>
                <a:pt x="3960876" y="326136"/>
              </a:lnTo>
              <a:lnTo>
                <a:pt x="3960876" y="182880"/>
              </a:lnTo>
              <a:lnTo>
                <a:pt x="3960876" y="144780"/>
              </a:lnTo>
              <a:lnTo>
                <a:pt x="39608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0</xdr:colOff>
      <xdr:row>66</xdr:row>
      <xdr:rowOff>7619</xdr:rowOff>
    </xdr:from>
    <xdr:ext cx="3145790" cy="734695"/>
    <xdr:grpSp>
      <xdr:nvGrpSpPr>
        <xdr:cNvPr id="186" name="Group 186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GrpSpPr/>
      </xdr:nvGrpSpPr>
      <xdr:grpSpPr>
        <a:xfrm>
          <a:off x="0" y="15152369"/>
          <a:ext cx="3145790" cy="734695"/>
          <a:chOff x="0" y="0"/>
          <a:chExt cx="3145790" cy="734695"/>
        </a:xfrm>
      </xdr:grpSpPr>
      <xdr:sp macro="" textlink="">
        <xdr:nvSpPr>
          <xdr:cNvPr id="187" name="Shape 187">
            <a:extLst>
              <a:ext uri="{FF2B5EF4-FFF2-40B4-BE49-F238E27FC236}">
                <a16:creationId xmlns:a16="http://schemas.microsoft.com/office/drawing/2014/main" id="{00000000-0008-0000-0000-0000BB000000}"/>
              </a:ext>
            </a:extLst>
          </xdr:cNvPr>
          <xdr:cNvSpPr/>
        </xdr:nvSpPr>
        <xdr:spPr>
          <a:xfrm>
            <a:off x="6096" y="6095"/>
            <a:ext cx="3133725" cy="721360"/>
          </a:xfrm>
          <a:custGeom>
            <a:avLst/>
            <a:gdLst/>
            <a:ahLst/>
            <a:cxnLst/>
            <a:rect l="0" t="0" r="0" b="0"/>
            <a:pathLst>
              <a:path w="3133725" h="721360">
                <a:moveTo>
                  <a:pt x="3133344" y="0"/>
                </a:moveTo>
                <a:lnTo>
                  <a:pt x="0" y="0"/>
                </a:lnTo>
                <a:lnTo>
                  <a:pt x="0" y="143256"/>
                </a:lnTo>
                <a:lnTo>
                  <a:pt x="0" y="144780"/>
                </a:lnTo>
                <a:lnTo>
                  <a:pt x="0" y="720852"/>
                </a:lnTo>
                <a:lnTo>
                  <a:pt x="2159508" y="720852"/>
                </a:lnTo>
                <a:lnTo>
                  <a:pt x="2161032" y="720852"/>
                </a:lnTo>
                <a:lnTo>
                  <a:pt x="3133344" y="720852"/>
                </a:lnTo>
                <a:lnTo>
                  <a:pt x="3133344" y="577596"/>
                </a:lnTo>
                <a:lnTo>
                  <a:pt x="3133344" y="143256"/>
                </a:lnTo>
                <a:lnTo>
                  <a:pt x="3133344" y="0"/>
                </a:lnTo>
                <a:close/>
              </a:path>
            </a:pathLst>
          </a:custGeom>
          <a:solidFill>
            <a:srgbClr val="EDEDEF"/>
          </a:solidFill>
        </xdr:spPr>
      </xdr:sp>
      <xdr:pic>
        <xdr:nvPicPr>
          <xdr:cNvPr id="188" name="image89.png">
            <a:extLst>
              <a:ext uri="{FF2B5EF4-FFF2-40B4-BE49-F238E27FC236}">
                <a16:creationId xmlns:a16="http://schemas.microsoft.com/office/drawing/2014/main" id="{00000000-0008-0000-0000-0000B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145536" cy="734568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0</xdr:colOff>
      <xdr:row>69</xdr:row>
      <xdr:rowOff>7620</xdr:rowOff>
    </xdr:from>
    <xdr:ext cx="3148965" cy="734695"/>
    <xdr:grpSp>
      <xdr:nvGrpSpPr>
        <xdr:cNvPr id="189" name="Group 189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GrpSpPr/>
      </xdr:nvGrpSpPr>
      <xdr:grpSpPr>
        <a:xfrm>
          <a:off x="0" y="16562070"/>
          <a:ext cx="3148965" cy="734695"/>
          <a:chOff x="0" y="0"/>
          <a:chExt cx="3148965" cy="734695"/>
        </a:xfrm>
      </xdr:grpSpPr>
      <xdr:sp macro="" textlink="">
        <xdr:nvSpPr>
          <xdr:cNvPr id="190" name="Shape 190">
            <a:extLst>
              <a:ext uri="{FF2B5EF4-FFF2-40B4-BE49-F238E27FC236}">
                <a16:creationId xmlns:a16="http://schemas.microsoft.com/office/drawing/2014/main" id="{00000000-0008-0000-0000-0000BE000000}"/>
              </a:ext>
            </a:extLst>
          </xdr:cNvPr>
          <xdr:cNvSpPr/>
        </xdr:nvSpPr>
        <xdr:spPr>
          <a:xfrm>
            <a:off x="7620" y="6095"/>
            <a:ext cx="3133725" cy="721360"/>
          </a:xfrm>
          <a:custGeom>
            <a:avLst/>
            <a:gdLst/>
            <a:ahLst/>
            <a:cxnLst/>
            <a:rect l="0" t="0" r="0" b="0"/>
            <a:pathLst>
              <a:path w="3133725" h="721360">
                <a:moveTo>
                  <a:pt x="3133344" y="0"/>
                </a:moveTo>
                <a:lnTo>
                  <a:pt x="0" y="0"/>
                </a:lnTo>
                <a:lnTo>
                  <a:pt x="0" y="143256"/>
                </a:lnTo>
                <a:lnTo>
                  <a:pt x="0" y="144780"/>
                </a:lnTo>
                <a:lnTo>
                  <a:pt x="0" y="720852"/>
                </a:lnTo>
                <a:lnTo>
                  <a:pt x="3133344" y="720852"/>
                </a:lnTo>
                <a:lnTo>
                  <a:pt x="3133344" y="143256"/>
                </a:lnTo>
                <a:lnTo>
                  <a:pt x="3133344" y="0"/>
                </a:lnTo>
                <a:close/>
              </a:path>
            </a:pathLst>
          </a:custGeom>
          <a:solidFill>
            <a:srgbClr val="EDEDEF"/>
          </a:solidFill>
        </xdr:spPr>
      </xdr:sp>
      <xdr:pic>
        <xdr:nvPicPr>
          <xdr:cNvPr id="191" name="image90.png">
            <a:extLst>
              <a:ext uri="{FF2B5EF4-FFF2-40B4-BE49-F238E27FC236}">
                <a16:creationId xmlns:a16="http://schemas.microsoft.com/office/drawing/2014/main" id="{00000000-0008-0000-0000-0000B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148583" cy="734568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0</xdr:colOff>
      <xdr:row>61</xdr:row>
      <xdr:rowOff>31750</xdr:rowOff>
    </xdr:from>
    <xdr:ext cx="3975100" cy="701040"/>
    <xdr:grpSp>
      <xdr:nvGrpSpPr>
        <xdr:cNvPr id="192" name="Group 192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GrpSpPr/>
      </xdr:nvGrpSpPr>
      <xdr:grpSpPr>
        <a:xfrm>
          <a:off x="0" y="14309725"/>
          <a:ext cx="3975100" cy="701040"/>
          <a:chOff x="0" y="0"/>
          <a:chExt cx="3975100" cy="701040"/>
        </a:xfrm>
      </xdr:grpSpPr>
      <xdr:pic>
        <xdr:nvPicPr>
          <xdr:cNvPr id="193" name="image91.png">
            <a:extLst>
              <a:ext uri="{FF2B5EF4-FFF2-40B4-BE49-F238E27FC236}">
                <a16:creationId xmlns:a16="http://schemas.microsoft.com/office/drawing/2014/main" id="{00000000-0008-0000-0000-0000C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974591" cy="701040"/>
          </a:xfrm>
          <a:prstGeom prst="rect">
            <a:avLst/>
          </a:prstGeom>
        </xdr:spPr>
      </xdr:pic>
      <xdr:sp macro="" textlink="">
        <xdr:nvSpPr>
          <xdr:cNvPr id="194" name="Textbox 194">
            <a:extLst>
              <a:ext uri="{FF2B5EF4-FFF2-40B4-BE49-F238E27FC236}">
                <a16:creationId xmlns:a16="http://schemas.microsoft.com/office/drawing/2014/main" id="{00000000-0008-0000-0000-0000C2000000}"/>
              </a:ext>
            </a:extLst>
          </xdr:cNvPr>
          <xdr:cNvSpPr txBox="1"/>
        </xdr:nvSpPr>
        <xdr:spPr>
          <a:xfrm>
            <a:off x="67458" y="21495"/>
            <a:ext cx="1022985" cy="12827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0" spc="-5">
                <a:latin typeface="Arial MT"/>
                <a:cs typeface="Arial MT"/>
              </a:rPr>
              <a:t>CARG</a:t>
            </a:r>
            <a:r>
              <a:rPr sz="900" b="0" spc="0">
                <a:latin typeface="Arial MT"/>
                <a:cs typeface="Arial MT"/>
              </a:rPr>
              <a:t>O </a:t>
            </a:r>
            <a:r>
              <a:rPr sz="900" b="0" spc="-5">
                <a:latin typeface="Arial MT"/>
                <a:cs typeface="Arial MT"/>
              </a:rPr>
              <a:t>D</a:t>
            </a:r>
            <a:r>
              <a:rPr sz="900" b="0" spc="0">
                <a:latin typeface="Arial MT"/>
                <a:cs typeface="Arial MT"/>
              </a:rPr>
              <a:t>E </a:t>
            </a:r>
            <a:r>
              <a:rPr sz="900" b="0" spc="-5">
                <a:latin typeface="Arial MT"/>
                <a:cs typeface="Arial MT"/>
              </a:rPr>
              <a:t>COBRANZA</a:t>
            </a:r>
          </a:p>
        </xdr:txBody>
      </xdr:sp>
      <xdr:sp macro="" textlink="">
        <xdr:nvSpPr>
          <xdr:cNvPr id="195" name="Textbox 195">
            <a:extLst>
              <a:ext uri="{FF2B5EF4-FFF2-40B4-BE49-F238E27FC236}">
                <a16:creationId xmlns:a16="http://schemas.microsoft.com/office/drawing/2014/main" id="{00000000-0008-0000-0000-0000C3000000}"/>
              </a:ext>
            </a:extLst>
          </xdr:cNvPr>
          <xdr:cNvSpPr txBox="1"/>
        </xdr:nvSpPr>
        <xdr:spPr>
          <a:xfrm>
            <a:off x="1508751" y="21495"/>
            <a:ext cx="1419225" cy="45402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0" spc="-5">
                <a:latin typeface="Arial MT"/>
                <a:cs typeface="Arial MT"/>
              </a:rPr>
              <a:t>MONT</a:t>
            </a:r>
            <a:r>
              <a:rPr sz="900" b="0" spc="0">
                <a:latin typeface="Arial MT"/>
                <a:cs typeface="Arial MT"/>
              </a:rPr>
              <a:t>O</a:t>
            </a:r>
            <a:r>
              <a:rPr sz="900" b="0" spc="-20">
                <a:latin typeface="Arial MT"/>
                <a:cs typeface="Arial MT"/>
              </a:rPr>
              <a:t> </a:t>
            </a:r>
            <a:r>
              <a:rPr sz="900" b="0" spc="-5">
                <a:latin typeface="Arial MT"/>
                <a:cs typeface="Arial MT"/>
              </a:rPr>
              <a:t>DEUD</a:t>
            </a:r>
            <a:r>
              <a:rPr sz="900" b="0" spc="0">
                <a:latin typeface="Arial MT"/>
                <a:cs typeface="Arial MT"/>
              </a:rPr>
              <a:t>A</a:t>
            </a:r>
            <a:r>
              <a:rPr sz="900" b="0" spc="-35">
                <a:latin typeface="Arial MT"/>
                <a:cs typeface="Arial MT"/>
              </a:rPr>
              <a:t> </a:t>
            </a:r>
            <a:r>
              <a:rPr sz="900" b="0" spc="-5">
                <a:latin typeface="Arial MT"/>
                <a:cs typeface="Arial MT"/>
              </a:rPr>
              <a:t>UF HAST</a:t>
            </a:r>
            <a:r>
              <a:rPr sz="900" b="0" spc="0">
                <a:latin typeface="Arial MT"/>
                <a:cs typeface="Arial MT"/>
              </a:rPr>
              <a:t>A</a:t>
            </a:r>
            <a:r>
              <a:rPr sz="900" b="0" spc="5">
                <a:latin typeface="Arial MT"/>
                <a:cs typeface="Arial MT"/>
              </a:rPr>
              <a:t> </a:t>
            </a:r>
            <a:r>
              <a:rPr sz="900" b="0" spc="-5">
                <a:latin typeface="Arial MT"/>
                <a:cs typeface="Arial MT"/>
              </a:rPr>
              <a:t>U</a:t>
            </a:r>
            <a:r>
              <a:rPr sz="900" b="0" spc="0">
                <a:latin typeface="Arial MT"/>
                <a:cs typeface="Arial MT"/>
              </a:rPr>
              <a:t>F</a:t>
            </a:r>
            <a:r>
              <a:rPr sz="900" b="0" spc="-65">
                <a:latin typeface="Arial MT"/>
                <a:cs typeface="Arial MT"/>
              </a:rPr>
              <a:t> </a:t>
            </a:r>
            <a:r>
              <a:rPr sz="900" b="0" spc="-5">
                <a:latin typeface="Arial MT"/>
                <a:cs typeface="Arial MT"/>
              </a:rPr>
              <a:t>10</a:t>
            </a:r>
          </a:p>
          <a:p>
            <a:r>
              <a:rPr sz="900" b="0" spc="-5">
                <a:latin typeface="Arial MT"/>
                <a:cs typeface="Arial MT"/>
              </a:rPr>
              <a:t>EXCEDA</a:t>
            </a:r>
            <a:r>
              <a:rPr sz="900" b="0" spc="0">
                <a:latin typeface="Arial MT"/>
                <a:cs typeface="Arial MT"/>
              </a:rPr>
              <a:t>N</a:t>
            </a:r>
            <a:r>
              <a:rPr sz="900" b="0" spc="25">
                <a:latin typeface="Arial MT"/>
                <a:cs typeface="Arial MT"/>
              </a:rPr>
              <a:t> </a:t>
            </a:r>
            <a:r>
              <a:rPr sz="900" b="0" spc="-5">
                <a:latin typeface="Arial MT"/>
                <a:cs typeface="Arial MT"/>
              </a:rPr>
              <a:t>U</a:t>
            </a:r>
            <a:r>
              <a:rPr sz="900" b="0" spc="0">
                <a:latin typeface="Arial MT"/>
                <a:cs typeface="Arial MT"/>
              </a:rPr>
              <a:t>F</a:t>
            </a:r>
            <a:r>
              <a:rPr sz="900" b="0" spc="-65">
                <a:latin typeface="Arial MT"/>
                <a:cs typeface="Arial MT"/>
              </a:rPr>
              <a:t> </a:t>
            </a:r>
            <a:r>
              <a:rPr sz="900" b="0" spc="-5">
                <a:latin typeface="Arial MT"/>
                <a:cs typeface="Arial MT"/>
              </a:rPr>
              <a:t>1</a:t>
            </a:r>
            <a:r>
              <a:rPr sz="900" b="0" spc="0">
                <a:latin typeface="Arial MT"/>
                <a:cs typeface="Arial MT"/>
              </a:rPr>
              <a:t>0</a:t>
            </a:r>
            <a:r>
              <a:rPr sz="900" b="0" spc="-10">
                <a:latin typeface="Arial MT"/>
                <a:cs typeface="Arial MT"/>
              </a:rPr>
              <a:t> </a:t>
            </a:r>
            <a:r>
              <a:rPr sz="900" b="0" spc="0">
                <a:latin typeface="Arial MT"/>
                <a:cs typeface="Arial MT"/>
              </a:rPr>
              <a:t>Y</a:t>
            </a:r>
            <a:r>
              <a:rPr sz="900" b="0" spc="-30">
                <a:latin typeface="Arial MT"/>
                <a:cs typeface="Arial MT"/>
              </a:rPr>
              <a:t> </a:t>
            </a:r>
            <a:r>
              <a:rPr sz="900" b="0" spc="-5">
                <a:latin typeface="Arial MT"/>
                <a:cs typeface="Arial MT"/>
              </a:rPr>
              <a:t>HAST</a:t>
            </a:r>
            <a:r>
              <a:rPr sz="900" b="0" spc="0">
                <a:latin typeface="Arial MT"/>
                <a:cs typeface="Arial MT"/>
              </a:rPr>
              <a:t>A</a:t>
            </a:r>
            <a:r>
              <a:rPr sz="900" b="0" spc="5">
                <a:latin typeface="Arial MT"/>
                <a:cs typeface="Arial MT"/>
              </a:rPr>
              <a:t> </a:t>
            </a:r>
            <a:r>
              <a:rPr sz="900" b="0" spc="-5">
                <a:latin typeface="Arial MT"/>
                <a:cs typeface="Arial MT"/>
              </a:rPr>
              <a:t>U</a:t>
            </a:r>
            <a:r>
              <a:rPr sz="900" b="0" spc="0">
                <a:latin typeface="Arial MT"/>
                <a:cs typeface="Arial MT"/>
              </a:rPr>
              <a:t>F</a:t>
            </a:r>
            <a:r>
              <a:rPr sz="900" b="0" spc="-50">
                <a:latin typeface="Arial MT"/>
                <a:cs typeface="Arial MT"/>
              </a:rPr>
              <a:t> </a:t>
            </a:r>
            <a:r>
              <a:rPr sz="900" b="0" spc="-5">
                <a:latin typeface="Arial MT"/>
                <a:cs typeface="Arial MT"/>
              </a:rPr>
              <a:t>50</a:t>
            </a:r>
          </a:p>
        </xdr:txBody>
      </xdr:sp>
      <xdr:sp macro="" textlink="">
        <xdr:nvSpPr>
          <xdr:cNvPr id="196" name="Textbox 196">
            <a:extLst>
              <a:ext uri="{FF2B5EF4-FFF2-40B4-BE49-F238E27FC236}">
                <a16:creationId xmlns:a16="http://schemas.microsoft.com/office/drawing/2014/main" id="{00000000-0008-0000-0000-0000C4000000}"/>
              </a:ext>
            </a:extLst>
          </xdr:cNvPr>
          <xdr:cNvSpPr txBox="1"/>
        </xdr:nvSpPr>
        <xdr:spPr>
          <a:xfrm>
            <a:off x="3558368" y="24543"/>
            <a:ext cx="140335" cy="45085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0">
                <a:latin typeface="Arial MT"/>
                <a:cs typeface="Arial MT"/>
              </a:rPr>
              <a:t>% </a:t>
            </a:r>
            <a:r>
              <a:rPr sz="900" b="0" spc="-5">
                <a:latin typeface="Arial MT"/>
                <a:cs typeface="Arial MT"/>
              </a:rPr>
              <a:t>9%</a:t>
            </a:r>
          </a:p>
          <a:p>
            <a:r>
              <a:rPr sz="900" b="0" spc="-5">
                <a:latin typeface="Arial MT"/>
                <a:cs typeface="Arial MT"/>
              </a:rPr>
              <a:t>6%</a:t>
            </a:r>
          </a:p>
        </xdr:txBody>
      </xdr:sp>
    </xdr:grpSp>
    <xdr:clientData/>
  </xdr:oneCellAnchor>
  <xdr:oneCellAnchor>
    <xdr:from>
      <xdr:col>11</xdr:col>
      <xdr:colOff>19050</xdr:colOff>
      <xdr:row>49</xdr:row>
      <xdr:rowOff>16002</xdr:rowOff>
    </xdr:from>
    <xdr:ext cx="66040" cy="83820"/>
    <xdr:grpSp>
      <xdr:nvGrpSpPr>
        <xdr:cNvPr id="197" name="Group 197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GrpSpPr/>
      </xdr:nvGrpSpPr>
      <xdr:grpSpPr>
        <a:xfrm>
          <a:off x="1885950" y="10769727"/>
          <a:ext cx="66040" cy="83820"/>
          <a:chOff x="0" y="0"/>
          <a:chExt cx="66040" cy="83820"/>
        </a:xfrm>
      </xdr:grpSpPr>
      <xdr:sp macro="" textlink="">
        <xdr:nvSpPr>
          <xdr:cNvPr id="198" name="Shape 198">
            <a:extLst>
              <a:ext uri="{FF2B5EF4-FFF2-40B4-BE49-F238E27FC236}">
                <a16:creationId xmlns:a16="http://schemas.microsoft.com/office/drawing/2014/main" id="{00000000-0008-0000-0000-0000C6000000}"/>
              </a:ext>
            </a:extLst>
          </xdr:cNvPr>
          <xdr:cNvSpPr/>
        </xdr:nvSpPr>
        <xdr:spPr>
          <a:xfrm>
            <a:off x="2157" y="3371"/>
            <a:ext cx="61594" cy="80010"/>
          </a:xfrm>
          <a:custGeom>
            <a:avLst/>
            <a:gdLst/>
            <a:ahLst/>
            <a:cxnLst/>
            <a:rect l="0" t="0" r="0" b="0"/>
            <a:pathLst>
              <a:path w="61594" h="80010">
                <a:moveTo>
                  <a:pt x="9122" y="79656"/>
                </a:moveTo>
                <a:lnTo>
                  <a:pt x="0" y="79656"/>
                </a:lnTo>
                <a:lnTo>
                  <a:pt x="25142" y="0"/>
                </a:lnTo>
                <a:lnTo>
                  <a:pt x="34488" y="0"/>
                </a:lnTo>
                <a:lnTo>
                  <a:pt x="37273" y="8343"/>
                </a:lnTo>
                <a:lnTo>
                  <a:pt x="29593" y="8343"/>
                </a:lnTo>
                <a:lnTo>
                  <a:pt x="28703" y="13461"/>
                </a:lnTo>
                <a:lnTo>
                  <a:pt x="27586" y="18096"/>
                </a:lnTo>
                <a:lnTo>
                  <a:pt x="27479" y="18542"/>
                </a:lnTo>
                <a:lnTo>
                  <a:pt x="18690" y="46948"/>
                </a:lnTo>
                <a:lnTo>
                  <a:pt x="50159" y="46948"/>
                </a:lnTo>
                <a:lnTo>
                  <a:pt x="53018" y="55514"/>
                </a:lnTo>
                <a:lnTo>
                  <a:pt x="16131" y="55514"/>
                </a:lnTo>
                <a:lnTo>
                  <a:pt x="9122" y="79656"/>
                </a:lnTo>
                <a:close/>
              </a:path>
              <a:path w="61594" h="80010">
                <a:moveTo>
                  <a:pt x="50159" y="46948"/>
                </a:moveTo>
                <a:lnTo>
                  <a:pt x="41051" y="46948"/>
                </a:lnTo>
                <a:lnTo>
                  <a:pt x="34154" y="24920"/>
                </a:lnTo>
                <a:lnTo>
                  <a:pt x="32077" y="18096"/>
                </a:lnTo>
                <a:lnTo>
                  <a:pt x="30557" y="12571"/>
                </a:lnTo>
                <a:lnTo>
                  <a:pt x="29593" y="8343"/>
                </a:lnTo>
                <a:lnTo>
                  <a:pt x="37273" y="8343"/>
                </a:lnTo>
                <a:lnTo>
                  <a:pt x="50159" y="46948"/>
                </a:lnTo>
                <a:close/>
              </a:path>
              <a:path w="61594" h="80010">
                <a:moveTo>
                  <a:pt x="61077" y="79656"/>
                </a:moveTo>
                <a:lnTo>
                  <a:pt x="51175" y="79656"/>
                </a:lnTo>
                <a:lnTo>
                  <a:pt x="43722" y="55514"/>
                </a:lnTo>
                <a:lnTo>
                  <a:pt x="53018" y="55514"/>
                </a:lnTo>
                <a:lnTo>
                  <a:pt x="61077" y="79656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199" name="Shape 199">
            <a:extLst>
              <a:ext uri="{FF2B5EF4-FFF2-40B4-BE49-F238E27FC236}">
                <a16:creationId xmlns:a16="http://schemas.microsoft.com/office/drawing/2014/main" id="{00000000-0008-0000-0000-0000C7000000}"/>
              </a:ext>
            </a:extLst>
          </xdr:cNvPr>
          <xdr:cNvSpPr/>
        </xdr:nvSpPr>
        <xdr:spPr>
          <a:xfrm>
            <a:off x="20574" y="9905"/>
            <a:ext cx="22860" cy="40005"/>
          </a:xfrm>
          <a:custGeom>
            <a:avLst/>
            <a:gdLst/>
            <a:ahLst/>
            <a:cxnLst/>
            <a:rect l="0" t="0" r="0" b="0"/>
            <a:pathLst>
              <a:path w="22860" h="40005">
                <a:moveTo>
                  <a:pt x="7619" y="15239"/>
                </a:moveTo>
                <a:lnTo>
                  <a:pt x="9143" y="10667"/>
                </a:lnTo>
                <a:lnTo>
                  <a:pt x="9143" y="6095"/>
                </a:lnTo>
                <a:lnTo>
                  <a:pt x="10667" y="0"/>
                </a:lnTo>
                <a:lnTo>
                  <a:pt x="12191" y="4571"/>
                </a:lnTo>
                <a:lnTo>
                  <a:pt x="13715" y="10667"/>
                </a:lnTo>
                <a:lnTo>
                  <a:pt x="15239" y="16763"/>
                </a:lnTo>
                <a:lnTo>
                  <a:pt x="22859" y="39623"/>
                </a:lnTo>
                <a:lnTo>
                  <a:pt x="0" y="39623"/>
                </a:lnTo>
                <a:lnTo>
                  <a:pt x="7619" y="15239"/>
                </a:lnTo>
                <a:close/>
              </a:path>
            </a:pathLst>
          </a:custGeom>
          <a:ln w="4572">
            <a:solidFill>
              <a:srgbClr val="FFFFFF"/>
            </a:solidFill>
          </a:ln>
        </xdr:spPr>
      </xdr:sp>
      <xdr:sp macro="" textlink="">
        <xdr:nvSpPr>
          <xdr:cNvPr id="200" name="Shape 200">
            <a:extLst>
              <a:ext uri="{FF2B5EF4-FFF2-40B4-BE49-F238E27FC236}">
                <a16:creationId xmlns:a16="http://schemas.microsoft.com/office/drawing/2014/main" id="{00000000-0008-0000-0000-0000C8000000}"/>
              </a:ext>
            </a:extLst>
          </xdr:cNvPr>
          <xdr:cNvSpPr/>
        </xdr:nvSpPr>
        <xdr:spPr>
          <a:xfrm>
            <a:off x="2286" y="2286"/>
            <a:ext cx="60960" cy="79375"/>
          </a:xfrm>
          <a:custGeom>
            <a:avLst/>
            <a:gdLst/>
            <a:ahLst/>
            <a:cxnLst/>
            <a:rect l="0" t="0" r="0" b="0"/>
            <a:pathLst>
              <a:path w="60960" h="79375">
                <a:moveTo>
                  <a:pt x="9143" y="79248"/>
                </a:moveTo>
                <a:lnTo>
                  <a:pt x="15239" y="56388"/>
                </a:lnTo>
                <a:lnTo>
                  <a:pt x="42671" y="56388"/>
                </a:lnTo>
                <a:lnTo>
                  <a:pt x="50291" y="79248"/>
                </a:lnTo>
                <a:lnTo>
                  <a:pt x="60959" y="79248"/>
                </a:lnTo>
                <a:lnTo>
                  <a:pt x="33527" y="0"/>
                </a:lnTo>
                <a:lnTo>
                  <a:pt x="24383" y="0"/>
                </a:lnTo>
                <a:lnTo>
                  <a:pt x="0" y="79248"/>
                </a:lnTo>
                <a:lnTo>
                  <a:pt x="9143" y="79248"/>
                </a:lnTo>
                <a:close/>
              </a:path>
            </a:pathLst>
          </a:custGeom>
          <a:ln w="4572">
            <a:solidFill>
              <a:srgbClr val="FFFFFF"/>
            </a:solidFill>
          </a:ln>
        </xdr:spPr>
      </xdr:sp>
    </xdr:grpSp>
    <xdr:clientData/>
  </xdr:oneCellAnchor>
  <xdr:oneCellAnchor>
    <xdr:from>
      <xdr:col>13</xdr:col>
      <xdr:colOff>47244</xdr:colOff>
      <xdr:row>49</xdr:row>
      <xdr:rowOff>16002</xdr:rowOff>
    </xdr:from>
    <xdr:ext cx="53340" cy="83820"/>
    <xdr:grpSp>
      <xdr:nvGrpSpPr>
        <xdr:cNvPr id="201" name="Group 201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GrpSpPr/>
      </xdr:nvGrpSpPr>
      <xdr:grpSpPr>
        <a:xfrm>
          <a:off x="2047494" y="10769727"/>
          <a:ext cx="53340" cy="83820"/>
          <a:chOff x="0" y="0"/>
          <a:chExt cx="53340" cy="83820"/>
        </a:xfrm>
      </xdr:grpSpPr>
      <xdr:sp macro="" textlink="">
        <xdr:nvSpPr>
          <xdr:cNvPr id="202" name="Shape 202">
            <a:extLst>
              <a:ext uri="{FF2B5EF4-FFF2-40B4-BE49-F238E27FC236}">
                <a16:creationId xmlns:a16="http://schemas.microsoft.com/office/drawing/2014/main" id="{00000000-0008-0000-0000-0000CA000000}"/>
              </a:ext>
            </a:extLst>
          </xdr:cNvPr>
          <xdr:cNvSpPr/>
        </xdr:nvSpPr>
        <xdr:spPr>
          <a:xfrm>
            <a:off x="1472" y="3371"/>
            <a:ext cx="49530" cy="80010"/>
          </a:xfrm>
          <a:custGeom>
            <a:avLst/>
            <a:gdLst/>
            <a:ahLst/>
            <a:cxnLst/>
            <a:rect l="0" t="0" r="0" b="0"/>
            <a:pathLst>
              <a:path w="49530" h="80010">
                <a:moveTo>
                  <a:pt x="30594" y="79656"/>
                </a:moveTo>
                <a:lnTo>
                  <a:pt x="0" y="79656"/>
                </a:lnTo>
                <a:lnTo>
                  <a:pt x="0" y="0"/>
                </a:lnTo>
                <a:lnTo>
                  <a:pt x="29555" y="0"/>
                </a:lnTo>
                <a:lnTo>
                  <a:pt x="33486" y="778"/>
                </a:lnTo>
                <a:lnTo>
                  <a:pt x="36379" y="2336"/>
                </a:lnTo>
                <a:lnTo>
                  <a:pt x="39271" y="3819"/>
                </a:lnTo>
                <a:lnTo>
                  <a:pt x="41645" y="6193"/>
                </a:lnTo>
                <a:lnTo>
                  <a:pt x="43436" y="9345"/>
                </a:lnTo>
                <a:lnTo>
                  <a:pt x="8677" y="9345"/>
                </a:lnTo>
                <a:lnTo>
                  <a:pt x="8677" y="33486"/>
                </a:lnTo>
                <a:lnTo>
                  <a:pt x="41922" y="33486"/>
                </a:lnTo>
                <a:lnTo>
                  <a:pt x="40050" y="35452"/>
                </a:lnTo>
                <a:lnTo>
                  <a:pt x="37158" y="37158"/>
                </a:lnTo>
                <a:lnTo>
                  <a:pt x="40866" y="38567"/>
                </a:lnTo>
                <a:lnTo>
                  <a:pt x="43833" y="40940"/>
                </a:lnTo>
                <a:lnTo>
                  <a:pt x="45094" y="42832"/>
                </a:lnTo>
                <a:lnTo>
                  <a:pt x="8677" y="42832"/>
                </a:lnTo>
                <a:lnTo>
                  <a:pt x="8677" y="70311"/>
                </a:lnTo>
                <a:lnTo>
                  <a:pt x="45690" y="70311"/>
                </a:lnTo>
                <a:lnTo>
                  <a:pt x="44352" y="72832"/>
                </a:lnTo>
                <a:lnTo>
                  <a:pt x="41719" y="75503"/>
                </a:lnTo>
                <a:lnTo>
                  <a:pt x="38381" y="77208"/>
                </a:lnTo>
                <a:lnTo>
                  <a:pt x="35118" y="78840"/>
                </a:lnTo>
                <a:lnTo>
                  <a:pt x="30594" y="79656"/>
                </a:lnTo>
                <a:close/>
              </a:path>
              <a:path w="49530" h="80010">
                <a:moveTo>
                  <a:pt x="41922" y="33486"/>
                </a:moveTo>
                <a:lnTo>
                  <a:pt x="26515" y="33486"/>
                </a:lnTo>
                <a:lnTo>
                  <a:pt x="30276" y="33116"/>
                </a:lnTo>
                <a:lnTo>
                  <a:pt x="29481" y="33116"/>
                </a:lnTo>
                <a:lnTo>
                  <a:pt x="37714" y="24623"/>
                </a:lnTo>
                <a:lnTo>
                  <a:pt x="37714" y="18690"/>
                </a:lnTo>
                <a:lnTo>
                  <a:pt x="26552" y="9345"/>
                </a:lnTo>
                <a:lnTo>
                  <a:pt x="43436" y="9345"/>
                </a:lnTo>
                <a:lnTo>
                  <a:pt x="45227" y="12497"/>
                </a:lnTo>
                <a:lnTo>
                  <a:pt x="45353" y="12719"/>
                </a:lnTo>
                <a:lnTo>
                  <a:pt x="46271" y="16279"/>
                </a:lnTo>
                <a:lnTo>
                  <a:pt x="46280" y="23956"/>
                </a:lnTo>
                <a:lnTo>
                  <a:pt x="45510" y="27071"/>
                </a:lnTo>
                <a:lnTo>
                  <a:pt x="45464" y="27256"/>
                </a:lnTo>
                <a:lnTo>
                  <a:pt x="43833" y="30149"/>
                </a:lnTo>
                <a:lnTo>
                  <a:pt x="42275" y="33116"/>
                </a:lnTo>
                <a:lnTo>
                  <a:pt x="41922" y="33486"/>
                </a:lnTo>
                <a:close/>
              </a:path>
              <a:path w="49530" h="80010">
                <a:moveTo>
                  <a:pt x="45690" y="70311"/>
                </a:moveTo>
                <a:lnTo>
                  <a:pt x="28480" y="70311"/>
                </a:lnTo>
                <a:lnTo>
                  <a:pt x="31113" y="69977"/>
                </a:lnTo>
                <a:lnTo>
                  <a:pt x="35266" y="68345"/>
                </a:lnTo>
                <a:lnTo>
                  <a:pt x="37158" y="66788"/>
                </a:lnTo>
                <a:lnTo>
                  <a:pt x="38493" y="64637"/>
                </a:lnTo>
                <a:lnTo>
                  <a:pt x="39754" y="62486"/>
                </a:lnTo>
                <a:lnTo>
                  <a:pt x="40384" y="59779"/>
                </a:lnTo>
                <a:lnTo>
                  <a:pt x="40384" y="53475"/>
                </a:lnTo>
                <a:lnTo>
                  <a:pt x="39754" y="50916"/>
                </a:lnTo>
                <a:lnTo>
                  <a:pt x="38493" y="48839"/>
                </a:lnTo>
                <a:lnTo>
                  <a:pt x="37306" y="46762"/>
                </a:lnTo>
                <a:lnTo>
                  <a:pt x="35674" y="45242"/>
                </a:lnTo>
                <a:lnTo>
                  <a:pt x="31521" y="43314"/>
                </a:lnTo>
                <a:lnTo>
                  <a:pt x="28258" y="42832"/>
                </a:lnTo>
                <a:lnTo>
                  <a:pt x="45094" y="42832"/>
                </a:lnTo>
                <a:lnTo>
                  <a:pt x="46058" y="44278"/>
                </a:lnTo>
                <a:lnTo>
                  <a:pt x="48209" y="47615"/>
                </a:lnTo>
                <a:lnTo>
                  <a:pt x="49284" y="51695"/>
                </a:lnTo>
                <a:lnTo>
                  <a:pt x="49284" y="61336"/>
                </a:lnTo>
                <a:lnTo>
                  <a:pt x="48283" y="65564"/>
                </a:lnTo>
                <a:lnTo>
                  <a:pt x="46280" y="69198"/>
                </a:lnTo>
                <a:lnTo>
                  <a:pt x="45690" y="70311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203" name="Shape 203">
            <a:extLst>
              <a:ext uri="{FF2B5EF4-FFF2-40B4-BE49-F238E27FC236}">
                <a16:creationId xmlns:a16="http://schemas.microsoft.com/office/drawing/2014/main" id="{00000000-0008-0000-0000-0000CB000000}"/>
              </a:ext>
            </a:extLst>
          </xdr:cNvPr>
          <xdr:cNvSpPr/>
        </xdr:nvSpPr>
        <xdr:spPr>
          <a:xfrm>
            <a:off x="9905" y="44957"/>
            <a:ext cx="32384" cy="27940"/>
          </a:xfrm>
          <a:custGeom>
            <a:avLst/>
            <a:gdLst/>
            <a:ahLst/>
            <a:cxnLst/>
            <a:rect l="0" t="0" r="0" b="0"/>
            <a:pathLst>
              <a:path w="32384" h="27940">
                <a:moveTo>
                  <a:pt x="0" y="0"/>
                </a:moveTo>
                <a:lnTo>
                  <a:pt x="15240" y="0"/>
                </a:lnTo>
                <a:lnTo>
                  <a:pt x="19812" y="0"/>
                </a:lnTo>
                <a:lnTo>
                  <a:pt x="22859" y="0"/>
                </a:lnTo>
                <a:lnTo>
                  <a:pt x="25908" y="1524"/>
                </a:lnTo>
                <a:lnTo>
                  <a:pt x="27432" y="3048"/>
                </a:lnTo>
                <a:lnTo>
                  <a:pt x="28956" y="4572"/>
                </a:lnTo>
                <a:lnTo>
                  <a:pt x="30480" y="6096"/>
                </a:lnTo>
                <a:lnTo>
                  <a:pt x="32004" y="7620"/>
                </a:lnTo>
                <a:lnTo>
                  <a:pt x="32004" y="10668"/>
                </a:lnTo>
                <a:lnTo>
                  <a:pt x="32004" y="13716"/>
                </a:lnTo>
                <a:lnTo>
                  <a:pt x="32004" y="16764"/>
                </a:lnTo>
                <a:lnTo>
                  <a:pt x="32004" y="19812"/>
                </a:lnTo>
                <a:lnTo>
                  <a:pt x="30480" y="22859"/>
                </a:lnTo>
                <a:lnTo>
                  <a:pt x="28956" y="24384"/>
                </a:lnTo>
                <a:lnTo>
                  <a:pt x="27432" y="25908"/>
                </a:lnTo>
                <a:lnTo>
                  <a:pt x="24384" y="27432"/>
                </a:lnTo>
                <a:lnTo>
                  <a:pt x="22859" y="27432"/>
                </a:lnTo>
                <a:lnTo>
                  <a:pt x="19812" y="27432"/>
                </a:lnTo>
                <a:lnTo>
                  <a:pt x="16764" y="27432"/>
                </a:lnTo>
                <a:lnTo>
                  <a:pt x="0" y="27432"/>
                </a:lnTo>
                <a:lnTo>
                  <a:pt x="0" y="0"/>
                </a:lnTo>
                <a:close/>
              </a:path>
            </a:pathLst>
          </a:custGeom>
          <a:ln w="4572">
            <a:solidFill>
              <a:srgbClr val="FFFFFF"/>
            </a:solidFill>
          </a:ln>
        </xdr:spPr>
      </xdr:sp>
      <xdr:sp macro="" textlink="">
        <xdr:nvSpPr>
          <xdr:cNvPr id="204" name="Shape 204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/>
        </xdr:nvSpPr>
        <xdr:spPr>
          <a:xfrm>
            <a:off x="9905" y="11429"/>
            <a:ext cx="29209" cy="24765"/>
          </a:xfrm>
          <a:custGeom>
            <a:avLst/>
            <a:gdLst/>
            <a:ahLst/>
            <a:cxnLst/>
            <a:rect l="0" t="0" r="0" b="0"/>
            <a:pathLst>
              <a:path w="29209" h="24765">
                <a:moveTo>
                  <a:pt x="0" y="0"/>
                </a:moveTo>
                <a:lnTo>
                  <a:pt x="13716" y="0"/>
                </a:lnTo>
                <a:lnTo>
                  <a:pt x="18288" y="0"/>
                </a:lnTo>
                <a:lnTo>
                  <a:pt x="21336" y="0"/>
                </a:lnTo>
                <a:lnTo>
                  <a:pt x="22859" y="1524"/>
                </a:lnTo>
                <a:lnTo>
                  <a:pt x="25908" y="1524"/>
                </a:lnTo>
                <a:lnTo>
                  <a:pt x="27432" y="3048"/>
                </a:lnTo>
                <a:lnTo>
                  <a:pt x="27432" y="4572"/>
                </a:lnTo>
                <a:lnTo>
                  <a:pt x="28956" y="7620"/>
                </a:lnTo>
                <a:lnTo>
                  <a:pt x="28956" y="9144"/>
                </a:lnTo>
                <a:lnTo>
                  <a:pt x="28956" y="12192"/>
                </a:lnTo>
                <a:lnTo>
                  <a:pt x="28956" y="15240"/>
                </a:lnTo>
                <a:lnTo>
                  <a:pt x="28956" y="18288"/>
                </a:lnTo>
                <a:lnTo>
                  <a:pt x="27432" y="19812"/>
                </a:lnTo>
                <a:lnTo>
                  <a:pt x="25908" y="21336"/>
                </a:lnTo>
                <a:lnTo>
                  <a:pt x="24384" y="22859"/>
                </a:lnTo>
                <a:lnTo>
                  <a:pt x="22859" y="22859"/>
                </a:lnTo>
                <a:lnTo>
                  <a:pt x="21336" y="24384"/>
                </a:lnTo>
                <a:lnTo>
                  <a:pt x="18288" y="24384"/>
                </a:lnTo>
                <a:lnTo>
                  <a:pt x="15240" y="24384"/>
                </a:lnTo>
                <a:lnTo>
                  <a:pt x="0" y="24384"/>
                </a:lnTo>
                <a:lnTo>
                  <a:pt x="0" y="0"/>
                </a:lnTo>
                <a:close/>
              </a:path>
            </a:pathLst>
          </a:custGeom>
          <a:ln w="4571">
            <a:solidFill>
              <a:srgbClr val="FFFFFF"/>
            </a:solidFill>
          </a:ln>
        </xdr:spPr>
      </xdr:sp>
      <xdr:sp macro="" textlink="">
        <xdr:nvSpPr>
          <xdr:cNvPr id="205" name="Shape 205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2286" y="2286"/>
            <a:ext cx="48895" cy="79375"/>
          </a:xfrm>
          <a:custGeom>
            <a:avLst/>
            <a:gdLst/>
            <a:ahLst/>
            <a:cxnLst/>
            <a:rect l="0" t="0" r="0" b="0"/>
            <a:pathLst>
              <a:path w="48895" h="79375">
                <a:moveTo>
                  <a:pt x="24383" y="79248"/>
                </a:moveTo>
                <a:lnTo>
                  <a:pt x="30479" y="79248"/>
                </a:lnTo>
                <a:lnTo>
                  <a:pt x="35051" y="79248"/>
                </a:lnTo>
                <a:lnTo>
                  <a:pt x="38099" y="77724"/>
                </a:lnTo>
                <a:lnTo>
                  <a:pt x="41147" y="76200"/>
                </a:lnTo>
                <a:lnTo>
                  <a:pt x="44195" y="73152"/>
                </a:lnTo>
                <a:lnTo>
                  <a:pt x="45719" y="70104"/>
                </a:lnTo>
                <a:lnTo>
                  <a:pt x="47243" y="65532"/>
                </a:lnTo>
                <a:lnTo>
                  <a:pt x="48767" y="60960"/>
                </a:lnTo>
                <a:lnTo>
                  <a:pt x="48767" y="56388"/>
                </a:lnTo>
                <a:lnTo>
                  <a:pt x="48767" y="51816"/>
                </a:lnTo>
                <a:lnTo>
                  <a:pt x="47243" y="47244"/>
                </a:lnTo>
                <a:lnTo>
                  <a:pt x="45719" y="44196"/>
                </a:lnTo>
                <a:lnTo>
                  <a:pt x="42671" y="41148"/>
                </a:lnTo>
                <a:lnTo>
                  <a:pt x="39623" y="38100"/>
                </a:lnTo>
                <a:lnTo>
                  <a:pt x="36575" y="36576"/>
                </a:lnTo>
                <a:lnTo>
                  <a:pt x="39623" y="35052"/>
                </a:lnTo>
                <a:lnTo>
                  <a:pt x="41147" y="33528"/>
                </a:lnTo>
                <a:lnTo>
                  <a:pt x="42671" y="30480"/>
                </a:lnTo>
                <a:lnTo>
                  <a:pt x="45719" y="27432"/>
                </a:lnTo>
                <a:lnTo>
                  <a:pt x="45719" y="24384"/>
                </a:lnTo>
                <a:lnTo>
                  <a:pt x="45719" y="19812"/>
                </a:lnTo>
                <a:lnTo>
                  <a:pt x="45719" y="16764"/>
                </a:lnTo>
                <a:lnTo>
                  <a:pt x="44195" y="12192"/>
                </a:lnTo>
                <a:lnTo>
                  <a:pt x="42671" y="9144"/>
                </a:lnTo>
                <a:lnTo>
                  <a:pt x="41147" y="6096"/>
                </a:lnTo>
                <a:lnTo>
                  <a:pt x="38099" y="3048"/>
                </a:lnTo>
                <a:lnTo>
                  <a:pt x="36575" y="1524"/>
                </a:lnTo>
                <a:lnTo>
                  <a:pt x="33527" y="0"/>
                </a:lnTo>
                <a:lnTo>
                  <a:pt x="28955" y="0"/>
                </a:lnTo>
                <a:lnTo>
                  <a:pt x="24383" y="0"/>
                </a:lnTo>
                <a:lnTo>
                  <a:pt x="0" y="0"/>
                </a:lnTo>
                <a:lnTo>
                  <a:pt x="0" y="79248"/>
                </a:lnTo>
                <a:lnTo>
                  <a:pt x="24383" y="79248"/>
                </a:lnTo>
                <a:close/>
              </a:path>
            </a:pathLst>
          </a:custGeom>
          <a:ln w="4572">
            <a:solidFill>
              <a:srgbClr val="FFFFFF"/>
            </a:solidFill>
          </a:ln>
        </xdr:spPr>
      </xdr:sp>
    </xdr:grpSp>
    <xdr:clientData/>
  </xdr:oneCellAnchor>
  <xdr:oneCellAnchor>
    <xdr:from>
      <xdr:col>15</xdr:col>
      <xdr:colOff>41148</xdr:colOff>
      <xdr:row>49</xdr:row>
      <xdr:rowOff>16002</xdr:rowOff>
    </xdr:from>
    <xdr:ext cx="62865" cy="86995"/>
    <xdr:grpSp>
      <xdr:nvGrpSpPr>
        <xdr:cNvPr id="206" name="Group 206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2174748" y="10769727"/>
          <a:ext cx="62865" cy="86995"/>
          <a:chOff x="0" y="0"/>
          <a:chExt cx="62865" cy="86995"/>
        </a:xfrm>
      </xdr:grpSpPr>
      <xdr:sp macro="" textlink="">
        <xdr:nvSpPr>
          <xdr:cNvPr id="207" name="Shape 207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/>
        </xdr:nvSpPr>
        <xdr:spPr>
          <a:xfrm>
            <a:off x="2075" y="2036"/>
            <a:ext cx="57785" cy="82550"/>
          </a:xfrm>
          <a:custGeom>
            <a:avLst/>
            <a:gdLst/>
            <a:ahLst/>
            <a:cxnLst/>
            <a:rect l="0" t="0" r="0" b="0"/>
            <a:pathLst>
              <a:path w="57785" h="82550">
                <a:moveTo>
                  <a:pt x="37046" y="82326"/>
                </a:moveTo>
                <a:lnTo>
                  <a:pt x="24067" y="82326"/>
                </a:lnTo>
                <a:lnTo>
                  <a:pt x="18912" y="80843"/>
                </a:lnTo>
                <a:lnTo>
                  <a:pt x="14685" y="77876"/>
                </a:lnTo>
                <a:lnTo>
                  <a:pt x="10383" y="74909"/>
                </a:lnTo>
                <a:lnTo>
                  <a:pt x="6860" y="70200"/>
                </a:lnTo>
                <a:lnTo>
                  <a:pt x="4116" y="63747"/>
                </a:lnTo>
                <a:lnTo>
                  <a:pt x="1372" y="57220"/>
                </a:lnTo>
                <a:lnTo>
                  <a:pt x="0" y="49507"/>
                </a:lnTo>
                <a:lnTo>
                  <a:pt x="0" y="31855"/>
                </a:lnTo>
                <a:lnTo>
                  <a:pt x="1372" y="24438"/>
                </a:lnTo>
                <a:lnTo>
                  <a:pt x="6860" y="12274"/>
                </a:lnTo>
                <a:lnTo>
                  <a:pt x="10568" y="7713"/>
                </a:lnTo>
                <a:lnTo>
                  <a:pt x="15241" y="4672"/>
                </a:lnTo>
                <a:lnTo>
                  <a:pt x="19914" y="1557"/>
                </a:lnTo>
                <a:lnTo>
                  <a:pt x="25105" y="0"/>
                </a:lnTo>
                <a:lnTo>
                  <a:pt x="37121" y="0"/>
                </a:lnTo>
                <a:lnTo>
                  <a:pt x="56627" y="23140"/>
                </a:lnTo>
                <a:lnTo>
                  <a:pt x="48172" y="25587"/>
                </a:lnTo>
                <a:lnTo>
                  <a:pt x="45279" y="14536"/>
                </a:lnTo>
                <a:lnTo>
                  <a:pt x="39457" y="9011"/>
                </a:lnTo>
                <a:lnTo>
                  <a:pt x="26329" y="9011"/>
                </a:lnTo>
                <a:lnTo>
                  <a:pt x="22547" y="10123"/>
                </a:lnTo>
                <a:lnTo>
                  <a:pt x="16168" y="14574"/>
                </a:lnTo>
                <a:lnTo>
                  <a:pt x="13646" y="18059"/>
                </a:lnTo>
                <a:lnTo>
                  <a:pt x="11792" y="22806"/>
                </a:lnTo>
                <a:lnTo>
                  <a:pt x="9864" y="27479"/>
                </a:lnTo>
                <a:lnTo>
                  <a:pt x="8900" y="33412"/>
                </a:lnTo>
                <a:lnTo>
                  <a:pt x="8900" y="51509"/>
                </a:lnTo>
                <a:lnTo>
                  <a:pt x="10828" y="59705"/>
                </a:lnTo>
                <a:lnTo>
                  <a:pt x="14685" y="65193"/>
                </a:lnTo>
                <a:lnTo>
                  <a:pt x="18542" y="70607"/>
                </a:lnTo>
                <a:lnTo>
                  <a:pt x="23659" y="73315"/>
                </a:lnTo>
                <a:lnTo>
                  <a:pt x="34710" y="73315"/>
                </a:lnTo>
                <a:lnTo>
                  <a:pt x="49062" y="53067"/>
                </a:lnTo>
                <a:lnTo>
                  <a:pt x="57739" y="55737"/>
                </a:lnTo>
                <a:lnTo>
                  <a:pt x="55811" y="64637"/>
                </a:lnTo>
                <a:lnTo>
                  <a:pt x="52436" y="71312"/>
                </a:lnTo>
                <a:lnTo>
                  <a:pt x="42869" y="80138"/>
                </a:lnTo>
                <a:lnTo>
                  <a:pt x="37046" y="82326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208" name="Shape 208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2286" y="2286"/>
            <a:ext cx="58419" cy="82550"/>
          </a:xfrm>
          <a:custGeom>
            <a:avLst/>
            <a:gdLst/>
            <a:ahLst/>
            <a:cxnLst/>
            <a:rect l="0" t="0" r="0" b="0"/>
            <a:pathLst>
              <a:path w="58419" h="82550">
                <a:moveTo>
                  <a:pt x="42672" y="68579"/>
                </a:moveTo>
                <a:lnTo>
                  <a:pt x="38100" y="71627"/>
                </a:lnTo>
                <a:lnTo>
                  <a:pt x="35052" y="73151"/>
                </a:lnTo>
                <a:lnTo>
                  <a:pt x="30480" y="73151"/>
                </a:lnTo>
                <a:lnTo>
                  <a:pt x="22860" y="73151"/>
                </a:lnTo>
                <a:lnTo>
                  <a:pt x="18288" y="71627"/>
                </a:lnTo>
                <a:lnTo>
                  <a:pt x="13716" y="65531"/>
                </a:lnTo>
                <a:lnTo>
                  <a:pt x="10668" y="59435"/>
                </a:lnTo>
                <a:lnTo>
                  <a:pt x="9144" y="51815"/>
                </a:lnTo>
                <a:lnTo>
                  <a:pt x="9144" y="41147"/>
                </a:lnTo>
                <a:lnTo>
                  <a:pt x="9144" y="33527"/>
                </a:lnTo>
                <a:lnTo>
                  <a:pt x="9144" y="27431"/>
                </a:lnTo>
                <a:lnTo>
                  <a:pt x="12192" y="22859"/>
                </a:lnTo>
                <a:lnTo>
                  <a:pt x="13716" y="18287"/>
                </a:lnTo>
                <a:lnTo>
                  <a:pt x="15240" y="15239"/>
                </a:lnTo>
                <a:lnTo>
                  <a:pt x="19812" y="12191"/>
                </a:lnTo>
                <a:lnTo>
                  <a:pt x="22860" y="10667"/>
                </a:lnTo>
                <a:lnTo>
                  <a:pt x="25908" y="9143"/>
                </a:lnTo>
                <a:lnTo>
                  <a:pt x="30480" y="9143"/>
                </a:lnTo>
                <a:lnTo>
                  <a:pt x="39624" y="9143"/>
                </a:lnTo>
                <a:lnTo>
                  <a:pt x="45720" y="15239"/>
                </a:lnTo>
                <a:lnTo>
                  <a:pt x="48768" y="25907"/>
                </a:lnTo>
                <a:lnTo>
                  <a:pt x="56388" y="22859"/>
                </a:lnTo>
                <a:lnTo>
                  <a:pt x="54864" y="15239"/>
                </a:lnTo>
                <a:lnTo>
                  <a:pt x="51816" y="10667"/>
                </a:lnTo>
                <a:lnTo>
                  <a:pt x="47244" y="6095"/>
                </a:lnTo>
                <a:lnTo>
                  <a:pt x="42672" y="1523"/>
                </a:lnTo>
                <a:lnTo>
                  <a:pt x="36576" y="0"/>
                </a:lnTo>
                <a:lnTo>
                  <a:pt x="30480" y="0"/>
                </a:lnTo>
                <a:lnTo>
                  <a:pt x="24384" y="0"/>
                </a:lnTo>
                <a:lnTo>
                  <a:pt x="19812" y="1523"/>
                </a:lnTo>
                <a:lnTo>
                  <a:pt x="15240" y="4571"/>
                </a:lnTo>
                <a:lnTo>
                  <a:pt x="10668" y="7619"/>
                </a:lnTo>
                <a:lnTo>
                  <a:pt x="6096" y="12191"/>
                </a:lnTo>
                <a:lnTo>
                  <a:pt x="3048" y="18287"/>
                </a:lnTo>
                <a:lnTo>
                  <a:pt x="1524" y="24383"/>
                </a:lnTo>
                <a:lnTo>
                  <a:pt x="0" y="32003"/>
                </a:lnTo>
                <a:lnTo>
                  <a:pt x="0" y="41147"/>
                </a:lnTo>
                <a:lnTo>
                  <a:pt x="0" y="50291"/>
                </a:lnTo>
                <a:lnTo>
                  <a:pt x="24384" y="82295"/>
                </a:lnTo>
                <a:lnTo>
                  <a:pt x="30480" y="82295"/>
                </a:lnTo>
                <a:lnTo>
                  <a:pt x="36576" y="82295"/>
                </a:lnTo>
                <a:lnTo>
                  <a:pt x="42672" y="80771"/>
                </a:lnTo>
                <a:lnTo>
                  <a:pt x="47244" y="76199"/>
                </a:lnTo>
                <a:lnTo>
                  <a:pt x="51816" y="71627"/>
                </a:lnTo>
                <a:lnTo>
                  <a:pt x="56388" y="65531"/>
                </a:lnTo>
                <a:lnTo>
                  <a:pt x="57912" y="56387"/>
                </a:lnTo>
                <a:lnTo>
                  <a:pt x="48768" y="53339"/>
                </a:lnTo>
                <a:lnTo>
                  <a:pt x="47244" y="60959"/>
                </a:lnTo>
                <a:lnTo>
                  <a:pt x="45720" y="65531"/>
                </a:lnTo>
                <a:lnTo>
                  <a:pt x="42672" y="68579"/>
                </a:lnTo>
                <a:close/>
              </a:path>
            </a:pathLst>
          </a:custGeom>
          <a:ln w="4572">
            <a:solidFill>
              <a:srgbClr val="FFFFFF"/>
            </a:solidFill>
          </a:ln>
        </xdr:spPr>
      </xdr:sp>
    </xdr:grpSp>
    <xdr:clientData/>
  </xdr:oneCellAnchor>
  <xdr:oneCellAnchor>
    <xdr:from>
      <xdr:col>17</xdr:col>
      <xdr:colOff>44195</xdr:colOff>
      <xdr:row>49</xdr:row>
      <xdr:rowOff>16002</xdr:rowOff>
    </xdr:from>
    <xdr:ext cx="58419" cy="83820"/>
    <xdr:grpSp>
      <xdr:nvGrpSpPr>
        <xdr:cNvPr id="209" name="Group 209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GrpSpPr/>
      </xdr:nvGrpSpPr>
      <xdr:grpSpPr>
        <a:xfrm>
          <a:off x="2311145" y="10769727"/>
          <a:ext cx="58419" cy="83820"/>
          <a:chOff x="0" y="0"/>
          <a:chExt cx="58419" cy="83820"/>
        </a:xfrm>
      </xdr:grpSpPr>
      <xdr:sp macro="" textlink="">
        <xdr:nvSpPr>
          <xdr:cNvPr id="210" name="Shape 210">
            <a:extLst>
              <a:ext uri="{FF2B5EF4-FFF2-40B4-BE49-F238E27FC236}">
                <a16:creationId xmlns:a16="http://schemas.microsoft.com/office/drawing/2014/main" id="{00000000-0008-0000-0000-0000D2000000}"/>
              </a:ext>
            </a:extLst>
          </xdr:cNvPr>
          <xdr:cNvSpPr/>
        </xdr:nvSpPr>
        <xdr:spPr>
          <a:xfrm>
            <a:off x="1511" y="3371"/>
            <a:ext cx="53975" cy="80010"/>
          </a:xfrm>
          <a:custGeom>
            <a:avLst/>
            <a:gdLst/>
            <a:ahLst/>
            <a:cxnLst/>
            <a:rect l="0" t="0" r="0" b="0"/>
            <a:pathLst>
              <a:path w="53975" h="80010">
                <a:moveTo>
                  <a:pt x="30260" y="79656"/>
                </a:moveTo>
                <a:lnTo>
                  <a:pt x="0" y="79656"/>
                </a:lnTo>
                <a:lnTo>
                  <a:pt x="0" y="0"/>
                </a:lnTo>
                <a:lnTo>
                  <a:pt x="28109" y="0"/>
                </a:lnTo>
                <a:lnTo>
                  <a:pt x="32374" y="482"/>
                </a:lnTo>
                <a:lnTo>
                  <a:pt x="39049" y="2707"/>
                </a:lnTo>
                <a:lnTo>
                  <a:pt x="42312" y="5043"/>
                </a:lnTo>
                <a:lnTo>
                  <a:pt x="45057" y="8455"/>
                </a:lnTo>
                <a:lnTo>
                  <a:pt x="45808" y="9345"/>
                </a:lnTo>
                <a:lnTo>
                  <a:pt x="8677" y="9345"/>
                </a:lnTo>
                <a:lnTo>
                  <a:pt x="8677" y="70311"/>
                </a:lnTo>
                <a:lnTo>
                  <a:pt x="46073" y="70311"/>
                </a:lnTo>
                <a:lnTo>
                  <a:pt x="43981" y="73092"/>
                </a:lnTo>
                <a:lnTo>
                  <a:pt x="39828" y="75762"/>
                </a:lnTo>
                <a:lnTo>
                  <a:pt x="35674" y="78358"/>
                </a:lnTo>
                <a:lnTo>
                  <a:pt x="30260" y="79656"/>
                </a:lnTo>
                <a:close/>
              </a:path>
              <a:path w="53975" h="80010">
                <a:moveTo>
                  <a:pt x="46073" y="70311"/>
                </a:moveTo>
                <a:lnTo>
                  <a:pt x="28146" y="70311"/>
                </a:lnTo>
                <a:lnTo>
                  <a:pt x="32374" y="69384"/>
                </a:lnTo>
                <a:lnTo>
                  <a:pt x="35266" y="67529"/>
                </a:lnTo>
                <a:lnTo>
                  <a:pt x="38159" y="65749"/>
                </a:lnTo>
                <a:lnTo>
                  <a:pt x="40384" y="62820"/>
                </a:lnTo>
                <a:lnTo>
                  <a:pt x="44018" y="53326"/>
                </a:lnTo>
                <a:lnTo>
                  <a:pt x="45057" y="46837"/>
                </a:lnTo>
                <a:lnTo>
                  <a:pt x="45057" y="31187"/>
                </a:lnTo>
                <a:lnTo>
                  <a:pt x="27405" y="9345"/>
                </a:lnTo>
                <a:lnTo>
                  <a:pt x="45808" y="9345"/>
                </a:lnTo>
                <a:lnTo>
                  <a:pt x="47875" y="11792"/>
                </a:lnTo>
                <a:lnTo>
                  <a:pt x="50063" y="16020"/>
                </a:lnTo>
                <a:lnTo>
                  <a:pt x="53178" y="26255"/>
                </a:lnTo>
                <a:lnTo>
                  <a:pt x="53957" y="32337"/>
                </a:lnTo>
                <a:lnTo>
                  <a:pt x="53957" y="48431"/>
                </a:lnTo>
                <a:lnTo>
                  <a:pt x="52622" y="56071"/>
                </a:lnTo>
                <a:lnTo>
                  <a:pt x="49952" y="62301"/>
                </a:lnTo>
                <a:lnTo>
                  <a:pt x="47356" y="68605"/>
                </a:lnTo>
                <a:lnTo>
                  <a:pt x="46073" y="70311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211" name="Shape 211">
            <a:extLst>
              <a:ext uri="{FF2B5EF4-FFF2-40B4-BE49-F238E27FC236}">
                <a16:creationId xmlns:a16="http://schemas.microsoft.com/office/drawing/2014/main" id="{00000000-0008-0000-0000-0000D3000000}"/>
              </a:ext>
            </a:extLst>
          </xdr:cNvPr>
          <xdr:cNvSpPr/>
        </xdr:nvSpPr>
        <xdr:spPr>
          <a:xfrm>
            <a:off x="11429" y="11429"/>
            <a:ext cx="36830" cy="60960"/>
          </a:xfrm>
          <a:custGeom>
            <a:avLst/>
            <a:gdLst/>
            <a:ahLst/>
            <a:cxnLst/>
            <a:rect l="0" t="0" r="0" b="0"/>
            <a:pathLst>
              <a:path w="36830" h="60960">
                <a:moveTo>
                  <a:pt x="0" y="0"/>
                </a:moveTo>
                <a:lnTo>
                  <a:pt x="13716" y="0"/>
                </a:lnTo>
                <a:lnTo>
                  <a:pt x="18288" y="0"/>
                </a:lnTo>
                <a:lnTo>
                  <a:pt x="21336" y="0"/>
                </a:lnTo>
                <a:lnTo>
                  <a:pt x="24384" y="1524"/>
                </a:lnTo>
                <a:lnTo>
                  <a:pt x="27432" y="3048"/>
                </a:lnTo>
                <a:lnTo>
                  <a:pt x="30480" y="6096"/>
                </a:lnTo>
                <a:lnTo>
                  <a:pt x="32004" y="10668"/>
                </a:lnTo>
                <a:lnTo>
                  <a:pt x="35052" y="15240"/>
                </a:lnTo>
                <a:lnTo>
                  <a:pt x="36576" y="21336"/>
                </a:lnTo>
                <a:lnTo>
                  <a:pt x="36576" y="30480"/>
                </a:lnTo>
                <a:lnTo>
                  <a:pt x="36576" y="38100"/>
                </a:lnTo>
                <a:lnTo>
                  <a:pt x="35052" y="44195"/>
                </a:lnTo>
                <a:lnTo>
                  <a:pt x="33528" y="50292"/>
                </a:lnTo>
                <a:lnTo>
                  <a:pt x="30480" y="53339"/>
                </a:lnTo>
                <a:lnTo>
                  <a:pt x="28956" y="56387"/>
                </a:lnTo>
                <a:lnTo>
                  <a:pt x="25908" y="57912"/>
                </a:lnTo>
                <a:lnTo>
                  <a:pt x="22859" y="60960"/>
                </a:lnTo>
                <a:lnTo>
                  <a:pt x="18288" y="60960"/>
                </a:lnTo>
                <a:lnTo>
                  <a:pt x="13716" y="60960"/>
                </a:lnTo>
                <a:lnTo>
                  <a:pt x="0" y="60960"/>
                </a:lnTo>
                <a:lnTo>
                  <a:pt x="0" y="0"/>
                </a:lnTo>
                <a:close/>
              </a:path>
            </a:pathLst>
          </a:custGeom>
          <a:ln w="4572">
            <a:solidFill>
              <a:srgbClr val="FFFFFF"/>
            </a:solidFill>
          </a:ln>
        </xdr:spPr>
      </xdr:sp>
      <xdr:sp macro="" textlink="">
        <xdr:nvSpPr>
          <xdr:cNvPr id="212" name="Shape 212">
            <a:extLst>
              <a:ext uri="{FF2B5EF4-FFF2-40B4-BE49-F238E27FC236}">
                <a16:creationId xmlns:a16="http://schemas.microsoft.com/office/drawing/2014/main" id="{00000000-0008-0000-0000-0000D4000000}"/>
              </a:ext>
            </a:extLst>
          </xdr:cNvPr>
          <xdr:cNvSpPr/>
        </xdr:nvSpPr>
        <xdr:spPr>
          <a:xfrm>
            <a:off x="2286" y="2286"/>
            <a:ext cx="53340" cy="79375"/>
          </a:xfrm>
          <a:custGeom>
            <a:avLst/>
            <a:gdLst/>
            <a:ahLst/>
            <a:cxnLst/>
            <a:rect l="0" t="0" r="0" b="0"/>
            <a:pathLst>
              <a:path w="53340" h="79375">
                <a:moveTo>
                  <a:pt x="22860" y="79248"/>
                </a:moveTo>
                <a:lnTo>
                  <a:pt x="30480" y="79248"/>
                </a:lnTo>
                <a:lnTo>
                  <a:pt x="35052" y="79248"/>
                </a:lnTo>
                <a:lnTo>
                  <a:pt x="39624" y="76200"/>
                </a:lnTo>
                <a:lnTo>
                  <a:pt x="44196" y="73152"/>
                </a:lnTo>
                <a:lnTo>
                  <a:pt x="47244" y="68580"/>
                </a:lnTo>
                <a:lnTo>
                  <a:pt x="50292" y="62484"/>
                </a:lnTo>
                <a:lnTo>
                  <a:pt x="53340" y="56388"/>
                </a:lnTo>
                <a:lnTo>
                  <a:pt x="53340" y="48768"/>
                </a:lnTo>
                <a:lnTo>
                  <a:pt x="53340" y="39624"/>
                </a:lnTo>
                <a:lnTo>
                  <a:pt x="53340" y="32004"/>
                </a:lnTo>
                <a:lnTo>
                  <a:pt x="53340" y="25908"/>
                </a:lnTo>
                <a:lnTo>
                  <a:pt x="51816" y="21336"/>
                </a:lnTo>
                <a:lnTo>
                  <a:pt x="50292" y="15240"/>
                </a:lnTo>
                <a:lnTo>
                  <a:pt x="47244" y="12192"/>
                </a:lnTo>
                <a:lnTo>
                  <a:pt x="45720" y="7620"/>
                </a:lnTo>
                <a:lnTo>
                  <a:pt x="42672" y="4572"/>
                </a:lnTo>
                <a:lnTo>
                  <a:pt x="39624" y="3048"/>
                </a:lnTo>
                <a:lnTo>
                  <a:pt x="35052" y="1524"/>
                </a:lnTo>
                <a:lnTo>
                  <a:pt x="32004" y="0"/>
                </a:lnTo>
                <a:lnTo>
                  <a:pt x="27432" y="0"/>
                </a:lnTo>
                <a:lnTo>
                  <a:pt x="22860" y="0"/>
                </a:lnTo>
                <a:lnTo>
                  <a:pt x="0" y="0"/>
                </a:lnTo>
                <a:lnTo>
                  <a:pt x="0" y="79248"/>
                </a:lnTo>
                <a:lnTo>
                  <a:pt x="22860" y="79248"/>
                </a:lnTo>
                <a:close/>
              </a:path>
            </a:pathLst>
          </a:custGeom>
          <a:ln w="4572">
            <a:solidFill>
              <a:srgbClr val="FFFFFF"/>
            </a:solidFill>
          </a:ln>
        </xdr:spPr>
      </xdr:sp>
    </xdr:grpSp>
    <xdr:clientData/>
  </xdr:oneCellAnchor>
  <xdr:oneCellAnchor>
    <xdr:from>
      <xdr:col>19</xdr:col>
      <xdr:colOff>45720</xdr:colOff>
      <xdr:row>49</xdr:row>
      <xdr:rowOff>16002</xdr:rowOff>
    </xdr:from>
    <xdr:ext cx="53340" cy="83820"/>
    <xdr:grpSp>
      <xdr:nvGrpSpPr>
        <xdr:cNvPr id="213" name="Group 213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GrpSpPr/>
      </xdr:nvGrpSpPr>
      <xdr:grpSpPr>
        <a:xfrm>
          <a:off x="2503170" y="10769727"/>
          <a:ext cx="53340" cy="83820"/>
          <a:chOff x="0" y="0"/>
          <a:chExt cx="53340" cy="83820"/>
        </a:xfrm>
      </xdr:grpSpPr>
      <xdr:sp macro="" textlink="">
        <xdr:nvSpPr>
          <xdr:cNvPr id="214" name="Shape 214">
            <a:extLst>
              <a:ext uri="{FF2B5EF4-FFF2-40B4-BE49-F238E27FC236}">
                <a16:creationId xmlns:a16="http://schemas.microsoft.com/office/drawing/2014/main" id="{00000000-0008-0000-0000-0000D6000000}"/>
              </a:ext>
            </a:extLst>
          </xdr:cNvPr>
          <xdr:cNvSpPr/>
        </xdr:nvSpPr>
        <xdr:spPr>
          <a:xfrm>
            <a:off x="1949" y="3371"/>
            <a:ext cx="48895" cy="80010"/>
          </a:xfrm>
          <a:custGeom>
            <a:avLst/>
            <a:gdLst/>
            <a:ahLst/>
            <a:cxnLst/>
            <a:rect l="0" t="0" r="0" b="0"/>
            <a:pathLst>
              <a:path w="48895" h="80010">
                <a:moveTo>
                  <a:pt x="48728" y="79656"/>
                </a:moveTo>
                <a:lnTo>
                  <a:pt x="0" y="79656"/>
                </a:lnTo>
                <a:lnTo>
                  <a:pt x="0" y="0"/>
                </a:lnTo>
                <a:lnTo>
                  <a:pt x="47170" y="0"/>
                </a:lnTo>
                <a:lnTo>
                  <a:pt x="47170" y="9345"/>
                </a:lnTo>
                <a:lnTo>
                  <a:pt x="8677" y="9345"/>
                </a:lnTo>
                <a:lnTo>
                  <a:pt x="8677" y="33820"/>
                </a:lnTo>
                <a:lnTo>
                  <a:pt x="44834" y="33820"/>
                </a:lnTo>
                <a:lnTo>
                  <a:pt x="44834" y="43165"/>
                </a:lnTo>
                <a:lnTo>
                  <a:pt x="8677" y="43165"/>
                </a:lnTo>
                <a:lnTo>
                  <a:pt x="8677" y="70311"/>
                </a:lnTo>
                <a:lnTo>
                  <a:pt x="48728" y="70311"/>
                </a:lnTo>
                <a:lnTo>
                  <a:pt x="48728" y="79656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215" name="Shape 215">
            <a:extLst>
              <a:ext uri="{FF2B5EF4-FFF2-40B4-BE49-F238E27FC236}">
                <a16:creationId xmlns:a16="http://schemas.microsoft.com/office/drawing/2014/main" id="{00000000-0008-0000-0000-0000D7000000}"/>
              </a:ext>
            </a:extLst>
          </xdr:cNvPr>
          <xdr:cNvSpPr/>
        </xdr:nvSpPr>
        <xdr:spPr>
          <a:xfrm>
            <a:off x="2286" y="2286"/>
            <a:ext cx="48895" cy="79375"/>
          </a:xfrm>
          <a:custGeom>
            <a:avLst/>
            <a:gdLst/>
            <a:ahLst/>
            <a:cxnLst/>
            <a:rect l="0" t="0" r="0" b="0"/>
            <a:pathLst>
              <a:path w="48895" h="79375">
                <a:moveTo>
                  <a:pt x="48768" y="79248"/>
                </a:moveTo>
                <a:lnTo>
                  <a:pt x="48768" y="70104"/>
                </a:lnTo>
                <a:lnTo>
                  <a:pt x="9144" y="70104"/>
                </a:lnTo>
                <a:lnTo>
                  <a:pt x="9144" y="42672"/>
                </a:lnTo>
                <a:lnTo>
                  <a:pt x="45720" y="42672"/>
                </a:lnTo>
                <a:lnTo>
                  <a:pt x="45720" y="33528"/>
                </a:lnTo>
                <a:lnTo>
                  <a:pt x="9144" y="33528"/>
                </a:lnTo>
                <a:lnTo>
                  <a:pt x="9144" y="9144"/>
                </a:lnTo>
                <a:lnTo>
                  <a:pt x="47244" y="9144"/>
                </a:lnTo>
                <a:lnTo>
                  <a:pt x="47244" y="0"/>
                </a:lnTo>
                <a:lnTo>
                  <a:pt x="0" y="0"/>
                </a:lnTo>
                <a:lnTo>
                  <a:pt x="0" y="79248"/>
                </a:lnTo>
                <a:lnTo>
                  <a:pt x="48768" y="79248"/>
                </a:lnTo>
                <a:close/>
              </a:path>
            </a:pathLst>
          </a:custGeom>
          <a:ln w="4572">
            <a:solidFill>
              <a:srgbClr val="FFFFFF"/>
            </a:solidFill>
          </a:ln>
        </xdr:spPr>
      </xdr:sp>
    </xdr:grpSp>
    <xdr:clientData/>
  </xdr:oneCellAnchor>
  <xdr:oneCellAnchor>
    <xdr:from>
      <xdr:col>22</xdr:col>
      <xdr:colOff>22</xdr:colOff>
      <xdr:row>49</xdr:row>
      <xdr:rowOff>19372</xdr:rowOff>
    </xdr:from>
    <xdr:ext cx="44450" cy="80010"/>
    <xdr:sp macro="" textlink="">
      <xdr:nvSpPr>
        <xdr:cNvPr id="216" name="Shape 216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/>
      </xdr:nvSpPr>
      <xdr:spPr>
        <a:xfrm>
          <a:off x="0" y="0"/>
          <a:ext cx="44450" cy="80010"/>
        </a:xfrm>
        <a:custGeom>
          <a:avLst/>
          <a:gdLst/>
          <a:ahLst/>
          <a:cxnLst/>
          <a:rect l="0" t="0" r="0" b="0"/>
          <a:pathLst>
            <a:path w="44450" h="80010">
              <a:moveTo>
                <a:pt x="8677" y="79656"/>
              </a:moveTo>
              <a:lnTo>
                <a:pt x="0" y="79656"/>
              </a:lnTo>
              <a:lnTo>
                <a:pt x="0" y="0"/>
              </a:lnTo>
              <a:lnTo>
                <a:pt x="44055" y="0"/>
              </a:lnTo>
              <a:lnTo>
                <a:pt x="44055" y="9345"/>
              </a:lnTo>
              <a:lnTo>
                <a:pt x="8677" y="9345"/>
              </a:lnTo>
              <a:lnTo>
                <a:pt x="8677" y="34154"/>
              </a:lnTo>
              <a:lnTo>
                <a:pt x="39271" y="34154"/>
              </a:lnTo>
              <a:lnTo>
                <a:pt x="39271" y="43499"/>
              </a:lnTo>
              <a:lnTo>
                <a:pt x="8677" y="43499"/>
              </a:lnTo>
              <a:lnTo>
                <a:pt x="8677" y="79656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23</xdr:col>
      <xdr:colOff>38100</xdr:colOff>
      <xdr:row>49</xdr:row>
      <xdr:rowOff>16002</xdr:rowOff>
    </xdr:from>
    <xdr:ext cx="66040" cy="86995"/>
    <xdr:grpSp>
      <xdr:nvGrpSpPr>
        <xdr:cNvPr id="217" name="Group 217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GrpSpPr/>
      </xdr:nvGrpSpPr>
      <xdr:grpSpPr>
        <a:xfrm>
          <a:off x="2762250" y="10769727"/>
          <a:ext cx="66040" cy="86995"/>
          <a:chOff x="0" y="0"/>
          <a:chExt cx="66040" cy="86995"/>
        </a:xfrm>
      </xdr:grpSpPr>
      <xdr:sp macro="" textlink="">
        <xdr:nvSpPr>
          <xdr:cNvPr id="218" name="Shape 218">
            <a:extLst>
              <a:ext uri="{FF2B5EF4-FFF2-40B4-BE49-F238E27FC236}">
                <a16:creationId xmlns:a16="http://schemas.microsoft.com/office/drawing/2014/main" id="{00000000-0008-0000-0000-0000DA000000}"/>
              </a:ext>
            </a:extLst>
          </xdr:cNvPr>
          <xdr:cNvSpPr/>
        </xdr:nvSpPr>
        <xdr:spPr>
          <a:xfrm>
            <a:off x="2666" y="2036"/>
            <a:ext cx="60960" cy="82550"/>
          </a:xfrm>
          <a:custGeom>
            <a:avLst/>
            <a:gdLst/>
            <a:ahLst/>
            <a:cxnLst/>
            <a:rect l="0" t="0" r="0" b="0"/>
            <a:pathLst>
              <a:path w="60960" h="82550">
                <a:moveTo>
                  <a:pt x="38085" y="82326"/>
                </a:moveTo>
                <a:lnTo>
                  <a:pt x="26885" y="82326"/>
                </a:lnTo>
                <a:lnTo>
                  <a:pt x="21212" y="80731"/>
                </a:lnTo>
                <a:lnTo>
                  <a:pt x="0" y="50100"/>
                </a:lnTo>
                <a:lnTo>
                  <a:pt x="0" y="32819"/>
                </a:lnTo>
                <a:lnTo>
                  <a:pt x="1483" y="25254"/>
                </a:lnTo>
                <a:lnTo>
                  <a:pt x="4450" y="18801"/>
                </a:lnTo>
                <a:lnTo>
                  <a:pt x="7342" y="12423"/>
                </a:lnTo>
                <a:lnTo>
                  <a:pt x="11162" y="7676"/>
                </a:lnTo>
                <a:lnTo>
                  <a:pt x="15909" y="4561"/>
                </a:lnTo>
                <a:lnTo>
                  <a:pt x="20655" y="1520"/>
                </a:lnTo>
                <a:lnTo>
                  <a:pt x="26292" y="0"/>
                </a:lnTo>
                <a:lnTo>
                  <a:pt x="37566" y="0"/>
                </a:lnTo>
                <a:lnTo>
                  <a:pt x="41719" y="890"/>
                </a:lnTo>
                <a:lnTo>
                  <a:pt x="45279" y="2670"/>
                </a:lnTo>
                <a:lnTo>
                  <a:pt x="48913" y="4450"/>
                </a:lnTo>
                <a:lnTo>
                  <a:pt x="51880" y="6971"/>
                </a:lnTo>
                <a:lnTo>
                  <a:pt x="56478" y="13498"/>
                </a:lnTo>
                <a:lnTo>
                  <a:pt x="58221" y="17985"/>
                </a:lnTo>
                <a:lnTo>
                  <a:pt x="59408" y="23696"/>
                </a:lnTo>
                <a:lnTo>
                  <a:pt x="51620" y="26255"/>
                </a:lnTo>
                <a:lnTo>
                  <a:pt x="50582" y="21731"/>
                </a:lnTo>
                <a:lnTo>
                  <a:pt x="49247" y="18356"/>
                </a:lnTo>
                <a:lnTo>
                  <a:pt x="47615" y="16131"/>
                </a:lnTo>
                <a:lnTo>
                  <a:pt x="46058" y="13906"/>
                </a:lnTo>
                <a:lnTo>
                  <a:pt x="43981" y="12163"/>
                </a:lnTo>
                <a:lnTo>
                  <a:pt x="41385" y="10902"/>
                </a:lnTo>
                <a:lnTo>
                  <a:pt x="38715" y="9641"/>
                </a:lnTo>
                <a:lnTo>
                  <a:pt x="35786" y="9011"/>
                </a:lnTo>
                <a:lnTo>
                  <a:pt x="27850" y="9011"/>
                </a:lnTo>
                <a:lnTo>
                  <a:pt x="12015" y="23251"/>
                </a:lnTo>
                <a:lnTo>
                  <a:pt x="9938" y="28072"/>
                </a:lnTo>
                <a:lnTo>
                  <a:pt x="8900" y="33968"/>
                </a:lnTo>
                <a:lnTo>
                  <a:pt x="8900" y="51620"/>
                </a:lnTo>
                <a:lnTo>
                  <a:pt x="11125" y="59593"/>
                </a:lnTo>
                <a:lnTo>
                  <a:pt x="15575" y="64859"/>
                </a:lnTo>
                <a:lnTo>
                  <a:pt x="20025" y="70200"/>
                </a:lnTo>
                <a:lnTo>
                  <a:pt x="25810" y="72870"/>
                </a:lnTo>
                <a:lnTo>
                  <a:pt x="36342" y="72870"/>
                </a:lnTo>
                <a:lnTo>
                  <a:pt x="51954" y="64637"/>
                </a:lnTo>
                <a:lnTo>
                  <a:pt x="51954" y="49729"/>
                </a:lnTo>
                <a:lnTo>
                  <a:pt x="32819" y="49729"/>
                </a:lnTo>
                <a:lnTo>
                  <a:pt x="32819" y="40384"/>
                </a:lnTo>
                <a:lnTo>
                  <a:pt x="60409" y="40384"/>
                </a:lnTo>
                <a:lnTo>
                  <a:pt x="60409" y="69977"/>
                </a:lnTo>
                <a:lnTo>
                  <a:pt x="56182" y="74056"/>
                </a:lnTo>
                <a:lnTo>
                  <a:pt x="51806" y="77134"/>
                </a:lnTo>
                <a:lnTo>
                  <a:pt x="42757" y="81288"/>
                </a:lnTo>
                <a:lnTo>
                  <a:pt x="38085" y="82326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219" name="Shape 219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/>
        </xdr:nvSpPr>
        <xdr:spPr>
          <a:xfrm>
            <a:off x="2286" y="2286"/>
            <a:ext cx="60960" cy="82550"/>
          </a:xfrm>
          <a:custGeom>
            <a:avLst/>
            <a:gdLst/>
            <a:ahLst/>
            <a:cxnLst/>
            <a:rect l="0" t="0" r="0" b="0"/>
            <a:pathLst>
              <a:path w="60960" h="82550">
                <a:moveTo>
                  <a:pt x="53339" y="50291"/>
                </a:moveTo>
                <a:lnTo>
                  <a:pt x="53339" y="65531"/>
                </a:lnTo>
                <a:lnTo>
                  <a:pt x="50291" y="67055"/>
                </a:lnTo>
                <a:lnTo>
                  <a:pt x="47243" y="68579"/>
                </a:lnTo>
                <a:lnTo>
                  <a:pt x="44195" y="70103"/>
                </a:lnTo>
                <a:lnTo>
                  <a:pt x="41147" y="73151"/>
                </a:lnTo>
                <a:lnTo>
                  <a:pt x="36575" y="73151"/>
                </a:lnTo>
                <a:lnTo>
                  <a:pt x="33527" y="73151"/>
                </a:lnTo>
                <a:lnTo>
                  <a:pt x="25907" y="73151"/>
                </a:lnTo>
                <a:lnTo>
                  <a:pt x="21335" y="70103"/>
                </a:lnTo>
                <a:lnTo>
                  <a:pt x="9143" y="41147"/>
                </a:lnTo>
                <a:lnTo>
                  <a:pt x="9143" y="33527"/>
                </a:lnTo>
                <a:lnTo>
                  <a:pt x="10667" y="28955"/>
                </a:lnTo>
                <a:lnTo>
                  <a:pt x="12191" y="22859"/>
                </a:lnTo>
                <a:lnTo>
                  <a:pt x="15239" y="18287"/>
                </a:lnTo>
                <a:lnTo>
                  <a:pt x="16763" y="15239"/>
                </a:lnTo>
                <a:lnTo>
                  <a:pt x="21335" y="12191"/>
                </a:lnTo>
                <a:lnTo>
                  <a:pt x="24383" y="10667"/>
                </a:lnTo>
                <a:lnTo>
                  <a:pt x="28955" y="9143"/>
                </a:lnTo>
                <a:lnTo>
                  <a:pt x="33527" y="9143"/>
                </a:lnTo>
                <a:lnTo>
                  <a:pt x="36575" y="9143"/>
                </a:lnTo>
                <a:lnTo>
                  <a:pt x="39623" y="9143"/>
                </a:lnTo>
                <a:lnTo>
                  <a:pt x="42671" y="10667"/>
                </a:lnTo>
                <a:lnTo>
                  <a:pt x="44195" y="12191"/>
                </a:lnTo>
                <a:lnTo>
                  <a:pt x="47243" y="13715"/>
                </a:lnTo>
                <a:lnTo>
                  <a:pt x="48767" y="16763"/>
                </a:lnTo>
                <a:lnTo>
                  <a:pt x="50291" y="18287"/>
                </a:lnTo>
                <a:lnTo>
                  <a:pt x="51815" y="21335"/>
                </a:lnTo>
                <a:lnTo>
                  <a:pt x="51815" y="25907"/>
                </a:lnTo>
                <a:lnTo>
                  <a:pt x="60959" y="24383"/>
                </a:lnTo>
                <a:lnTo>
                  <a:pt x="59435" y="18287"/>
                </a:lnTo>
                <a:lnTo>
                  <a:pt x="57911" y="13715"/>
                </a:lnTo>
                <a:lnTo>
                  <a:pt x="54863" y="10667"/>
                </a:lnTo>
                <a:lnTo>
                  <a:pt x="53339" y="7619"/>
                </a:lnTo>
                <a:lnTo>
                  <a:pt x="50291" y="4571"/>
                </a:lnTo>
                <a:lnTo>
                  <a:pt x="45719" y="3047"/>
                </a:lnTo>
                <a:lnTo>
                  <a:pt x="42671" y="1523"/>
                </a:lnTo>
                <a:lnTo>
                  <a:pt x="38099" y="0"/>
                </a:lnTo>
                <a:lnTo>
                  <a:pt x="33527" y="0"/>
                </a:lnTo>
                <a:lnTo>
                  <a:pt x="27431" y="0"/>
                </a:lnTo>
                <a:lnTo>
                  <a:pt x="21335" y="1523"/>
                </a:lnTo>
                <a:lnTo>
                  <a:pt x="16763" y="4571"/>
                </a:lnTo>
                <a:lnTo>
                  <a:pt x="12191" y="7619"/>
                </a:lnTo>
                <a:lnTo>
                  <a:pt x="7619" y="12191"/>
                </a:lnTo>
                <a:lnTo>
                  <a:pt x="4571" y="18287"/>
                </a:lnTo>
                <a:lnTo>
                  <a:pt x="1523" y="25907"/>
                </a:lnTo>
                <a:lnTo>
                  <a:pt x="0" y="33527"/>
                </a:lnTo>
                <a:lnTo>
                  <a:pt x="0" y="41147"/>
                </a:lnTo>
                <a:lnTo>
                  <a:pt x="0" y="50291"/>
                </a:lnTo>
                <a:lnTo>
                  <a:pt x="1523" y="57911"/>
                </a:lnTo>
                <a:lnTo>
                  <a:pt x="4571" y="64007"/>
                </a:lnTo>
                <a:lnTo>
                  <a:pt x="7619" y="70103"/>
                </a:lnTo>
                <a:lnTo>
                  <a:pt x="12191" y="74675"/>
                </a:lnTo>
                <a:lnTo>
                  <a:pt x="16763" y="77723"/>
                </a:lnTo>
                <a:lnTo>
                  <a:pt x="21335" y="80771"/>
                </a:lnTo>
                <a:lnTo>
                  <a:pt x="27431" y="82295"/>
                </a:lnTo>
                <a:lnTo>
                  <a:pt x="33527" y="82295"/>
                </a:lnTo>
                <a:lnTo>
                  <a:pt x="38099" y="82295"/>
                </a:lnTo>
                <a:lnTo>
                  <a:pt x="44195" y="82295"/>
                </a:lnTo>
                <a:lnTo>
                  <a:pt x="48767" y="79247"/>
                </a:lnTo>
                <a:lnTo>
                  <a:pt x="53339" y="77723"/>
                </a:lnTo>
                <a:lnTo>
                  <a:pt x="56387" y="74675"/>
                </a:lnTo>
                <a:lnTo>
                  <a:pt x="60959" y="70103"/>
                </a:lnTo>
                <a:lnTo>
                  <a:pt x="60959" y="41147"/>
                </a:lnTo>
                <a:lnTo>
                  <a:pt x="33527" y="41147"/>
                </a:lnTo>
                <a:lnTo>
                  <a:pt x="33527" y="50291"/>
                </a:lnTo>
                <a:lnTo>
                  <a:pt x="53339" y="50291"/>
                </a:lnTo>
                <a:close/>
              </a:path>
            </a:pathLst>
          </a:custGeom>
          <a:ln w="4572">
            <a:solidFill>
              <a:srgbClr val="FFFFFF"/>
            </a:solidFill>
          </a:ln>
        </xdr:spPr>
      </xdr:sp>
    </xdr:grpSp>
    <xdr:clientData/>
  </xdr:oneCellAnchor>
  <xdr:oneCellAnchor>
    <xdr:from>
      <xdr:col>51</xdr:col>
      <xdr:colOff>86359</xdr:colOff>
      <xdr:row>75</xdr:row>
      <xdr:rowOff>2031</xdr:rowOff>
    </xdr:from>
    <xdr:ext cx="1443355" cy="469900"/>
    <xdr:grpSp>
      <xdr:nvGrpSpPr>
        <xdr:cNvPr id="220" name="Group 220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GrpSpPr/>
      </xdr:nvGrpSpPr>
      <xdr:grpSpPr>
        <a:xfrm>
          <a:off x="6153784" y="20204556"/>
          <a:ext cx="1443355" cy="469900"/>
          <a:chOff x="0" y="0"/>
          <a:chExt cx="1443355" cy="469900"/>
        </a:xfrm>
      </xdr:grpSpPr>
      <xdr:pic>
        <xdr:nvPicPr>
          <xdr:cNvPr id="221" name="image1.jpeg">
            <a:extLst>
              <a:ext uri="{FF2B5EF4-FFF2-40B4-BE49-F238E27FC236}">
                <a16:creationId xmlns:a16="http://schemas.microsoft.com/office/drawing/2014/main" id="{00000000-0008-0000-0000-0000D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1647" y="120395"/>
            <a:ext cx="851916" cy="115823"/>
          </a:xfrm>
          <a:prstGeom prst="rect">
            <a:avLst/>
          </a:prstGeom>
        </xdr:spPr>
      </xdr:pic>
      <xdr:pic>
        <xdr:nvPicPr>
          <xdr:cNvPr id="222" name="image2.jpeg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80516" y="0"/>
            <a:ext cx="362711" cy="469391"/>
          </a:xfrm>
          <a:prstGeom prst="rect">
            <a:avLst/>
          </a:prstGeom>
        </xdr:spPr>
      </xdr:pic>
      <xdr:pic>
        <xdr:nvPicPr>
          <xdr:cNvPr id="223" name="image3.jpeg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33172"/>
            <a:ext cx="1083564" cy="236219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432816</xdr:colOff>
      <xdr:row>75</xdr:row>
      <xdr:rowOff>2031</xdr:rowOff>
    </xdr:from>
    <xdr:ext cx="902207" cy="542544"/>
    <xdr:pic>
      <xdr:nvPicPr>
        <xdr:cNvPr id="224" name="image92.png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2207" cy="542544"/>
        </a:xfrm>
        <a:prstGeom prst="rect">
          <a:avLst/>
        </a:prstGeom>
      </xdr:spPr>
    </xdr:pic>
    <xdr:clientData/>
  </xdr:oneCellAnchor>
  <xdr:oneCellAnchor>
    <xdr:from>
      <xdr:col>43</xdr:col>
      <xdr:colOff>61467</xdr:colOff>
      <xdr:row>105</xdr:row>
      <xdr:rowOff>83057</xdr:rowOff>
    </xdr:from>
    <xdr:ext cx="760095" cy="719455"/>
    <xdr:grpSp>
      <xdr:nvGrpSpPr>
        <xdr:cNvPr id="225" name="Group 225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GrpSpPr/>
      </xdr:nvGrpSpPr>
      <xdr:grpSpPr>
        <a:xfrm>
          <a:off x="5033517" y="29248607"/>
          <a:ext cx="760095" cy="719455"/>
          <a:chOff x="0" y="0"/>
          <a:chExt cx="760095" cy="719455"/>
        </a:xfrm>
      </xdr:grpSpPr>
      <xdr:pic>
        <xdr:nvPicPr>
          <xdr:cNvPr id="226" name="image48.png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0979" y="397763"/>
            <a:ext cx="252984" cy="85344"/>
          </a:xfrm>
          <a:prstGeom prst="rect">
            <a:avLst/>
          </a:prstGeom>
        </xdr:spPr>
      </xdr:pic>
      <xdr:pic>
        <xdr:nvPicPr>
          <xdr:cNvPr id="227" name="image93.png">
            <a:extLst>
              <a:ext uri="{FF2B5EF4-FFF2-40B4-BE49-F238E27FC236}">
                <a16:creationId xmlns:a16="http://schemas.microsoft.com/office/drawing/2014/main" id="{00000000-0008-0000-0000-0000E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19327" cy="719328"/>
          </a:xfrm>
          <a:prstGeom prst="rect">
            <a:avLst/>
          </a:prstGeom>
        </xdr:spPr>
      </xdr:pic>
      <xdr:pic>
        <xdr:nvPicPr>
          <xdr:cNvPr id="228" name="image94.png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51104" y="309372"/>
            <a:ext cx="47244" cy="62483"/>
          </a:xfrm>
          <a:prstGeom prst="rect">
            <a:avLst/>
          </a:prstGeom>
        </xdr:spPr>
      </xdr:pic>
      <xdr:pic>
        <xdr:nvPicPr>
          <xdr:cNvPr id="229" name="image62.png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0979" y="397763"/>
            <a:ext cx="252983" cy="85344"/>
          </a:xfrm>
          <a:prstGeom prst="rect">
            <a:avLst/>
          </a:prstGeom>
        </xdr:spPr>
      </xdr:pic>
      <xdr:sp macro="" textlink="">
        <xdr:nvSpPr>
          <xdr:cNvPr id="230" name="Shape 230">
            <a:extLst>
              <a:ext uri="{FF2B5EF4-FFF2-40B4-BE49-F238E27FC236}">
                <a16:creationId xmlns:a16="http://schemas.microsoft.com/office/drawing/2014/main" id="{00000000-0008-0000-0000-0000E6000000}"/>
              </a:ext>
            </a:extLst>
          </xdr:cNvPr>
          <xdr:cNvSpPr/>
        </xdr:nvSpPr>
        <xdr:spPr>
          <a:xfrm>
            <a:off x="755904" y="106679"/>
            <a:ext cx="0" cy="108585"/>
          </a:xfrm>
          <a:custGeom>
            <a:avLst/>
            <a:gdLst/>
            <a:ahLst/>
            <a:cxnLst/>
            <a:rect l="0" t="0" r="0" b="0"/>
            <a:pathLst>
              <a:path h="108585">
                <a:moveTo>
                  <a:pt x="0" y="0"/>
                </a:moveTo>
                <a:lnTo>
                  <a:pt x="0" y="108204"/>
                </a:lnTo>
              </a:path>
            </a:pathLst>
          </a:custGeom>
          <a:ln w="7620">
            <a:solidFill>
              <a:srgbClr val="000000"/>
            </a:solidFill>
          </a:ln>
        </xdr:spPr>
      </xdr:sp>
    </xdr:grpSp>
    <xdr:clientData/>
  </xdr:oneCellAnchor>
  <xdr:oneCellAnchor>
    <xdr:from>
      <xdr:col>33</xdr:col>
      <xdr:colOff>73152</xdr:colOff>
      <xdr:row>103</xdr:row>
      <xdr:rowOff>1319783</xdr:rowOff>
    </xdr:from>
    <xdr:ext cx="1061085" cy="266700"/>
    <xdr:grpSp>
      <xdr:nvGrpSpPr>
        <xdr:cNvPr id="231" name="Group 231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GrpSpPr/>
      </xdr:nvGrpSpPr>
      <xdr:grpSpPr>
        <a:xfrm>
          <a:off x="3902202" y="28370783"/>
          <a:ext cx="1061085" cy="266700"/>
          <a:chOff x="0" y="0"/>
          <a:chExt cx="1061085" cy="266700"/>
        </a:xfrm>
      </xdr:grpSpPr>
      <xdr:pic>
        <xdr:nvPicPr>
          <xdr:cNvPr id="232" name="image95.jpeg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595" y="0"/>
            <a:ext cx="644651" cy="86867"/>
          </a:xfrm>
          <a:prstGeom prst="rect">
            <a:avLst/>
          </a:prstGeom>
        </xdr:spPr>
      </xdr:pic>
      <xdr:pic>
        <xdr:nvPicPr>
          <xdr:cNvPr id="233" name="image96.jpeg">
            <a:extLst>
              <a:ext uri="{FF2B5EF4-FFF2-40B4-BE49-F238E27FC236}">
                <a16:creationId xmlns:a16="http://schemas.microsoft.com/office/drawing/2014/main" id="{00000000-0008-0000-0000-0000E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39724" y="0"/>
            <a:ext cx="220979" cy="173735"/>
          </a:xfrm>
          <a:prstGeom prst="rect">
            <a:avLst/>
          </a:prstGeom>
        </xdr:spPr>
      </xdr:pic>
      <xdr:pic>
        <xdr:nvPicPr>
          <xdr:cNvPr id="234" name="image97.jpeg">
            <a:extLst>
              <a:ext uri="{FF2B5EF4-FFF2-40B4-BE49-F238E27FC236}">
                <a16:creationId xmlns:a16="http://schemas.microsoft.com/office/drawing/2014/main" id="{00000000-0008-0000-0000-0000E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3819"/>
            <a:ext cx="841248" cy="182879"/>
          </a:xfrm>
          <a:prstGeom prst="rect">
            <a:avLst/>
          </a:prstGeom>
        </xdr:spPr>
      </xdr:pic>
    </xdr:grpSp>
    <xdr:clientData/>
  </xdr:oneCellAnchor>
  <xdr:absoluteAnchor>
    <xdr:pos x="2180889" y="31685101"/>
    <xdr:ext cx="0" cy="108585"/>
    <xdr:sp macro="" textlink="">
      <xdr:nvSpPr>
        <xdr:cNvPr id="235" name="Shape 235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/>
      </xdr:nvSpPr>
      <xdr:spPr>
        <a:xfrm>
          <a:off x="0" y="0"/>
          <a:ext cx="0" cy="108585"/>
        </a:xfrm>
        <a:custGeom>
          <a:avLst/>
          <a:gdLst/>
          <a:ahLst/>
          <a:cxnLst/>
          <a:rect l="0" t="0" r="0" b="0"/>
          <a:pathLst>
            <a:path h="108585">
              <a:moveTo>
                <a:pt x="0" y="0"/>
              </a:moveTo>
              <a:lnTo>
                <a:pt x="0" y="108204"/>
              </a:lnTo>
            </a:path>
          </a:pathLst>
        </a:custGeom>
        <a:ln w="7620">
          <a:solidFill>
            <a:srgbClr val="000000"/>
          </a:solidFill>
        </a:ln>
      </xdr:spPr>
    </xdr:sp>
    <xdr:clientData/>
  </xdr:absoluteAnchor>
  <xdr:absoluteAnchor>
    <xdr:pos x="2324145" y="31685101"/>
    <xdr:ext cx="0" cy="108585"/>
    <xdr:sp macro="" textlink="">
      <xdr:nvSpPr>
        <xdr:cNvPr id="236" name="Shape 236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/>
      </xdr:nvSpPr>
      <xdr:spPr>
        <a:xfrm>
          <a:off x="0" y="0"/>
          <a:ext cx="0" cy="108585"/>
        </a:xfrm>
        <a:custGeom>
          <a:avLst/>
          <a:gdLst/>
          <a:ahLst/>
          <a:cxnLst/>
          <a:rect l="0" t="0" r="0" b="0"/>
          <a:pathLst>
            <a:path h="108585">
              <a:moveTo>
                <a:pt x="0" y="0"/>
              </a:moveTo>
              <a:lnTo>
                <a:pt x="0" y="108204"/>
              </a:lnTo>
            </a:path>
          </a:pathLst>
        </a:custGeom>
        <a:ln w="7620">
          <a:solidFill>
            <a:srgbClr val="000000"/>
          </a:solidFill>
        </a:ln>
      </xdr:spPr>
    </xdr:sp>
    <xdr:clientData/>
  </xdr:absoluteAnchor>
  <xdr:absoluteAnchor>
    <xdr:pos x="2503977" y="31685101"/>
    <xdr:ext cx="0" cy="108585"/>
    <xdr:sp macro="" textlink="">
      <xdr:nvSpPr>
        <xdr:cNvPr id="237" name="Shape 237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/>
      </xdr:nvSpPr>
      <xdr:spPr>
        <a:xfrm>
          <a:off x="0" y="0"/>
          <a:ext cx="0" cy="108585"/>
        </a:xfrm>
        <a:custGeom>
          <a:avLst/>
          <a:gdLst/>
          <a:ahLst/>
          <a:cxnLst/>
          <a:rect l="0" t="0" r="0" b="0"/>
          <a:pathLst>
            <a:path h="108585">
              <a:moveTo>
                <a:pt x="0" y="0"/>
              </a:moveTo>
              <a:lnTo>
                <a:pt x="0" y="108204"/>
              </a:lnTo>
            </a:path>
          </a:pathLst>
        </a:custGeom>
        <a:ln w="7620">
          <a:solidFill>
            <a:srgbClr val="000000"/>
          </a:solidFill>
        </a:ln>
      </xdr:spPr>
    </xdr:sp>
    <xdr:clientData/>
  </xdr:absoluteAnchor>
  <xdr:absoluteAnchor>
    <xdr:pos x="2648757" y="31685101"/>
    <xdr:ext cx="0" cy="108585"/>
    <xdr:sp macro="" textlink="">
      <xdr:nvSpPr>
        <xdr:cNvPr id="238" name="Shape 238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/>
      </xdr:nvSpPr>
      <xdr:spPr>
        <a:xfrm>
          <a:off x="0" y="0"/>
          <a:ext cx="0" cy="108585"/>
        </a:xfrm>
        <a:custGeom>
          <a:avLst/>
          <a:gdLst/>
          <a:ahLst/>
          <a:cxnLst/>
          <a:rect l="0" t="0" r="0" b="0"/>
          <a:pathLst>
            <a:path h="108585">
              <a:moveTo>
                <a:pt x="0" y="0"/>
              </a:moveTo>
              <a:lnTo>
                <a:pt x="0" y="108204"/>
              </a:lnTo>
            </a:path>
          </a:pathLst>
        </a:custGeom>
        <a:ln w="7620">
          <a:solidFill>
            <a:srgbClr val="000000"/>
          </a:solidFill>
        </a:ln>
      </xdr:spPr>
    </xdr:sp>
    <xdr:clientData/>
  </xdr:absoluteAnchor>
  <xdr:absoluteAnchor>
    <xdr:pos x="2792013" y="31685101"/>
    <xdr:ext cx="0" cy="108585"/>
    <xdr:sp macro="" textlink="">
      <xdr:nvSpPr>
        <xdr:cNvPr id="239" name="Shape 239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/>
      </xdr:nvSpPr>
      <xdr:spPr>
        <a:xfrm>
          <a:off x="0" y="0"/>
          <a:ext cx="0" cy="108585"/>
        </a:xfrm>
        <a:custGeom>
          <a:avLst/>
          <a:gdLst/>
          <a:ahLst/>
          <a:cxnLst/>
          <a:rect l="0" t="0" r="0" b="0"/>
          <a:pathLst>
            <a:path h="108585">
              <a:moveTo>
                <a:pt x="0" y="0"/>
              </a:moveTo>
              <a:lnTo>
                <a:pt x="0" y="108204"/>
              </a:lnTo>
            </a:path>
          </a:pathLst>
        </a:custGeom>
        <a:ln w="7620">
          <a:solidFill>
            <a:srgbClr val="000000"/>
          </a:solidFill>
        </a:ln>
      </xdr:spPr>
    </xdr:sp>
    <xdr:clientData/>
  </xdr:absoluteAnchor>
  <xdr:absoluteAnchor>
    <xdr:pos x="3087042" y="31685101"/>
    <xdr:ext cx="0" cy="108585"/>
    <xdr:sp macro="" textlink="">
      <xdr:nvSpPr>
        <xdr:cNvPr id="240" name="Shape 240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/>
      </xdr:nvSpPr>
      <xdr:spPr>
        <a:xfrm>
          <a:off x="0" y="0"/>
          <a:ext cx="0" cy="108585"/>
        </a:xfrm>
        <a:custGeom>
          <a:avLst/>
          <a:gdLst/>
          <a:ahLst/>
          <a:cxnLst/>
          <a:rect l="0" t="0" r="0" b="0"/>
          <a:pathLst>
            <a:path h="108585">
              <a:moveTo>
                <a:pt x="0" y="0"/>
              </a:moveTo>
              <a:lnTo>
                <a:pt x="0" y="108204"/>
              </a:lnTo>
            </a:path>
          </a:pathLst>
        </a:custGeom>
        <a:ln w="7620">
          <a:solidFill>
            <a:srgbClr val="000000"/>
          </a:solidFill>
        </a:ln>
      </xdr:spPr>
    </xdr:sp>
    <xdr:clientData/>
  </xdr:absoluteAnchor>
  <xdr:absoluteAnchor>
    <xdr:pos x="3448230" y="31685101"/>
    <xdr:ext cx="0" cy="108585"/>
    <xdr:sp macro="" textlink="">
      <xdr:nvSpPr>
        <xdr:cNvPr id="241" name="Shape 241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/>
      </xdr:nvSpPr>
      <xdr:spPr>
        <a:xfrm>
          <a:off x="0" y="0"/>
          <a:ext cx="0" cy="108585"/>
        </a:xfrm>
        <a:custGeom>
          <a:avLst/>
          <a:gdLst/>
          <a:ahLst/>
          <a:cxnLst/>
          <a:rect l="0" t="0" r="0" b="0"/>
          <a:pathLst>
            <a:path h="108585">
              <a:moveTo>
                <a:pt x="0" y="0"/>
              </a:moveTo>
              <a:lnTo>
                <a:pt x="0" y="108204"/>
              </a:lnTo>
            </a:path>
          </a:pathLst>
        </a:custGeom>
        <a:ln w="7620">
          <a:solidFill>
            <a:srgbClr val="000000"/>
          </a:solidFill>
        </a:ln>
      </xdr:spPr>
    </xdr:sp>
    <xdr:clientData/>
  </xdr:absoluteAnchor>
  <xdr:absoluteAnchor>
    <xdr:pos x="5819693" y="31685101"/>
    <xdr:ext cx="0" cy="108585"/>
    <xdr:sp macro="" textlink="">
      <xdr:nvSpPr>
        <xdr:cNvPr id="242" name="Shape 242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/>
      </xdr:nvSpPr>
      <xdr:spPr>
        <a:xfrm>
          <a:off x="0" y="0"/>
          <a:ext cx="0" cy="108585"/>
        </a:xfrm>
        <a:custGeom>
          <a:avLst/>
          <a:gdLst/>
          <a:ahLst/>
          <a:cxnLst/>
          <a:rect l="0" t="0" r="0" b="0"/>
          <a:pathLst>
            <a:path h="108585">
              <a:moveTo>
                <a:pt x="0" y="0"/>
              </a:moveTo>
              <a:lnTo>
                <a:pt x="0" y="108204"/>
              </a:lnTo>
            </a:path>
          </a:pathLst>
        </a:custGeom>
        <a:ln w="7620">
          <a:solidFill>
            <a:srgbClr val="000000"/>
          </a:solidFill>
        </a:ln>
      </xdr:spPr>
    </xdr:sp>
    <xdr:clientData/>
  </xdr:absoluteAnchor>
  <xdr:absoluteAnchor>
    <xdr:pos x="5999525" y="31685101"/>
    <xdr:ext cx="0" cy="108585"/>
    <xdr:sp macro="" textlink="">
      <xdr:nvSpPr>
        <xdr:cNvPr id="243" name="Shape 243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/>
      </xdr:nvSpPr>
      <xdr:spPr>
        <a:xfrm>
          <a:off x="0" y="0"/>
          <a:ext cx="0" cy="108585"/>
        </a:xfrm>
        <a:custGeom>
          <a:avLst/>
          <a:gdLst/>
          <a:ahLst/>
          <a:cxnLst/>
          <a:rect l="0" t="0" r="0" b="0"/>
          <a:pathLst>
            <a:path h="108585">
              <a:moveTo>
                <a:pt x="0" y="0"/>
              </a:moveTo>
              <a:lnTo>
                <a:pt x="0" y="108204"/>
              </a:lnTo>
            </a:path>
          </a:pathLst>
        </a:custGeom>
        <a:ln w="7620">
          <a:solidFill>
            <a:srgbClr val="000000"/>
          </a:solidFill>
        </a:ln>
      </xdr:spPr>
    </xdr:sp>
    <xdr:clientData/>
  </xdr:absoluteAnchor>
  <xdr:absoluteAnchor>
    <xdr:pos x="6142781" y="31685101"/>
    <xdr:ext cx="0" cy="108585"/>
    <xdr:sp macro="" textlink="">
      <xdr:nvSpPr>
        <xdr:cNvPr id="244" name="Shape 244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/>
      </xdr:nvSpPr>
      <xdr:spPr>
        <a:xfrm>
          <a:off x="0" y="0"/>
          <a:ext cx="0" cy="108585"/>
        </a:xfrm>
        <a:custGeom>
          <a:avLst/>
          <a:gdLst/>
          <a:ahLst/>
          <a:cxnLst/>
          <a:rect l="0" t="0" r="0" b="0"/>
          <a:pathLst>
            <a:path h="108585">
              <a:moveTo>
                <a:pt x="0" y="0"/>
              </a:moveTo>
              <a:lnTo>
                <a:pt x="0" y="108204"/>
              </a:lnTo>
            </a:path>
          </a:pathLst>
        </a:custGeom>
        <a:ln w="7620">
          <a:solidFill>
            <a:srgbClr val="000000"/>
          </a:solidFill>
        </a:ln>
      </xdr:spPr>
    </xdr:sp>
    <xdr:clientData/>
  </xdr:absoluteAnchor>
  <xdr:absoluteAnchor>
    <xdr:pos x="6287561" y="31685101"/>
    <xdr:ext cx="0" cy="108585"/>
    <xdr:sp macro="" textlink="">
      <xdr:nvSpPr>
        <xdr:cNvPr id="245" name="Shape 245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/>
      </xdr:nvSpPr>
      <xdr:spPr>
        <a:xfrm>
          <a:off x="0" y="0"/>
          <a:ext cx="0" cy="108585"/>
        </a:xfrm>
        <a:custGeom>
          <a:avLst/>
          <a:gdLst/>
          <a:ahLst/>
          <a:cxnLst/>
          <a:rect l="0" t="0" r="0" b="0"/>
          <a:pathLst>
            <a:path h="108585">
              <a:moveTo>
                <a:pt x="0" y="0"/>
              </a:moveTo>
              <a:lnTo>
                <a:pt x="0" y="108204"/>
              </a:lnTo>
            </a:path>
          </a:pathLst>
        </a:custGeom>
        <a:ln w="7620">
          <a:solidFill>
            <a:srgbClr val="000000"/>
          </a:solidFill>
        </a:ln>
      </xdr:spPr>
    </xdr:sp>
    <xdr:clientData/>
  </xdr:absoluteAnchor>
  <xdr:oneCellAnchor>
    <xdr:from>
      <xdr:col>55</xdr:col>
      <xdr:colOff>105156</xdr:colOff>
      <xdr:row>106</xdr:row>
      <xdr:rowOff>88136</xdr:rowOff>
    </xdr:from>
    <xdr:ext cx="0" cy="108585"/>
    <xdr:sp macro="" textlink="">
      <xdr:nvSpPr>
        <xdr:cNvPr id="246" name="Shape 246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/>
      </xdr:nvSpPr>
      <xdr:spPr>
        <a:xfrm>
          <a:off x="0" y="0"/>
          <a:ext cx="0" cy="108585"/>
        </a:xfrm>
        <a:custGeom>
          <a:avLst/>
          <a:gdLst/>
          <a:ahLst/>
          <a:cxnLst/>
          <a:rect l="0" t="0" r="0" b="0"/>
          <a:pathLst>
            <a:path h="108585">
              <a:moveTo>
                <a:pt x="0" y="0"/>
              </a:moveTo>
              <a:lnTo>
                <a:pt x="0" y="108204"/>
              </a:lnTo>
            </a:path>
          </a:pathLst>
        </a:custGeom>
        <a:ln w="7620">
          <a:solidFill>
            <a:srgbClr val="000000"/>
          </a:solidFill>
        </a:ln>
      </xdr:spPr>
    </xdr:sp>
    <xdr:clientData/>
  </xdr:oneCellAnchor>
  <xdr:oneCellAnchor>
    <xdr:from>
      <xdr:col>57</xdr:col>
      <xdr:colOff>147319</xdr:colOff>
      <xdr:row>106</xdr:row>
      <xdr:rowOff>88136</xdr:rowOff>
    </xdr:from>
    <xdr:ext cx="0" cy="108585"/>
    <xdr:sp macro="" textlink="">
      <xdr:nvSpPr>
        <xdr:cNvPr id="247" name="Shape 247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/>
      </xdr:nvSpPr>
      <xdr:spPr>
        <a:xfrm>
          <a:off x="0" y="0"/>
          <a:ext cx="0" cy="108585"/>
        </a:xfrm>
        <a:custGeom>
          <a:avLst/>
          <a:gdLst/>
          <a:ahLst/>
          <a:cxnLst/>
          <a:rect l="0" t="0" r="0" b="0"/>
          <a:pathLst>
            <a:path h="108585">
              <a:moveTo>
                <a:pt x="0" y="0"/>
              </a:moveTo>
              <a:lnTo>
                <a:pt x="0" y="108204"/>
              </a:lnTo>
            </a:path>
          </a:pathLst>
        </a:custGeom>
        <a:ln w="7620">
          <a:solidFill>
            <a:srgbClr val="000000"/>
          </a:solidFill>
        </a:ln>
      </xdr:spPr>
    </xdr:sp>
    <xdr:clientData/>
  </xdr:oneCellAnchor>
  <xdr:oneCellAnchor>
    <xdr:from>
      <xdr:col>56</xdr:col>
      <xdr:colOff>5333</xdr:colOff>
      <xdr:row>97</xdr:row>
      <xdr:rowOff>430274</xdr:rowOff>
    </xdr:from>
    <xdr:ext cx="182245" cy="300355"/>
    <xdr:grpSp>
      <xdr:nvGrpSpPr>
        <xdr:cNvPr id="248" name="Group 248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GrpSpPr/>
      </xdr:nvGrpSpPr>
      <xdr:grpSpPr>
        <a:xfrm>
          <a:off x="6720458" y="26195399"/>
          <a:ext cx="182245" cy="300355"/>
          <a:chOff x="0" y="0"/>
          <a:chExt cx="182245" cy="300355"/>
        </a:xfrm>
      </xdr:grpSpPr>
      <xdr:pic>
        <xdr:nvPicPr>
          <xdr:cNvPr id="249" name="image98.png">
            <a:extLst>
              <a:ext uri="{FF2B5EF4-FFF2-40B4-BE49-F238E27FC236}">
                <a16:creationId xmlns:a16="http://schemas.microsoft.com/office/drawing/2014/main" id="{00000000-0008-0000-0000-0000F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82118" cy="156972"/>
          </a:xfrm>
          <a:prstGeom prst="rect">
            <a:avLst/>
          </a:prstGeom>
        </xdr:spPr>
      </xdr:pic>
      <xdr:pic>
        <xdr:nvPicPr>
          <xdr:cNvPr id="250" name="image99.png">
            <a:extLst>
              <a:ext uri="{FF2B5EF4-FFF2-40B4-BE49-F238E27FC236}">
                <a16:creationId xmlns:a16="http://schemas.microsoft.com/office/drawing/2014/main" id="{00000000-0008-0000-0000-0000F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3255"/>
            <a:ext cx="182118" cy="156972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0</xdr:colOff>
      <xdr:row>103</xdr:row>
      <xdr:rowOff>1844929</xdr:rowOff>
    </xdr:from>
    <xdr:ext cx="216408" cy="1124711"/>
    <xdr:pic>
      <xdr:nvPicPr>
        <xdr:cNvPr id="251" name="image79.png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6408" cy="1124711"/>
        </a:xfrm>
        <a:prstGeom prst="rect">
          <a:avLst/>
        </a:prstGeom>
      </xdr:spPr>
    </xdr:pic>
    <xdr:clientData/>
  </xdr:oneCellAnchor>
  <xdr:absoluteAnchor>
    <xdr:pos x="3921252" y="32368362"/>
    <xdr:ext cx="3365500" cy="0"/>
    <xdr:sp macro="" textlink="">
      <xdr:nvSpPr>
        <xdr:cNvPr id="252" name="Shape 252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/>
      </xdr:nvSpPr>
      <xdr:spPr>
        <a:xfrm>
          <a:off x="0" y="0"/>
          <a:ext cx="3365500" cy="0"/>
        </a:xfrm>
        <a:custGeom>
          <a:avLst/>
          <a:gdLst/>
          <a:ahLst/>
          <a:cxnLst/>
          <a:rect l="0" t="0" r="0" b="0"/>
          <a:pathLst>
            <a:path w="3365500">
              <a:moveTo>
                <a:pt x="0" y="0"/>
              </a:moveTo>
              <a:lnTo>
                <a:pt x="3364991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absoluteAnchor>
  <xdr:absoluteAnchor>
    <xdr:pos x="443991" y="32368362"/>
    <xdr:ext cx="3362325" cy="0"/>
    <xdr:sp macro="" textlink="">
      <xdr:nvSpPr>
        <xdr:cNvPr id="253" name="Shape 253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/>
      </xdr:nvSpPr>
      <xdr:spPr>
        <a:xfrm>
          <a:off x="0" y="0"/>
          <a:ext cx="3362325" cy="0"/>
        </a:xfrm>
        <a:custGeom>
          <a:avLst/>
          <a:gdLst/>
          <a:ahLst/>
          <a:cxnLst/>
          <a:rect l="0" t="0" r="0" b="0"/>
          <a:pathLst>
            <a:path w="3362325">
              <a:moveTo>
                <a:pt x="0" y="0"/>
              </a:moveTo>
              <a:lnTo>
                <a:pt x="3361944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absoluteAnchor>
  <xdr:oneCellAnchor>
    <xdr:from>
      <xdr:col>20</xdr:col>
      <xdr:colOff>30479</xdr:colOff>
      <xdr:row>83</xdr:row>
      <xdr:rowOff>131317</xdr:rowOff>
    </xdr:from>
    <xdr:ext cx="3374390" cy="302260"/>
    <xdr:grpSp>
      <xdr:nvGrpSpPr>
        <xdr:cNvPr id="254" name="Group 254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GrpSpPr/>
      </xdr:nvGrpSpPr>
      <xdr:grpSpPr>
        <a:xfrm>
          <a:off x="2554604" y="23096092"/>
          <a:ext cx="3374390" cy="302260"/>
          <a:chOff x="0" y="0"/>
          <a:chExt cx="3374390" cy="302260"/>
        </a:xfrm>
      </xdr:grpSpPr>
      <xdr:pic>
        <xdr:nvPicPr>
          <xdr:cNvPr id="255" name="image100.png">
            <a:extLst>
              <a:ext uri="{FF2B5EF4-FFF2-40B4-BE49-F238E27FC236}">
                <a16:creationId xmlns:a16="http://schemas.microsoft.com/office/drawing/2014/main" id="{00000000-0008-0000-0000-0000F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374136" cy="301751"/>
          </a:xfrm>
          <a:prstGeom prst="rect">
            <a:avLst/>
          </a:prstGeom>
        </xdr:spPr>
      </xdr:pic>
      <xdr:pic>
        <xdr:nvPicPr>
          <xdr:cNvPr id="256" name="image101.png">
            <a:extLst>
              <a:ext uri="{FF2B5EF4-FFF2-40B4-BE49-F238E27FC236}">
                <a16:creationId xmlns:a16="http://schemas.microsoft.com/office/drawing/2014/main" id="{00000000-0008-0000-0000-000000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6576" y="21335"/>
            <a:ext cx="170687" cy="243840"/>
          </a:xfrm>
          <a:prstGeom prst="rect">
            <a:avLst/>
          </a:prstGeom>
        </xdr:spPr>
      </xdr:pic>
    </xdr:grp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CCOUNTS.CHILE@DESWIK.COM" TargetMode="External"/><Relationship Id="rId2" Type="http://schemas.openxmlformats.org/officeDocument/2006/relationships/hyperlink" Target="http://www.cmfchiie.cl/" TargetMode="External"/><Relationship Id="rId1" Type="http://schemas.openxmlformats.org/officeDocument/2006/relationships/hyperlink" Target="mailto:ACCOUNTS.CHILE@DESWIK.COM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://www.cmfchiie.c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118"/>
  <sheetViews>
    <sheetView tabSelected="1" topLeftCell="A42" workbookViewId="0">
      <selection activeCell="BT38" sqref="BT38:BT50"/>
    </sheetView>
  </sheetViews>
  <sheetFormatPr baseColWidth="10" defaultColWidth="9.33203125" defaultRowHeight="12.75"/>
  <cols>
    <col min="1" max="1" width="8" style="2" customWidth="1"/>
    <col min="2" max="2" width="2.1640625" style="2" customWidth="1"/>
    <col min="3" max="3" width="3.33203125" style="2" customWidth="1"/>
    <col min="4" max="4" width="2.1640625" style="2" customWidth="1"/>
    <col min="5" max="5" width="1.1640625" style="2" customWidth="1"/>
    <col min="6" max="6" width="4.6640625" style="2" customWidth="1"/>
    <col min="7" max="7" width="1.1640625" style="2" customWidth="1"/>
    <col min="8" max="8" width="3.33203125" style="2" customWidth="1"/>
    <col min="9" max="9" width="2.1640625" style="2" customWidth="1"/>
    <col min="10" max="10" width="3.33203125" style="2" customWidth="1"/>
    <col min="11" max="18" width="1.1640625" style="2" customWidth="1"/>
    <col min="19" max="19" width="2.1640625" style="2" customWidth="1"/>
    <col min="20" max="23" width="1.1640625" style="2" customWidth="1"/>
    <col min="24" max="24" width="2.1640625" style="2" customWidth="1"/>
    <col min="25" max="27" width="1.1640625" style="2" customWidth="1"/>
    <col min="28" max="28" width="3.33203125" style="2" customWidth="1"/>
    <col min="29" max="29" width="1.1640625" style="2" customWidth="1"/>
    <col min="30" max="30" width="4.6640625" style="2" customWidth="1"/>
    <col min="31" max="32" width="1.1640625" style="2" customWidth="1"/>
    <col min="33" max="33" width="2.1640625" style="2" customWidth="1"/>
    <col min="34" max="34" width="3.33203125" style="2" customWidth="1"/>
    <col min="35" max="35" width="2.1640625" style="2" customWidth="1"/>
    <col min="36" max="36" width="3.33203125" style="2" customWidth="1"/>
    <col min="37" max="37" width="2.1640625" style="2" customWidth="1"/>
    <col min="38" max="41" width="1.1640625" style="2" customWidth="1"/>
    <col min="42" max="43" width="2.1640625" style="2" customWidth="1"/>
    <col min="44" max="45" width="1.1640625" style="2" customWidth="1"/>
    <col min="46" max="46" width="2.1640625" style="2" customWidth="1"/>
    <col min="47" max="47" width="1.1640625" style="2" customWidth="1"/>
    <col min="48" max="49" width="3.33203125" style="2" customWidth="1"/>
    <col min="50" max="50" width="4.6640625" style="2" customWidth="1"/>
    <col min="51" max="51" width="2.1640625" style="2" customWidth="1"/>
    <col min="52" max="52" width="4.6640625" style="2" customWidth="1"/>
    <col min="53" max="53" width="2.1640625" style="2" customWidth="1"/>
    <col min="54" max="55" width="1.1640625" style="2" customWidth="1"/>
    <col min="56" max="56" width="2.1640625" style="2" customWidth="1"/>
    <col min="57" max="57" width="3.33203125" style="2" customWidth="1"/>
    <col min="58" max="59" width="4.6640625" style="2" customWidth="1"/>
    <col min="60" max="60" width="3.33203125" style="2" customWidth="1"/>
    <col min="61" max="61" width="2.1640625" style="2" customWidth="1"/>
    <col min="62" max="62" width="1.1640625" style="2" customWidth="1"/>
    <col min="63" max="63" width="2.1640625" style="2" customWidth="1"/>
    <col min="64" max="64" width="6.1640625" style="2" bestFit="1" customWidth="1"/>
    <col min="65" max="16384" width="9.33203125" style="2"/>
  </cols>
  <sheetData>
    <row r="1" spans="1:63" ht="42.6" customHeight="1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</row>
    <row r="2" spans="1:63" ht="13.5" customHeight="1">
      <c r="A2" s="20"/>
      <c r="B2" s="20"/>
      <c r="C2" s="275" t="s">
        <v>0</v>
      </c>
      <c r="D2" s="276"/>
      <c r="E2" s="276"/>
      <c r="F2" s="276"/>
      <c r="G2" s="276"/>
      <c r="H2" s="276"/>
      <c r="I2" s="276"/>
      <c r="J2" s="276"/>
      <c r="K2" s="276"/>
      <c r="L2" s="276"/>
      <c r="M2" s="276"/>
      <c r="N2" s="276"/>
      <c r="O2" s="276"/>
      <c r="P2" s="276"/>
      <c r="Q2" s="276"/>
      <c r="R2" s="276"/>
      <c r="S2" s="276"/>
      <c r="T2" s="276"/>
      <c r="U2" s="276"/>
      <c r="V2" s="276"/>
      <c r="W2" s="276"/>
      <c r="X2" s="276"/>
      <c r="Y2" s="276"/>
      <c r="Z2" s="276"/>
      <c r="AA2" s="276"/>
      <c r="AB2" s="276"/>
      <c r="AC2" s="276"/>
      <c r="AD2" s="276"/>
      <c r="AE2" s="276"/>
      <c r="AF2" s="276"/>
      <c r="AG2" s="276"/>
      <c r="AH2" s="276"/>
      <c r="AI2" s="276"/>
      <c r="AJ2" s="276"/>
      <c r="AK2" s="276"/>
      <c r="AL2" s="276"/>
      <c r="AM2" s="276"/>
      <c r="AN2" s="276"/>
      <c r="AO2" s="276"/>
      <c r="AP2" s="276"/>
      <c r="AQ2" s="276"/>
      <c r="AR2" s="276"/>
      <c r="AS2" s="276"/>
      <c r="AT2" s="276"/>
      <c r="AU2" s="276"/>
      <c r="AV2" s="276"/>
      <c r="AW2" s="276"/>
      <c r="AX2" s="276"/>
      <c r="AY2" s="276"/>
      <c r="AZ2" s="276"/>
      <c r="BA2" s="276"/>
      <c r="BB2" s="276"/>
      <c r="BC2" s="276"/>
      <c r="BD2" s="276"/>
      <c r="BE2" s="276"/>
      <c r="BF2" s="276"/>
      <c r="BG2" s="276"/>
      <c r="BH2" s="276"/>
      <c r="BI2" s="277"/>
      <c r="BJ2" s="20"/>
      <c r="BK2" s="20"/>
    </row>
    <row r="3" spans="1:63" ht="13.5" customHeight="1">
      <c r="A3" s="21"/>
      <c r="B3" s="21"/>
      <c r="C3" s="96" t="s">
        <v>1</v>
      </c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97"/>
      <c r="Q3" s="96" t="s">
        <v>2</v>
      </c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97"/>
      <c r="BJ3" s="21"/>
      <c r="BK3" s="21"/>
    </row>
    <row r="4" spans="1:63" ht="13.5" customHeight="1">
      <c r="A4" s="21"/>
      <c r="B4" s="21"/>
      <c r="C4" s="98" t="s">
        <v>3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99"/>
      <c r="Q4" s="98" t="s">
        <v>4</v>
      </c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99"/>
      <c r="BJ4" s="21"/>
      <c r="BK4" s="21"/>
    </row>
    <row r="5" spans="1:63" ht="15.6" customHeight="1">
      <c r="A5" s="20"/>
      <c r="B5" s="20"/>
      <c r="C5" s="90" t="s">
        <v>5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91"/>
      <c r="Q5" s="92">
        <v>45772</v>
      </c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3"/>
      <c r="AQ5" s="93"/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3"/>
      <c r="BF5" s="93"/>
      <c r="BG5" s="93"/>
      <c r="BH5" s="93"/>
      <c r="BI5" s="94"/>
      <c r="BJ5" s="20"/>
      <c r="BK5" s="20"/>
    </row>
    <row r="6" spans="1:63" ht="95.45" customHeight="1">
      <c r="A6" s="21" t="s">
        <v>6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</row>
    <row r="7" spans="1:63" ht="13.5" customHeight="1">
      <c r="A7" s="20"/>
      <c r="B7" s="20"/>
      <c r="C7" s="52" t="s">
        <v>7</v>
      </c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4"/>
      <c r="BJ7" s="20"/>
      <c r="BK7" s="20"/>
    </row>
    <row r="8" spans="1:63" ht="11.45" customHeight="1">
      <c r="A8" s="20"/>
      <c r="B8" s="20"/>
      <c r="C8" s="20"/>
      <c r="D8" s="20"/>
      <c r="E8" s="3"/>
      <c r="F8" s="3"/>
      <c r="G8" s="3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3"/>
      <c r="AE8" s="3"/>
      <c r="AF8" s="20"/>
      <c r="AG8" s="20"/>
      <c r="AH8" s="3"/>
      <c r="AI8" s="3"/>
      <c r="AJ8" s="20"/>
      <c r="AK8" s="20"/>
      <c r="AL8" s="3"/>
      <c r="AM8" s="3"/>
      <c r="AN8" s="3"/>
      <c r="AO8" s="20"/>
      <c r="AP8" s="20"/>
      <c r="AQ8" s="20"/>
      <c r="AR8" s="3"/>
      <c r="AS8" s="20"/>
      <c r="AT8" s="20"/>
      <c r="AU8" s="3"/>
      <c r="AV8" s="20"/>
      <c r="AW8" s="20"/>
      <c r="AX8" s="20"/>
      <c r="AY8" s="20"/>
      <c r="AZ8" s="3"/>
      <c r="BA8" s="20"/>
      <c r="BB8" s="20"/>
      <c r="BC8" s="3"/>
      <c r="BD8" s="20"/>
      <c r="BE8" s="20"/>
      <c r="BF8" s="3"/>
      <c r="BG8" s="20"/>
      <c r="BH8" s="20"/>
      <c r="BI8" s="3"/>
      <c r="BJ8" s="20"/>
      <c r="BK8" s="20"/>
    </row>
    <row r="9" spans="1:63" ht="15.75" customHeight="1">
      <c r="A9" s="21"/>
      <c r="B9" s="21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4"/>
      <c r="W9" s="231" t="s">
        <v>8</v>
      </c>
      <c r="X9" s="232"/>
      <c r="Y9" s="232"/>
      <c r="Z9" s="232"/>
      <c r="AA9" s="232"/>
      <c r="AB9" s="232"/>
      <c r="AC9" s="232"/>
      <c r="AD9" s="232"/>
      <c r="AE9" s="232"/>
      <c r="AF9" s="232"/>
      <c r="AG9" s="233"/>
      <c r="AH9" s="52" t="s">
        <v>9</v>
      </c>
      <c r="AI9" s="53"/>
      <c r="AJ9" s="53"/>
      <c r="AK9" s="53"/>
      <c r="AL9" s="53"/>
      <c r="AM9" s="53"/>
      <c r="AN9" s="53"/>
      <c r="AO9" s="53"/>
      <c r="AP9" s="53"/>
      <c r="AQ9" s="54"/>
      <c r="AR9" s="52" t="s">
        <v>10</v>
      </c>
      <c r="AS9" s="53"/>
      <c r="AT9" s="53"/>
      <c r="AU9" s="53"/>
      <c r="AV9" s="53"/>
      <c r="AW9" s="53"/>
      <c r="AX9" s="53"/>
      <c r="AY9" s="54"/>
      <c r="AZ9" s="4"/>
      <c r="BA9" s="21"/>
      <c r="BB9" s="21"/>
      <c r="BC9" s="4"/>
      <c r="BD9" s="253" t="s">
        <v>11</v>
      </c>
      <c r="BE9" s="254"/>
      <c r="BF9" s="254"/>
      <c r="BG9" s="254"/>
      <c r="BH9" s="254"/>
      <c r="BI9" s="255"/>
      <c r="BJ9" s="21"/>
      <c r="BK9" s="21"/>
    </row>
    <row r="10" spans="1:63" ht="5.25" customHeight="1">
      <c r="A10" s="20"/>
      <c r="B10" s="20"/>
      <c r="C10" s="96" t="s">
        <v>8</v>
      </c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97"/>
      <c r="W10" s="259" t="s">
        <v>12</v>
      </c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3">
        <v>100.02200000000001</v>
      </c>
      <c r="AI10" s="263"/>
      <c r="AJ10" s="263"/>
      <c r="AK10" s="263"/>
      <c r="AL10" s="263"/>
      <c r="AM10" s="263"/>
      <c r="AN10" s="263"/>
      <c r="AO10" s="263"/>
      <c r="AP10" s="263"/>
      <c r="AQ10" s="263"/>
      <c r="AR10" s="44" t="s">
        <v>13</v>
      </c>
      <c r="AS10" s="44"/>
      <c r="AT10" s="44"/>
      <c r="AU10" s="44"/>
      <c r="AV10" s="44"/>
      <c r="AW10" s="44"/>
      <c r="AX10" s="44"/>
      <c r="AY10" s="44"/>
      <c r="AZ10" s="3"/>
      <c r="BA10" s="20"/>
      <c r="BB10" s="20"/>
      <c r="BC10" s="3"/>
      <c r="BD10" s="256"/>
      <c r="BE10" s="257"/>
      <c r="BF10" s="257"/>
      <c r="BG10" s="257"/>
      <c r="BH10" s="257"/>
      <c r="BI10" s="258"/>
      <c r="BJ10" s="20"/>
      <c r="BK10" s="20"/>
    </row>
    <row r="11" spans="1:63" ht="9" customHeight="1">
      <c r="A11" s="20"/>
      <c r="B11" s="20"/>
      <c r="C11" s="90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91"/>
      <c r="W11" s="261"/>
      <c r="X11" s="262"/>
      <c r="Y11" s="262"/>
      <c r="Z11" s="262"/>
      <c r="AA11" s="262"/>
      <c r="AB11" s="262"/>
      <c r="AC11" s="262"/>
      <c r="AD11" s="262"/>
      <c r="AE11" s="262"/>
      <c r="AF11" s="262"/>
      <c r="AG11" s="262"/>
      <c r="AH11" s="264"/>
      <c r="AI11" s="264"/>
      <c r="AJ11" s="264"/>
      <c r="AK11" s="264"/>
      <c r="AL11" s="264"/>
      <c r="AM11" s="264"/>
      <c r="AN11" s="264"/>
      <c r="AO11" s="264"/>
      <c r="AP11" s="264"/>
      <c r="AQ11" s="264"/>
      <c r="AR11" s="22"/>
      <c r="AS11" s="22"/>
      <c r="AT11" s="22"/>
      <c r="AU11" s="22"/>
      <c r="AV11" s="22"/>
      <c r="AW11" s="22"/>
      <c r="AX11" s="22"/>
      <c r="AY11" s="22"/>
      <c r="AZ11" s="3"/>
      <c r="BA11" s="20"/>
      <c r="BB11" s="20"/>
      <c r="BC11" s="3"/>
      <c r="BD11" s="265" t="s">
        <v>14</v>
      </c>
      <c r="BE11" s="266"/>
      <c r="BF11" s="266"/>
      <c r="BG11" s="266"/>
      <c r="BH11" s="266"/>
      <c r="BI11" s="267"/>
      <c r="BJ11" s="20"/>
      <c r="BK11" s="20"/>
    </row>
    <row r="12" spans="1:63" ht="13.5" customHeight="1">
      <c r="A12" s="20"/>
      <c r="B12" s="20"/>
      <c r="C12" s="52" t="s">
        <v>15</v>
      </c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4"/>
      <c r="W12" s="243" t="s">
        <v>16</v>
      </c>
      <c r="X12" s="208"/>
      <c r="Y12" s="208"/>
      <c r="Z12" s="208"/>
      <c r="AA12" s="208"/>
      <c r="AB12" s="208"/>
      <c r="AC12" s="208"/>
      <c r="AD12" s="208"/>
      <c r="AE12" s="208"/>
      <c r="AF12" s="208"/>
      <c r="AG12" s="208"/>
      <c r="AH12" s="274">
        <v>0</v>
      </c>
      <c r="AI12" s="274"/>
      <c r="AJ12" s="274"/>
      <c r="AK12" s="274"/>
      <c r="AL12" s="274"/>
      <c r="AM12" s="274"/>
      <c r="AN12" s="274"/>
      <c r="AO12" s="274"/>
      <c r="AP12" s="274"/>
      <c r="AQ12" s="274"/>
      <c r="AR12" s="28" t="s">
        <v>17</v>
      </c>
      <c r="AS12" s="28"/>
      <c r="AT12" s="28"/>
      <c r="AU12" s="28"/>
      <c r="AV12" s="28"/>
      <c r="AW12" s="28"/>
      <c r="AX12" s="28"/>
      <c r="AY12" s="28"/>
      <c r="AZ12" s="3"/>
      <c r="BA12" s="20"/>
      <c r="BB12" s="20"/>
      <c r="BC12" s="3"/>
      <c r="BD12" s="268"/>
      <c r="BE12" s="269"/>
      <c r="BF12" s="269"/>
      <c r="BG12" s="269"/>
      <c r="BH12" s="269"/>
      <c r="BI12" s="270"/>
      <c r="BJ12" s="20"/>
      <c r="BK12" s="20"/>
    </row>
    <row r="13" spans="1:63" ht="5.25" customHeight="1">
      <c r="A13" s="20"/>
      <c r="B13" s="20"/>
      <c r="C13" s="20"/>
      <c r="D13" s="20"/>
      <c r="E13" s="3"/>
      <c r="F13" s="3"/>
      <c r="G13" s="3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3"/>
      <c r="AE13" s="3"/>
      <c r="AF13" s="20"/>
      <c r="AG13" s="20"/>
      <c r="AH13" s="3"/>
      <c r="AI13" s="3"/>
      <c r="AJ13" s="20"/>
      <c r="AK13" s="20"/>
      <c r="AL13" s="3"/>
      <c r="AM13" s="3"/>
      <c r="AN13" s="3"/>
      <c r="AO13" s="20"/>
      <c r="AP13" s="20"/>
      <c r="AQ13" s="20"/>
      <c r="AR13" s="3"/>
      <c r="AS13" s="20"/>
      <c r="AT13" s="20"/>
      <c r="AU13" s="3"/>
      <c r="AV13" s="20"/>
      <c r="AW13" s="20"/>
      <c r="AX13" s="20"/>
      <c r="AY13" s="20"/>
      <c r="AZ13" s="3"/>
      <c r="BA13" s="20"/>
      <c r="BB13" s="20"/>
      <c r="BC13" s="3"/>
      <c r="BD13" s="271"/>
      <c r="BE13" s="272"/>
      <c r="BF13" s="272"/>
      <c r="BG13" s="272"/>
      <c r="BH13" s="272"/>
      <c r="BI13" s="273"/>
      <c r="BJ13" s="20"/>
      <c r="BK13" s="20"/>
    </row>
    <row r="14" spans="1:63" ht="6.75" customHeight="1">
      <c r="A14" s="20"/>
      <c r="B14" s="20"/>
      <c r="C14" s="20"/>
      <c r="D14" s="20"/>
      <c r="E14" s="3"/>
      <c r="F14" s="3"/>
      <c r="G14" s="3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3"/>
      <c r="AE14" s="3"/>
      <c r="AF14" s="20"/>
      <c r="AG14" s="20"/>
      <c r="AH14" s="3"/>
      <c r="AI14" s="3"/>
      <c r="AJ14" s="20"/>
      <c r="AK14" s="20"/>
      <c r="AL14" s="3"/>
      <c r="AM14" s="3"/>
      <c r="AN14" s="3"/>
      <c r="AO14" s="20"/>
      <c r="AP14" s="20"/>
      <c r="AQ14" s="20"/>
      <c r="AR14" s="3"/>
      <c r="AS14" s="20"/>
      <c r="AT14" s="20"/>
      <c r="AU14" s="3"/>
      <c r="AV14" s="20"/>
      <c r="AW14" s="20"/>
      <c r="AX14" s="20"/>
      <c r="AY14" s="20"/>
      <c r="AZ14" s="3"/>
      <c r="BA14" s="20"/>
      <c r="BB14" s="20"/>
      <c r="BC14" s="3"/>
      <c r="BD14" s="246" t="s">
        <v>18</v>
      </c>
      <c r="BE14" s="247"/>
      <c r="BF14" s="247"/>
      <c r="BG14" s="247"/>
      <c r="BH14" s="247"/>
      <c r="BI14" s="248"/>
      <c r="BJ14" s="20"/>
      <c r="BK14" s="20"/>
    </row>
    <row r="15" spans="1:63" ht="13.5" customHeight="1">
      <c r="A15" s="21"/>
      <c r="B15" s="21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4"/>
      <c r="W15" s="85" t="s">
        <v>19</v>
      </c>
      <c r="X15" s="36"/>
      <c r="Y15" s="36"/>
      <c r="Z15" s="36"/>
      <c r="AA15" s="36"/>
      <c r="AB15" s="36"/>
      <c r="AC15" s="36"/>
      <c r="AD15" s="36"/>
      <c r="AE15" s="36"/>
      <c r="AF15" s="36"/>
      <c r="AG15" s="37"/>
      <c r="AH15" s="55" t="s">
        <v>20</v>
      </c>
      <c r="AI15" s="56"/>
      <c r="AJ15" s="56"/>
      <c r="AK15" s="56"/>
      <c r="AL15" s="56"/>
      <c r="AM15" s="56"/>
      <c r="AN15" s="56"/>
      <c r="AO15" s="56"/>
      <c r="AP15" s="56"/>
      <c r="AQ15" s="57"/>
      <c r="AR15" s="52" t="s">
        <v>21</v>
      </c>
      <c r="AS15" s="53"/>
      <c r="AT15" s="53"/>
      <c r="AU15" s="53"/>
      <c r="AV15" s="53"/>
      <c r="AW15" s="53"/>
      <c r="AX15" s="53"/>
      <c r="AY15" s="54"/>
      <c r="AZ15" s="4"/>
      <c r="BA15" s="21"/>
      <c r="BB15" s="21"/>
      <c r="BC15" s="4"/>
      <c r="BD15" s="249"/>
      <c r="BE15" s="185"/>
      <c r="BF15" s="185"/>
      <c r="BG15" s="185"/>
      <c r="BH15" s="185"/>
      <c r="BI15" s="186"/>
      <c r="BJ15" s="21"/>
      <c r="BK15" s="21"/>
    </row>
    <row r="16" spans="1:63" ht="13.5" customHeight="1">
      <c r="A16" s="20"/>
      <c r="B16" s="20"/>
      <c r="C16" s="52" t="s">
        <v>22</v>
      </c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4"/>
      <c r="W16" s="244" t="s">
        <v>23</v>
      </c>
      <c r="X16" s="245"/>
      <c r="Y16" s="245"/>
      <c r="Z16" s="245"/>
      <c r="AA16" s="245"/>
      <c r="AB16" s="245"/>
      <c r="AC16" s="245"/>
      <c r="AD16" s="245"/>
      <c r="AE16" s="245"/>
      <c r="AF16" s="245"/>
      <c r="AG16" s="245"/>
      <c r="AH16" s="245" t="s">
        <v>23</v>
      </c>
      <c r="AI16" s="245"/>
      <c r="AJ16" s="245"/>
      <c r="AK16" s="245"/>
      <c r="AL16" s="245"/>
      <c r="AM16" s="245"/>
      <c r="AN16" s="245"/>
      <c r="AO16" s="245"/>
      <c r="AP16" s="245"/>
      <c r="AQ16" s="245"/>
      <c r="AR16" s="245" t="s">
        <v>23</v>
      </c>
      <c r="AS16" s="245"/>
      <c r="AT16" s="245"/>
      <c r="AU16" s="245"/>
      <c r="AV16" s="245"/>
      <c r="AW16" s="245"/>
      <c r="AX16" s="245"/>
      <c r="AY16" s="245"/>
      <c r="AZ16" s="3"/>
      <c r="BA16" s="20"/>
      <c r="BB16" s="20"/>
      <c r="BC16" s="3"/>
      <c r="BD16" s="250"/>
      <c r="BE16" s="251"/>
      <c r="BF16" s="251"/>
      <c r="BG16" s="251"/>
      <c r="BH16" s="251"/>
      <c r="BI16" s="252"/>
      <c r="BJ16" s="20"/>
      <c r="BK16" s="20"/>
    </row>
    <row r="17" spans="1:63" ht="13.5" customHeight="1">
      <c r="A17" s="20"/>
      <c r="B17" s="20"/>
      <c r="C17" s="52" t="s">
        <v>24</v>
      </c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4"/>
      <c r="W17" s="243" t="s">
        <v>25</v>
      </c>
      <c r="X17" s="208"/>
      <c r="Y17" s="208"/>
      <c r="Z17" s="208"/>
      <c r="AA17" s="208"/>
      <c r="AB17" s="208"/>
      <c r="AC17" s="208"/>
      <c r="AD17" s="208"/>
      <c r="AE17" s="208"/>
      <c r="AF17" s="208"/>
      <c r="AG17" s="208"/>
      <c r="AH17" s="208" t="s">
        <v>26</v>
      </c>
      <c r="AI17" s="208"/>
      <c r="AJ17" s="208"/>
      <c r="AK17" s="208"/>
      <c r="AL17" s="208"/>
      <c r="AM17" s="208"/>
      <c r="AN17" s="208"/>
      <c r="AO17" s="208"/>
      <c r="AP17" s="208"/>
      <c r="AQ17" s="208"/>
      <c r="AR17" s="208" t="s">
        <v>26</v>
      </c>
      <c r="AS17" s="208"/>
      <c r="AT17" s="208"/>
      <c r="AU17" s="208"/>
      <c r="AV17" s="208"/>
      <c r="AW17" s="208"/>
      <c r="AX17" s="208"/>
      <c r="AY17" s="208"/>
      <c r="AZ17" s="3"/>
      <c r="BA17" s="20"/>
      <c r="BB17" s="20"/>
      <c r="BC17" s="3"/>
      <c r="BD17" s="20"/>
      <c r="BE17" s="20"/>
      <c r="BF17" s="3"/>
      <c r="BG17" s="20"/>
      <c r="BH17" s="20"/>
      <c r="BI17" s="3"/>
      <c r="BJ17" s="20"/>
      <c r="BK17" s="20"/>
    </row>
    <row r="18" spans="1:63" ht="8.25" customHeight="1">
      <c r="A18" s="20"/>
      <c r="B18" s="20"/>
      <c r="C18" s="20"/>
      <c r="D18" s="20"/>
      <c r="E18" s="3"/>
      <c r="F18" s="3"/>
      <c r="G18" s="3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3"/>
      <c r="AE18" s="3"/>
      <c r="AF18" s="20"/>
      <c r="AG18" s="20"/>
      <c r="AH18" s="3"/>
      <c r="AI18" s="3"/>
      <c r="AJ18" s="20"/>
      <c r="AK18" s="20"/>
      <c r="AL18" s="3"/>
      <c r="AM18" s="3"/>
      <c r="AN18" s="3"/>
      <c r="AO18" s="20"/>
      <c r="AP18" s="20"/>
      <c r="AQ18" s="20"/>
      <c r="AR18" s="3"/>
      <c r="AS18" s="20"/>
      <c r="AT18" s="20"/>
      <c r="AU18" s="3"/>
      <c r="AV18" s="20"/>
      <c r="AW18" s="20"/>
      <c r="AX18" s="20"/>
      <c r="AY18" s="20"/>
      <c r="AZ18" s="20"/>
      <c r="BA18" s="20"/>
      <c r="BB18" s="20"/>
      <c r="BC18" s="234"/>
      <c r="BD18" s="235" t="s">
        <v>27</v>
      </c>
      <c r="BE18" s="223"/>
      <c r="BF18" s="236"/>
      <c r="BG18" s="235" t="s">
        <v>28</v>
      </c>
      <c r="BH18" s="223"/>
      <c r="BI18" s="236"/>
      <c r="BJ18" s="20"/>
      <c r="BK18" s="20"/>
    </row>
    <row r="19" spans="1:63" ht="5.25" customHeight="1">
      <c r="A19" s="240" t="s">
        <v>29</v>
      </c>
      <c r="B19" s="240"/>
      <c r="C19" s="240"/>
      <c r="D19" s="240"/>
      <c r="E19" s="240"/>
      <c r="F19" s="240"/>
      <c r="G19" s="240"/>
      <c r="H19" s="240"/>
      <c r="I19" s="240"/>
      <c r="J19" s="240"/>
      <c r="K19" s="240"/>
      <c r="L19" s="240"/>
      <c r="M19" s="240"/>
      <c r="N19" s="240"/>
      <c r="O19" s="240"/>
      <c r="P19" s="240"/>
      <c r="Q19" s="240"/>
      <c r="R19" s="240"/>
      <c r="S19" s="240"/>
      <c r="T19" s="240"/>
      <c r="U19" s="240"/>
      <c r="V19" s="240"/>
      <c r="W19" s="240"/>
      <c r="X19" s="240"/>
      <c r="Y19" s="240"/>
      <c r="Z19" s="240"/>
      <c r="AA19" s="240"/>
      <c r="AB19" s="240"/>
      <c r="AC19" s="240"/>
      <c r="AD19" s="240"/>
      <c r="AE19" s="240"/>
      <c r="AF19" s="240"/>
      <c r="AG19" s="240"/>
      <c r="AH19" s="240"/>
      <c r="AI19" s="240"/>
      <c r="AJ19" s="240"/>
      <c r="AK19" s="240"/>
      <c r="AL19" s="240"/>
      <c r="AM19" s="240"/>
      <c r="AN19" s="240"/>
      <c r="AO19" s="240"/>
      <c r="AP19" s="240"/>
      <c r="AQ19" s="240"/>
      <c r="AR19" s="240"/>
      <c r="AS19" s="20"/>
      <c r="AT19" s="20"/>
      <c r="AU19" s="3"/>
      <c r="AV19" s="83"/>
      <c r="AW19" s="83"/>
      <c r="AX19" s="83"/>
      <c r="AY19" s="83"/>
      <c r="AZ19" s="83"/>
      <c r="BA19" s="83"/>
      <c r="BB19" s="83"/>
      <c r="BC19" s="84"/>
      <c r="BD19" s="237"/>
      <c r="BE19" s="238"/>
      <c r="BF19" s="239"/>
      <c r="BG19" s="237"/>
      <c r="BH19" s="238"/>
      <c r="BI19" s="239"/>
      <c r="BJ19" s="20"/>
      <c r="BK19" s="20"/>
    </row>
    <row r="20" spans="1:63" ht="13.5" customHeight="1">
      <c r="A20" s="240"/>
      <c r="B20" s="240"/>
      <c r="C20" s="240"/>
      <c r="D20" s="240"/>
      <c r="E20" s="240"/>
      <c r="F20" s="240"/>
      <c r="G20" s="240"/>
      <c r="H20" s="240"/>
      <c r="I20" s="240"/>
      <c r="J20" s="240"/>
      <c r="K20" s="240"/>
      <c r="L20" s="240"/>
      <c r="M20" s="240"/>
      <c r="N20" s="240"/>
      <c r="O20" s="240"/>
      <c r="P20" s="240"/>
      <c r="Q20" s="240"/>
      <c r="R20" s="240"/>
      <c r="S20" s="240"/>
      <c r="T20" s="240"/>
      <c r="U20" s="240"/>
      <c r="V20" s="240"/>
      <c r="W20" s="240"/>
      <c r="X20" s="240"/>
      <c r="Y20" s="240"/>
      <c r="Z20" s="240"/>
      <c r="AA20" s="240"/>
      <c r="AB20" s="240"/>
      <c r="AC20" s="240"/>
      <c r="AD20" s="240"/>
      <c r="AE20" s="240"/>
      <c r="AF20" s="240"/>
      <c r="AG20" s="240"/>
      <c r="AH20" s="240"/>
      <c r="AI20" s="240"/>
      <c r="AJ20" s="240"/>
      <c r="AK20" s="240"/>
      <c r="AL20" s="240"/>
      <c r="AM20" s="240"/>
      <c r="AN20" s="240"/>
      <c r="AO20" s="240"/>
      <c r="AP20" s="240"/>
      <c r="AQ20" s="240"/>
      <c r="AR20" s="240"/>
      <c r="AS20" s="20"/>
      <c r="AT20" s="20"/>
      <c r="AU20" s="3"/>
      <c r="AV20" s="52" t="s">
        <v>30</v>
      </c>
      <c r="AW20" s="53"/>
      <c r="AX20" s="53"/>
      <c r="AY20" s="53"/>
      <c r="AZ20" s="53"/>
      <c r="BA20" s="53"/>
      <c r="BB20" s="53"/>
      <c r="BC20" s="54"/>
      <c r="BD20" s="55" t="s">
        <v>31</v>
      </c>
      <c r="BE20" s="56"/>
      <c r="BF20" s="57"/>
      <c r="BG20" s="96" t="s">
        <v>32</v>
      </c>
      <c r="BH20" s="44"/>
      <c r="BI20" s="44"/>
      <c r="BJ20" s="20"/>
      <c r="BK20" s="20"/>
    </row>
    <row r="21" spans="1:63" ht="13.5" customHeight="1">
      <c r="A21" s="240"/>
      <c r="B21" s="240"/>
      <c r="C21" s="240"/>
      <c r="D21" s="240"/>
      <c r="E21" s="240"/>
      <c r="F21" s="240"/>
      <c r="G21" s="240"/>
      <c r="H21" s="240"/>
      <c r="I21" s="240"/>
      <c r="J21" s="240"/>
      <c r="K21" s="240"/>
      <c r="L21" s="240"/>
      <c r="M21" s="240"/>
      <c r="N21" s="240"/>
      <c r="O21" s="240"/>
      <c r="P21" s="240"/>
      <c r="Q21" s="240"/>
      <c r="R21" s="240"/>
      <c r="S21" s="240"/>
      <c r="T21" s="240"/>
      <c r="U21" s="240"/>
      <c r="V21" s="240"/>
      <c r="W21" s="240"/>
      <c r="X21" s="240"/>
      <c r="Y21" s="240"/>
      <c r="Z21" s="240"/>
      <c r="AA21" s="240"/>
      <c r="AB21" s="240"/>
      <c r="AC21" s="240"/>
      <c r="AD21" s="240"/>
      <c r="AE21" s="240"/>
      <c r="AF21" s="240"/>
      <c r="AG21" s="240"/>
      <c r="AH21" s="240"/>
      <c r="AI21" s="240"/>
      <c r="AJ21" s="240"/>
      <c r="AK21" s="240"/>
      <c r="AL21" s="240"/>
      <c r="AM21" s="240"/>
      <c r="AN21" s="240"/>
      <c r="AO21" s="240"/>
      <c r="AP21" s="240"/>
      <c r="AQ21" s="240"/>
      <c r="AR21" s="240"/>
      <c r="AS21" s="21"/>
      <c r="AT21" s="21"/>
      <c r="AU21" s="4"/>
      <c r="AV21" s="33"/>
      <c r="AW21" s="34"/>
      <c r="AX21" s="34"/>
      <c r="AY21" s="34"/>
      <c r="AZ21" s="34"/>
      <c r="BA21" s="34"/>
      <c r="BB21" s="34"/>
      <c r="BC21" s="221"/>
      <c r="BD21" s="241">
        <v>1</v>
      </c>
      <c r="BE21" s="242"/>
      <c r="BF21" s="242"/>
      <c r="BG21" s="242"/>
      <c r="BH21" s="242"/>
      <c r="BI21" s="242"/>
      <c r="BJ21" s="21"/>
      <c r="BK21" s="21"/>
    </row>
    <row r="22" spans="1:63" ht="9" customHeight="1">
      <c r="A22" s="240"/>
      <c r="B22" s="240"/>
      <c r="C22" s="240"/>
      <c r="D22" s="240"/>
      <c r="E22" s="240"/>
      <c r="F22" s="240"/>
      <c r="G22" s="240"/>
      <c r="H22" s="240"/>
      <c r="I22" s="240"/>
      <c r="J22" s="240"/>
      <c r="K22" s="240"/>
      <c r="L22" s="240"/>
      <c r="M22" s="240"/>
      <c r="N22" s="240"/>
      <c r="O22" s="240"/>
      <c r="P22" s="240"/>
      <c r="Q22" s="240"/>
      <c r="R22" s="240"/>
      <c r="S22" s="240"/>
      <c r="T22" s="240"/>
      <c r="U22" s="240"/>
      <c r="V22" s="240"/>
      <c r="W22" s="240"/>
      <c r="X22" s="240"/>
      <c r="Y22" s="240"/>
      <c r="Z22" s="240"/>
      <c r="AA22" s="240"/>
      <c r="AB22" s="240"/>
      <c r="AC22" s="240"/>
      <c r="AD22" s="240"/>
      <c r="AE22" s="240"/>
      <c r="AF22" s="240"/>
      <c r="AG22" s="240"/>
      <c r="AH22" s="240"/>
      <c r="AI22" s="240"/>
      <c r="AJ22" s="240"/>
      <c r="AK22" s="240"/>
      <c r="AL22" s="240"/>
      <c r="AM22" s="240"/>
      <c r="AN22" s="240"/>
      <c r="AO22" s="240"/>
      <c r="AP22" s="240"/>
      <c r="AQ22" s="240"/>
      <c r="AR22" s="240"/>
      <c r="AS22" s="20"/>
      <c r="AT22" s="20"/>
      <c r="AU22" s="3"/>
      <c r="AV22" s="20"/>
      <c r="AW22" s="20"/>
      <c r="AX22" s="20"/>
      <c r="AY22" s="20"/>
      <c r="AZ22" s="3"/>
      <c r="BA22" s="20"/>
      <c r="BB22" s="20"/>
      <c r="BC22" s="3"/>
      <c r="BD22" s="20"/>
      <c r="BE22" s="20"/>
      <c r="BF22" s="3"/>
      <c r="BG22" s="20"/>
      <c r="BH22" s="20"/>
      <c r="BI22" s="3"/>
      <c r="BJ22" s="20"/>
      <c r="BK22" s="20"/>
    </row>
    <row r="23" spans="1:63" ht="13.5" customHeight="1">
      <c r="A23" s="20"/>
      <c r="B23" s="20"/>
      <c r="C23" s="52" t="s">
        <v>33</v>
      </c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4"/>
      <c r="BJ23" s="20"/>
      <c r="BK23" s="20"/>
    </row>
    <row r="24" spans="1:63" ht="6" customHeight="1">
      <c r="A24" s="20"/>
      <c r="B24" s="20"/>
      <c r="C24" s="20"/>
      <c r="D24" s="20"/>
      <c r="E24" s="3"/>
      <c r="F24" s="3"/>
      <c r="G24" s="3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3"/>
      <c r="AE24" s="3"/>
      <c r="AF24" s="20"/>
      <c r="AG24" s="20"/>
      <c r="AH24" s="3"/>
      <c r="AI24" s="3"/>
      <c r="AJ24" s="20"/>
      <c r="AK24" s="20"/>
      <c r="AL24" s="3"/>
      <c r="AM24" s="3"/>
      <c r="AN24" s="3"/>
      <c r="AO24" s="20"/>
      <c r="AP24" s="20"/>
      <c r="AQ24" s="20"/>
      <c r="AR24" s="3"/>
      <c r="AS24" s="20"/>
      <c r="AT24" s="20"/>
      <c r="AU24" s="3"/>
      <c r="AV24" s="20"/>
      <c r="AW24" s="20"/>
      <c r="AX24" s="20"/>
      <c r="AY24" s="20"/>
      <c r="AZ24" s="3"/>
      <c r="BA24" s="20"/>
      <c r="BB24" s="20"/>
      <c r="BC24" s="3"/>
      <c r="BD24" s="20"/>
      <c r="BE24" s="20"/>
      <c r="BF24" s="3"/>
      <c r="BG24" s="20"/>
      <c r="BH24" s="20"/>
      <c r="BI24" s="3"/>
      <c r="BJ24" s="20"/>
      <c r="BK24" s="20"/>
    </row>
    <row r="25" spans="1:63" ht="13.5" customHeight="1">
      <c r="A25" s="20"/>
      <c r="B25" s="20"/>
      <c r="C25" s="55" t="s">
        <v>34</v>
      </c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7"/>
      <c r="AE25" s="231" t="s">
        <v>27</v>
      </c>
      <c r="AF25" s="232"/>
      <c r="AG25" s="232"/>
      <c r="AH25" s="232"/>
      <c r="AI25" s="232"/>
      <c r="AJ25" s="232"/>
      <c r="AK25" s="233"/>
      <c r="AL25" s="85" t="s">
        <v>28</v>
      </c>
      <c r="AM25" s="36"/>
      <c r="AN25" s="36"/>
      <c r="AO25" s="36"/>
      <c r="AP25" s="36"/>
      <c r="AQ25" s="36"/>
      <c r="AR25" s="36"/>
      <c r="AS25" s="36"/>
      <c r="AT25" s="36"/>
      <c r="AU25" s="37"/>
      <c r="AV25" s="20"/>
      <c r="AW25" s="20"/>
      <c r="AX25" s="20"/>
      <c r="AY25" s="20"/>
      <c r="AZ25" s="3"/>
      <c r="BA25" s="20"/>
      <c r="BB25" s="20"/>
      <c r="BC25" s="3"/>
      <c r="BD25" s="20"/>
      <c r="BE25" s="20"/>
      <c r="BF25" s="3"/>
      <c r="BG25" s="20"/>
      <c r="BH25" s="20"/>
      <c r="BI25" s="3"/>
      <c r="BJ25" s="20"/>
      <c r="BK25" s="20"/>
    </row>
    <row r="26" spans="1:63" ht="13.5" customHeight="1">
      <c r="A26" s="20"/>
      <c r="B26" s="20"/>
      <c r="C26" s="226" t="s">
        <v>35</v>
      </c>
      <c r="D26" s="226"/>
      <c r="E26" s="226"/>
      <c r="F26" s="226"/>
      <c r="G26" s="226"/>
      <c r="H26" s="226"/>
      <c r="I26" s="226"/>
      <c r="J26" s="226"/>
      <c r="K26" s="226"/>
      <c r="L26" s="226"/>
      <c r="M26" s="226"/>
      <c r="N26" s="226"/>
      <c r="O26" s="226"/>
      <c r="P26" s="226"/>
      <c r="Q26" s="226"/>
      <c r="R26" s="226"/>
      <c r="S26" s="226"/>
      <c r="T26" s="226"/>
      <c r="U26" s="226"/>
      <c r="V26" s="226"/>
      <c r="W26" s="226"/>
      <c r="X26" s="226"/>
      <c r="Y26" s="226"/>
      <c r="Z26" s="226"/>
      <c r="AA26" s="226"/>
      <c r="AB26" s="226"/>
      <c r="AC26" s="226"/>
      <c r="AD26" s="226"/>
      <c r="AE26" s="228">
        <v>45715</v>
      </c>
      <c r="AF26" s="228"/>
      <c r="AG26" s="228"/>
      <c r="AH26" s="228"/>
      <c r="AI26" s="228"/>
      <c r="AJ26" s="228"/>
      <c r="AK26" s="229"/>
      <c r="AL26" s="230">
        <v>45743</v>
      </c>
      <c r="AM26" s="228"/>
      <c r="AN26" s="228"/>
      <c r="AO26" s="228"/>
      <c r="AP26" s="228"/>
      <c r="AQ26" s="228"/>
      <c r="AR26" s="228"/>
      <c r="AS26" s="228"/>
      <c r="AT26" s="228"/>
      <c r="AU26" s="229"/>
      <c r="AV26" s="20"/>
      <c r="AW26" s="20"/>
      <c r="AX26" s="20"/>
      <c r="AY26" s="20"/>
      <c r="AZ26" s="3"/>
      <c r="BA26" s="20"/>
      <c r="BB26" s="20"/>
      <c r="BC26" s="3"/>
      <c r="BD26" s="20"/>
      <c r="BE26" s="20"/>
      <c r="BF26" s="3"/>
      <c r="BG26" s="20"/>
      <c r="BH26" s="20"/>
      <c r="BI26" s="3"/>
      <c r="BJ26" s="20"/>
      <c r="BK26" s="20"/>
    </row>
    <row r="27" spans="1:63" ht="54" customHeight="1">
      <c r="A27" s="23"/>
      <c r="B27" s="23"/>
      <c r="C27" s="227"/>
      <c r="D27" s="227"/>
      <c r="E27" s="227"/>
      <c r="F27" s="227"/>
      <c r="G27" s="227"/>
      <c r="H27" s="227"/>
      <c r="I27" s="227"/>
      <c r="J27" s="227"/>
      <c r="K27" s="227"/>
      <c r="L27" s="227"/>
      <c r="M27" s="227"/>
      <c r="N27" s="227"/>
      <c r="O27" s="227"/>
      <c r="P27" s="227"/>
      <c r="Q27" s="227"/>
      <c r="R27" s="227"/>
      <c r="S27" s="227"/>
      <c r="T27" s="227"/>
      <c r="U27" s="227"/>
      <c r="V27" s="227"/>
      <c r="W27" s="227"/>
      <c r="X27" s="227"/>
      <c r="Y27" s="227"/>
      <c r="Z27" s="227"/>
      <c r="AA27" s="227"/>
      <c r="AB27" s="227"/>
      <c r="AC27" s="227"/>
      <c r="AD27" s="227"/>
      <c r="AE27" s="224" t="s">
        <v>36</v>
      </c>
      <c r="AF27" s="224"/>
      <c r="AG27" s="224"/>
      <c r="AH27" s="224"/>
      <c r="AI27" s="224"/>
      <c r="AJ27" s="224"/>
      <c r="AK27" s="225"/>
      <c r="AL27" s="199"/>
      <c r="AM27" s="109"/>
      <c r="AN27" s="109"/>
      <c r="AO27" s="109"/>
      <c r="AP27" s="109"/>
      <c r="AQ27" s="109"/>
      <c r="AR27" s="109"/>
      <c r="AS27" s="109"/>
      <c r="AT27" s="109"/>
      <c r="AU27" s="109"/>
      <c r="AV27" s="23"/>
      <c r="AW27" s="23"/>
      <c r="AX27" s="23"/>
      <c r="AY27" s="23"/>
      <c r="AZ27" s="1"/>
      <c r="BA27" s="23"/>
      <c r="BB27" s="23"/>
      <c r="BC27" s="1"/>
      <c r="BD27" s="23"/>
      <c r="BE27" s="23"/>
      <c r="BF27" s="1"/>
      <c r="BG27" s="23"/>
      <c r="BH27" s="23"/>
      <c r="BI27" s="1"/>
      <c r="BJ27" s="23"/>
      <c r="BK27" s="23"/>
    </row>
    <row r="28" spans="1:63" ht="8.85" customHeight="1">
      <c r="A28" s="20"/>
      <c r="B28" s="20"/>
      <c r="C28" s="20"/>
      <c r="D28" s="20"/>
      <c r="E28" s="3"/>
      <c r="F28" s="3"/>
      <c r="G28" s="3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3"/>
      <c r="AE28" s="3"/>
      <c r="AF28" s="20"/>
      <c r="AG28" s="20"/>
      <c r="AH28" s="3"/>
      <c r="AI28" s="3"/>
      <c r="AJ28" s="20"/>
      <c r="AK28" s="20"/>
      <c r="AL28" s="3"/>
      <c r="AM28" s="3"/>
      <c r="AN28" s="3"/>
      <c r="AO28" s="20"/>
      <c r="AP28" s="20"/>
      <c r="AQ28" s="20"/>
      <c r="AR28" s="3"/>
      <c r="AS28" s="20"/>
      <c r="AT28" s="20"/>
      <c r="AU28" s="3"/>
      <c r="AV28" s="20"/>
      <c r="AW28" s="20"/>
      <c r="AX28" s="20"/>
      <c r="AY28" s="20"/>
      <c r="AZ28" s="3"/>
      <c r="BA28" s="20"/>
      <c r="BB28" s="20"/>
      <c r="BC28" s="3"/>
      <c r="BD28" s="20"/>
      <c r="BE28" s="20"/>
      <c r="BF28" s="3"/>
      <c r="BG28" s="20"/>
      <c r="BH28" s="20"/>
      <c r="BI28" s="3"/>
      <c r="BJ28" s="20"/>
      <c r="BK28" s="20"/>
    </row>
    <row r="29" spans="1:63" ht="13.5" customHeight="1">
      <c r="A29" s="216" t="s">
        <v>37</v>
      </c>
      <c r="B29" s="216"/>
      <c r="C29" s="216"/>
      <c r="D29" s="216"/>
      <c r="E29" s="216"/>
      <c r="F29" s="216"/>
      <c r="G29" s="53" t="s">
        <v>38</v>
      </c>
      <c r="H29" s="53"/>
      <c r="I29" s="53"/>
      <c r="J29" s="53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21"/>
      <c r="BK29" s="21"/>
    </row>
    <row r="30" spans="1:63" ht="13.5" customHeight="1">
      <c r="A30" s="203" t="s">
        <v>39</v>
      </c>
      <c r="B30" s="203"/>
      <c r="C30" s="203"/>
      <c r="D30" s="203"/>
      <c r="E30" s="203"/>
      <c r="F30" s="203"/>
      <c r="G30" s="44" t="s">
        <v>40</v>
      </c>
      <c r="H30" s="44"/>
      <c r="I30" s="44"/>
      <c r="J30" s="44"/>
      <c r="K30" s="44" t="s">
        <v>41</v>
      </c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222" t="s">
        <v>42</v>
      </c>
      <c r="AP30" s="222"/>
      <c r="AQ30" s="222"/>
      <c r="AR30" s="222"/>
      <c r="AS30" s="222"/>
      <c r="AT30" s="222"/>
      <c r="AU30" s="222"/>
      <c r="AV30" s="222"/>
      <c r="AW30" s="222"/>
      <c r="AX30" s="44" t="s">
        <v>42</v>
      </c>
      <c r="AY30" s="44"/>
      <c r="AZ30" s="40"/>
      <c r="BA30" s="40"/>
      <c r="BB30" s="40"/>
      <c r="BC30" s="40"/>
      <c r="BD30" s="223" t="s">
        <v>43</v>
      </c>
      <c r="BE30" s="223"/>
      <c r="BF30" s="223"/>
      <c r="BG30" s="223"/>
      <c r="BH30" s="223"/>
      <c r="BI30" s="223"/>
      <c r="BJ30" s="21"/>
      <c r="BK30" s="21"/>
    </row>
    <row r="31" spans="1:63" ht="24" customHeight="1">
      <c r="A31" s="216" t="s">
        <v>44</v>
      </c>
      <c r="B31" s="216"/>
      <c r="C31" s="216"/>
      <c r="D31" s="216"/>
      <c r="E31" s="216"/>
      <c r="F31" s="217"/>
      <c r="G31" s="98" t="s">
        <v>44</v>
      </c>
      <c r="H31" s="22"/>
      <c r="I31" s="22"/>
      <c r="J31" s="22"/>
      <c r="K31" s="22" t="s">
        <v>45</v>
      </c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18" t="s">
        <v>46</v>
      </c>
      <c r="AP31" s="218"/>
      <c r="AQ31" s="218"/>
      <c r="AR31" s="218"/>
      <c r="AS31" s="218"/>
      <c r="AT31" s="218"/>
      <c r="AU31" s="218"/>
      <c r="AV31" s="218"/>
      <c r="AW31" s="218"/>
      <c r="AX31" s="22" t="s">
        <v>47</v>
      </c>
      <c r="AY31" s="22"/>
      <c r="AZ31" s="219" t="s">
        <v>48</v>
      </c>
      <c r="BA31" s="219"/>
      <c r="BB31" s="219"/>
      <c r="BC31" s="219"/>
      <c r="BD31" s="219"/>
      <c r="BE31" s="219"/>
      <c r="BF31" s="219"/>
      <c r="BG31" s="219"/>
      <c r="BH31" s="219"/>
      <c r="BI31" s="219"/>
      <c r="BJ31" s="21"/>
      <c r="BK31" s="21"/>
    </row>
    <row r="32" spans="1:63" ht="13.5" customHeight="1">
      <c r="A32" s="40"/>
      <c r="B32" s="40"/>
      <c r="C32" s="40"/>
      <c r="D32" s="40"/>
      <c r="E32" s="40"/>
      <c r="F32" s="40"/>
      <c r="G32" s="8"/>
      <c r="H32" s="34"/>
      <c r="I32" s="34"/>
      <c r="J32" s="34"/>
      <c r="K32" s="220" t="s">
        <v>49</v>
      </c>
      <c r="L32" s="220"/>
      <c r="M32" s="220"/>
      <c r="N32" s="220"/>
      <c r="O32" s="220"/>
      <c r="P32" s="220"/>
      <c r="Q32" s="220"/>
      <c r="R32" s="220"/>
      <c r="S32" s="220"/>
      <c r="T32" s="220"/>
      <c r="U32" s="220"/>
      <c r="V32" s="220"/>
      <c r="W32" s="220"/>
      <c r="X32" s="220"/>
      <c r="Y32" s="220"/>
      <c r="Z32" s="220"/>
      <c r="AA32" s="220"/>
      <c r="AB32" s="220"/>
      <c r="AC32" s="220"/>
      <c r="AD32" s="220"/>
      <c r="AE32" s="220"/>
      <c r="AF32" s="220"/>
      <c r="AG32" s="220"/>
      <c r="AH32" s="220"/>
      <c r="AI32" s="220"/>
      <c r="AJ32" s="220"/>
      <c r="AK32" s="220"/>
      <c r="AL32" s="220"/>
      <c r="AM32" s="220"/>
      <c r="AN32" s="220"/>
      <c r="AO32" s="220"/>
      <c r="AP32" s="220"/>
      <c r="AQ32" s="220"/>
      <c r="AR32" s="220"/>
      <c r="AS32" s="220"/>
      <c r="AT32" s="220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221"/>
      <c r="BJ32" s="20"/>
      <c r="BK32" s="20"/>
    </row>
    <row r="33" spans="1:73" ht="13.5" customHeight="1">
      <c r="A33" s="153"/>
      <c r="B33" s="153"/>
      <c r="C33" s="153"/>
      <c r="D33" s="153"/>
      <c r="E33" s="153"/>
      <c r="F33" s="153"/>
      <c r="G33" s="9" t="s">
        <v>50</v>
      </c>
      <c r="H33" s="212">
        <v>45762</v>
      </c>
      <c r="I33" s="212"/>
      <c r="J33" s="212"/>
      <c r="K33" s="44" t="s">
        <v>51</v>
      </c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 t="s">
        <v>52</v>
      </c>
      <c r="AV33" s="44"/>
      <c r="AW33" s="44"/>
      <c r="AX33" s="44"/>
      <c r="AY33" s="44"/>
      <c r="AZ33" s="44" t="s">
        <v>53</v>
      </c>
      <c r="BA33" s="44"/>
      <c r="BB33" s="97"/>
      <c r="BC33" s="96" t="s">
        <v>54</v>
      </c>
      <c r="BD33" s="44"/>
      <c r="BE33" s="97"/>
      <c r="BF33" s="96" t="s">
        <v>55</v>
      </c>
      <c r="BG33" s="44"/>
      <c r="BH33" s="44"/>
      <c r="BI33" s="44"/>
      <c r="BJ33" s="20"/>
      <c r="BK33" s="20"/>
    </row>
    <row r="34" spans="1:73" ht="13.5" customHeight="1">
      <c r="A34" s="20"/>
      <c r="B34" s="20"/>
      <c r="C34" s="20"/>
      <c r="D34" s="20"/>
      <c r="E34" s="20"/>
      <c r="F34" s="20"/>
      <c r="G34" s="3"/>
      <c r="H34" s="20"/>
      <c r="I34" s="20"/>
      <c r="J34" s="20"/>
      <c r="K34" s="213" t="s">
        <v>56</v>
      </c>
      <c r="L34" s="213"/>
      <c r="M34" s="213"/>
      <c r="N34" s="213"/>
      <c r="O34" s="213"/>
      <c r="P34" s="213"/>
      <c r="Q34" s="213"/>
      <c r="R34" s="213"/>
      <c r="S34" s="213"/>
      <c r="T34" s="213"/>
      <c r="U34" s="213"/>
      <c r="V34" s="213"/>
      <c r="W34" s="213"/>
      <c r="X34" s="213"/>
      <c r="Y34" s="213"/>
      <c r="Z34" s="213"/>
      <c r="AA34" s="213"/>
      <c r="AB34" s="213"/>
      <c r="AC34" s="213"/>
      <c r="AD34" s="213"/>
      <c r="AE34" s="213"/>
      <c r="AF34" s="213"/>
      <c r="AG34" s="213"/>
      <c r="AH34" s="213"/>
      <c r="AI34" s="213"/>
      <c r="AJ34" s="213"/>
      <c r="AK34" s="213"/>
      <c r="AL34" s="213"/>
      <c r="AM34" s="213"/>
      <c r="AN34" s="213"/>
      <c r="AO34" s="213"/>
      <c r="AP34" s="213"/>
      <c r="AQ34" s="213"/>
      <c r="AR34" s="213"/>
      <c r="AS34" s="213"/>
      <c r="AT34" s="213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14">
        <v>-309.85300000000001</v>
      </c>
      <c r="BG34" s="214"/>
      <c r="BH34" s="214"/>
      <c r="BI34" s="215"/>
      <c r="BJ34" s="20"/>
      <c r="BK34" s="20"/>
    </row>
    <row r="35" spans="1:73" ht="13.5" customHeight="1">
      <c r="A35" s="20"/>
      <c r="B35" s="20"/>
      <c r="C35" s="20"/>
      <c r="D35" s="20"/>
      <c r="E35" s="20"/>
      <c r="F35" s="20"/>
      <c r="G35" s="7"/>
      <c r="H35" s="83"/>
      <c r="I35" s="83"/>
      <c r="J35" s="83"/>
      <c r="K35" s="208" t="s">
        <v>57</v>
      </c>
      <c r="L35" s="208"/>
      <c r="M35" s="208"/>
      <c r="N35" s="208"/>
      <c r="O35" s="208"/>
      <c r="P35" s="208"/>
      <c r="Q35" s="208"/>
      <c r="R35" s="208"/>
      <c r="S35" s="208"/>
      <c r="T35" s="208"/>
      <c r="U35" s="208"/>
      <c r="V35" s="208"/>
      <c r="W35" s="208"/>
      <c r="X35" s="208"/>
      <c r="Y35" s="208"/>
      <c r="Z35" s="208"/>
      <c r="AA35" s="208"/>
      <c r="AB35" s="208"/>
      <c r="AC35" s="208"/>
      <c r="AD35" s="208"/>
      <c r="AE35" s="208"/>
      <c r="AF35" s="208"/>
      <c r="AG35" s="208"/>
      <c r="AH35" s="208"/>
      <c r="AI35" s="208"/>
      <c r="AJ35" s="208"/>
      <c r="AK35" s="208"/>
      <c r="AL35" s="208"/>
      <c r="AM35" s="208"/>
      <c r="AN35" s="208"/>
      <c r="AO35" s="208"/>
      <c r="AP35" s="208"/>
      <c r="AQ35" s="208"/>
      <c r="AR35" s="208"/>
      <c r="AS35" s="208"/>
      <c r="AT35" s="208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4"/>
      <c r="BF35" s="193"/>
      <c r="BG35" s="83"/>
      <c r="BH35" s="83"/>
      <c r="BI35" s="84"/>
      <c r="BJ35" s="20"/>
      <c r="BK35" s="20"/>
    </row>
    <row r="36" spans="1:73" ht="13.5" customHeight="1">
      <c r="A36" s="153"/>
      <c r="B36" s="153"/>
      <c r="C36" s="153"/>
      <c r="D36" s="153"/>
      <c r="E36" s="153"/>
      <c r="F36" s="153"/>
      <c r="G36" s="10"/>
      <c r="H36" s="107"/>
      <c r="I36" s="107"/>
      <c r="J36" s="107"/>
      <c r="K36" s="209" t="s">
        <v>58</v>
      </c>
      <c r="L36" s="209"/>
      <c r="M36" s="209"/>
      <c r="N36" s="209"/>
      <c r="O36" s="209"/>
      <c r="P36" s="209"/>
      <c r="Q36" s="209"/>
      <c r="R36" s="209"/>
      <c r="S36" s="209"/>
      <c r="T36" s="209"/>
      <c r="U36" s="209"/>
      <c r="V36" s="209"/>
      <c r="W36" s="209"/>
      <c r="X36" s="209"/>
      <c r="Y36" s="209"/>
      <c r="Z36" s="209"/>
      <c r="AA36" s="209"/>
      <c r="AB36" s="209"/>
      <c r="AC36" s="209"/>
      <c r="AD36" s="209"/>
      <c r="AE36" s="209"/>
      <c r="AF36" s="209"/>
      <c r="AG36" s="209"/>
      <c r="AH36" s="209"/>
      <c r="AI36" s="209"/>
      <c r="AJ36" s="209"/>
      <c r="AK36" s="209"/>
      <c r="AL36" s="209"/>
      <c r="AM36" s="209"/>
      <c r="AN36" s="209"/>
      <c r="AO36" s="209"/>
      <c r="AP36" s="209"/>
      <c r="AQ36" s="209"/>
      <c r="AR36" s="209"/>
      <c r="AS36" s="209"/>
      <c r="AT36" s="209"/>
      <c r="AU36" s="107"/>
      <c r="AV36" s="107"/>
      <c r="AW36" s="107"/>
      <c r="AX36" s="107"/>
      <c r="AY36" s="107"/>
      <c r="AZ36" s="107"/>
      <c r="BA36" s="107"/>
      <c r="BB36" s="107"/>
      <c r="BC36" s="107"/>
      <c r="BD36" s="107"/>
      <c r="BE36" s="107"/>
      <c r="BF36" s="210">
        <v>0</v>
      </c>
      <c r="BG36" s="210"/>
      <c r="BH36" s="210"/>
      <c r="BI36" s="211"/>
      <c r="BJ36" s="20"/>
      <c r="BK36" s="20"/>
      <c r="BM36" s="13" t="s">
        <v>153</v>
      </c>
      <c r="BN36" s="13" t="s">
        <v>154</v>
      </c>
      <c r="BO36" s="13" t="s">
        <v>155</v>
      </c>
      <c r="BP36" s="13" t="s">
        <v>156</v>
      </c>
      <c r="BQ36" s="14"/>
      <c r="BR36" s="14"/>
      <c r="BS36" s="14"/>
      <c r="BT36" s="14"/>
      <c r="BU36"/>
    </row>
    <row r="37" spans="1:73" ht="13.5" customHeight="1">
      <c r="A37" s="203" t="s">
        <v>59</v>
      </c>
      <c r="B37" s="203"/>
      <c r="C37" s="203"/>
      <c r="D37" s="203"/>
      <c r="E37" s="203"/>
      <c r="F37" s="203"/>
      <c r="G37" s="11" t="s">
        <v>50</v>
      </c>
      <c r="H37" s="204">
        <v>45762</v>
      </c>
      <c r="I37" s="204"/>
      <c r="J37" s="204"/>
      <c r="K37" s="56" t="s">
        <v>60</v>
      </c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3" t="s">
        <v>61</v>
      </c>
      <c r="AV37" s="53"/>
      <c r="AW37" s="53"/>
      <c r="AX37" s="53"/>
      <c r="AY37" s="53"/>
      <c r="AZ37" s="56" t="s">
        <v>62</v>
      </c>
      <c r="BA37" s="56"/>
      <c r="BB37" s="57"/>
      <c r="BC37" s="55" t="s">
        <v>54</v>
      </c>
      <c r="BD37" s="56"/>
      <c r="BE37" s="57"/>
      <c r="BF37" s="205" t="s">
        <v>62</v>
      </c>
      <c r="BG37" s="206"/>
      <c r="BH37" s="206"/>
      <c r="BI37" s="206"/>
      <c r="BJ37" s="21"/>
      <c r="BK37" s="21"/>
      <c r="BL37" s="2">
        <v>90000</v>
      </c>
      <c r="BM37" s="14" t="s">
        <v>159</v>
      </c>
      <c r="BN37" s="14"/>
      <c r="BO37" s="14"/>
      <c r="BP37" s="14">
        <f>VLOOKUP(BM37,BR:BS,2,0)</f>
        <v>8051416</v>
      </c>
      <c r="BQ37" s="15"/>
      <c r="BR37" s="14"/>
      <c r="BS37" s="14"/>
      <c r="BT37" s="14"/>
      <c r="BU37"/>
    </row>
    <row r="38" spans="1:73" ht="13.5" customHeight="1">
      <c r="A38" s="153"/>
      <c r="B38" s="153"/>
      <c r="C38" s="153"/>
      <c r="D38" s="153"/>
      <c r="E38" s="153"/>
      <c r="F38" s="153"/>
      <c r="G38" s="10"/>
      <c r="H38" s="107"/>
      <c r="I38" s="107"/>
      <c r="J38" s="107"/>
      <c r="K38" s="207" t="s">
        <v>63</v>
      </c>
      <c r="L38" s="207"/>
      <c r="M38" s="207"/>
      <c r="N38" s="207"/>
      <c r="O38" s="207"/>
      <c r="P38" s="207"/>
      <c r="Q38" s="207"/>
      <c r="R38" s="207"/>
      <c r="S38" s="207"/>
      <c r="T38" s="207"/>
      <c r="U38" s="207"/>
      <c r="V38" s="207"/>
      <c r="W38" s="207"/>
      <c r="X38" s="207"/>
      <c r="Y38" s="207"/>
      <c r="Z38" s="207"/>
      <c r="AA38" s="207"/>
      <c r="AB38" s="207"/>
      <c r="AC38" s="207"/>
      <c r="AD38" s="207"/>
      <c r="AE38" s="207"/>
      <c r="AF38" s="207"/>
      <c r="AG38" s="207"/>
      <c r="AH38" s="207"/>
      <c r="AI38" s="207"/>
      <c r="AJ38" s="207"/>
      <c r="AK38" s="207"/>
      <c r="AL38" s="207"/>
      <c r="AM38" s="207"/>
      <c r="AN38" s="207"/>
      <c r="AO38" s="207"/>
      <c r="AP38" s="207"/>
      <c r="AQ38" s="207"/>
      <c r="AR38" s="207"/>
      <c r="AS38" s="207"/>
      <c r="AT38" s="207"/>
      <c r="AU38" s="107"/>
      <c r="AV38" s="107"/>
      <c r="AW38" s="107"/>
      <c r="AX38" s="107"/>
      <c r="AY38" s="107"/>
      <c r="AZ38" s="107"/>
      <c r="BA38" s="107"/>
      <c r="BB38" s="107"/>
      <c r="BC38" s="107"/>
      <c r="BD38" s="107"/>
      <c r="BE38" s="107"/>
      <c r="BF38" s="201">
        <v>90</v>
      </c>
      <c r="BG38" s="201"/>
      <c r="BH38" s="201"/>
      <c r="BI38" s="202"/>
      <c r="BJ38" s="20"/>
      <c r="BK38" s="20"/>
      <c r="BM38" s="14"/>
      <c r="BN38" s="15"/>
      <c r="BO38" s="14"/>
      <c r="BP38" s="14"/>
      <c r="BQ38" s="14"/>
      <c r="BR38" s="15" t="s">
        <v>157</v>
      </c>
      <c r="BS38" s="14">
        <v>8040708</v>
      </c>
      <c r="BT38" s="16">
        <f>SUMIF(BP:BP,BS38,BL:BL)</f>
        <v>0</v>
      </c>
      <c r="BU38"/>
    </row>
    <row r="39" spans="1:73" ht="13.5" customHeight="1">
      <c r="A39" s="153"/>
      <c r="B39" s="153"/>
      <c r="C39" s="153"/>
      <c r="D39" s="153"/>
      <c r="E39" s="153"/>
      <c r="F39" s="153"/>
      <c r="G39" s="10"/>
      <c r="H39" s="107"/>
      <c r="I39" s="107"/>
      <c r="J39" s="107"/>
      <c r="K39" s="200" t="s">
        <v>64</v>
      </c>
      <c r="L39" s="200"/>
      <c r="M39" s="200"/>
      <c r="N39" s="200"/>
      <c r="O39" s="200"/>
      <c r="P39" s="200"/>
      <c r="Q39" s="200"/>
      <c r="R39" s="200"/>
      <c r="S39" s="200"/>
      <c r="T39" s="200"/>
      <c r="U39" s="200"/>
      <c r="V39" s="200"/>
      <c r="W39" s="200"/>
      <c r="X39" s="200"/>
      <c r="Y39" s="200"/>
      <c r="Z39" s="200"/>
      <c r="AA39" s="200"/>
      <c r="AB39" s="200"/>
      <c r="AC39" s="200"/>
      <c r="AD39" s="200"/>
      <c r="AE39" s="200"/>
      <c r="AF39" s="200"/>
      <c r="AG39" s="200"/>
      <c r="AH39" s="200"/>
      <c r="AI39" s="200"/>
      <c r="AJ39" s="200"/>
      <c r="AK39" s="200"/>
      <c r="AL39" s="200"/>
      <c r="AM39" s="200"/>
      <c r="AN39" s="200"/>
      <c r="AO39" s="200"/>
      <c r="AP39" s="200"/>
      <c r="AQ39" s="200"/>
      <c r="AR39" s="200"/>
      <c r="AS39" s="200"/>
      <c r="AT39" s="200"/>
      <c r="AU39" s="107"/>
      <c r="AV39" s="107"/>
      <c r="AW39" s="107"/>
      <c r="AX39" s="107"/>
      <c r="AY39" s="107"/>
      <c r="AZ39" s="107"/>
      <c r="BA39" s="107"/>
      <c r="BB39" s="107"/>
      <c r="BC39" s="107"/>
      <c r="BD39" s="107"/>
      <c r="BE39" s="107"/>
      <c r="BF39" s="201">
        <v>90</v>
      </c>
      <c r="BG39" s="201"/>
      <c r="BH39" s="201"/>
      <c r="BI39" s="202"/>
      <c r="BJ39" s="20"/>
      <c r="BK39" s="20"/>
      <c r="BM39" s="15"/>
      <c r="BN39" s="14"/>
      <c r="BO39" s="14"/>
      <c r="BP39" s="14"/>
      <c r="BQ39" s="14"/>
      <c r="BR39" s="14" t="s">
        <v>158</v>
      </c>
      <c r="BS39" s="14">
        <v>8050701</v>
      </c>
      <c r="BT39" s="16">
        <f t="shared" ref="BT39:BT50" si="0">SUMIF(BP:BP,BS39,BL:BL)</f>
        <v>0</v>
      </c>
      <c r="BU39"/>
    </row>
    <row r="40" spans="1:73">
      <c r="BM40" s="14"/>
      <c r="BP40" s="14"/>
      <c r="BR40" s="14" t="s">
        <v>162</v>
      </c>
      <c r="BS40" s="14">
        <v>8040706</v>
      </c>
      <c r="BT40" s="16">
        <f t="shared" si="0"/>
        <v>0</v>
      </c>
      <c r="BU40"/>
    </row>
    <row r="41" spans="1:73" ht="14.25" customHeight="1">
      <c r="A41" s="182" t="s">
        <v>74</v>
      </c>
      <c r="B41" s="183"/>
      <c r="C41" s="183"/>
      <c r="D41" s="183"/>
      <c r="E41" s="183"/>
      <c r="F41" s="183"/>
      <c r="G41" s="183"/>
      <c r="H41" s="183"/>
      <c r="I41" s="183"/>
      <c r="J41" s="183"/>
      <c r="K41" s="183"/>
      <c r="L41" s="183"/>
      <c r="M41" s="183"/>
      <c r="N41" s="183"/>
      <c r="O41" s="183"/>
      <c r="P41" s="183"/>
      <c r="Q41" s="183"/>
      <c r="R41" s="183"/>
      <c r="S41" s="183"/>
      <c r="T41" s="183"/>
      <c r="U41" s="183"/>
      <c r="V41" s="183"/>
      <c r="W41" s="183"/>
      <c r="X41" s="183"/>
      <c r="Y41" s="183"/>
      <c r="Z41" s="183"/>
      <c r="AA41" s="183"/>
      <c r="AB41" s="183"/>
      <c r="AC41" s="183"/>
      <c r="AD41" s="183"/>
      <c r="AE41" s="183"/>
      <c r="AF41" s="183"/>
      <c r="AG41" s="183"/>
      <c r="AH41" s="183"/>
      <c r="AI41" s="183"/>
      <c r="AJ41" s="183"/>
      <c r="AK41" s="183"/>
      <c r="AL41" s="183"/>
      <c r="AM41" s="183"/>
      <c r="AN41" s="183"/>
      <c r="AO41" s="183"/>
      <c r="AP41" s="183"/>
      <c r="AQ41" s="183"/>
      <c r="AR41" s="183"/>
      <c r="AS41" s="183"/>
      <c r="AT41" s="183"/>
      <c r="AU41" s="183"/>
      <c r="AV41" s="183"/>
      <c r="AW41" s="183"/>
      <c r="AX41" s="183"/>
      <c r="AY41" s="183"/>
      <c r="AZ41" s="183"/>
      <c r="BA41" s="183"/>
      <c r="BB41" s="183"/>
      <c r="BC41" s="183"/>
      <c r="BD41" s="183"/>
      <c r="BE41" s="183"/>
      <c r="BF41" s="184"/>
      <c r="BM41" s="14"/>
      <c r="BP41" s="14"/>
      <c r="BR41" s="14" t="s">
        <v>163</v>
      </c>
      <c r="BS41" s="14">
        <v>8051420</v>
      </c>
      <c r="BT41" s="16">
        <f t="shared" si="0"/>
        <v>0</v>
      </c>
      <c r="BU41"/>
    </row>
    <row r="42" spans="1:73" ht="44.45" customHeight="1">
      <c r="A42" s="27" t="s">
        <v>75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185" t="s">
        <v>76</v>
      </c>
      <c r="AN42" s="185"/>
      <c r="AO42" s="185"/>
      <c r="AP42" s="185"/>
      <c r="AQ42" s="185"/>
      <c r="AR42" s="185"/>
      <c r="AS42" s="185"/>
      <c r="AT42" s="185"/>
      <c r="AU42" s="185"/>
      <c r="AV42" s="185"/>
      <c r="AW42" s="185"/>
      <c r="AX42" s="185"/>
      <c r="AY42" s="185"/>
      <c r="AZ42" s="185"/>
      <c r="BA42" s="186"/>
      <c r="BB42" s="187" t="s">
        <v>77</v>
      </c>
      <c r="BC42" s="23"/>
      <c r="BD42" s="23"/>
      <c r="BE42" s="23"/>
      <c r="BF42" s="23"/>
      <c r="BG42" s="23"/>
      <c r="BH42" s="23"/>
      <c r="BI42" s="23"/>
      <c r="BM42" s="19"/>
      <c r="BP42" s="19"/>
      <c r="BR42" s="14" t="s">
        <v>159</v>
      </c>
      <c r="BS42" s="14">
        <v>8051416</v>
      </c>
      <c r="BT42" s="16">
        <f t="shared" si="0"/>
        <v>90000</v>
      </c>
      <c r="BU42"/>
    </row>
    <row r="43" spans="1:73" ht="63.75" customHeight="1">
      <c r="A43" s="188" t="s">
        <v>78</v>
      </c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  <c r="Q43" s="188"/>
      <c r="R43" s="188"/>
      <c r="S43" s="188"/>
      <c r="T43" s="188"/>
      <c r="U43" s="188"/>
      <c r="V43" s="188"/>
      <c r="W43" s="188"/>
      <c r="X43" s="188"/>
      <c r="Y43" s="188"/>
      <c r="Z43" s="188"/>
      <c r="AA43" s="188"/>
      <c r="AB43" s="188"/>
      <c r="AC43" s="188"/>
      <c r="AD43" s="188"/>
      <c r="AE43" s="188"/>
      <c r="AF43" s="188"/>
      <c r="AG43" s="188"/>
      <c r="AH43" s="188"/>
      <c r="AI43" s="188"/>
      <c r="AJ43" s="188"/>
      <c r="AK43" s="188"/>
      <c r="AL43" s="188"/>
      <c r="AM43" s="188"/>
      <c r="AN43" s="188"/>
      <c r="AO43" s="188"/>
      <c r="AP43" s="188"/>
      <c r="AQ43" s="188"/>
      <c r="AR43" s="188"/>
      <c r="AS43" s="188"/>
      <c r="AT43" s="188"/>
      <c r="AU43" s="188"/>
      <c r="AV43" s="188"/>
      <c r="AW43" s="188"/>
      <c r="AX43" s="188"/>
      <c r="AY43" s="188"/>
      <c r="AZ43" s="188"/>
      <c r="BA43" s="188"/>
      <c r="BB43" s="188"/>
      <c r="BC43" s="188"/>
      <c r="BD43" s="188"/>
      <c r="BE43" s="188"/>
      <c r="BF43" s="188"/>
      <c r="BG43" s="188"/>
      <c r="BH43" s="188"/>
      <c r="BI43" s="188"/>
      <c r="BR43" s="14" t="s">
        <v>164</v>
      </c>
      <c r="BS43" s="14">
        <v>8050901</v>
      </c>
      <c r="BT43" s="16">
        <f t="shared" si="0"/>
        <v>0</v>
      </c>
      <c r="BU43"/>
    </row>
    <row r="44" spans="1:73" ht="12.75" customHeight="1">
      <c r="A44" s="167">
        <v>45757</v>
      </c>
      <c r="B44" s="167"/>
      <c r="C44" s="167"/>
      <c r="D44" s="167"/>
      <c r="E44" s="167"/>
      <c r="F44" s="167"/>
      <c r="G44" s="168">
        <v>100400000000</v>
      </c>
      <c r="H44" s="168"/>
      <c r="I44" s="168"/>
      <c r="J44" s="168"/>
      <c r="K44" s="168"/>
      <c r="L44" s="169"/>
      <c r="M44" s="137" t="s">
        <v>79</v>
      </c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0"/>
      <c r="AK44" s="139">
        <v>2.9849999999999999</v>
      </c>
      <c r="AL44" s="140"/>
      <c r="AM44" s="140"/>
      <c r="AN44" s="140"/>
      <c r="AO44" s="140"/>
      <c r="AP44" s="140"/>
      <c r="AQ44" s="140"/>
      <c r="AR44" s="140"/>
      <c r="AS44" s="140"/>
      <c r="AT44" s="140">
        <v>2.9849999999999999</v>
      </c>
      <c r="AU44" s="140"/>
      <c r="AV44" s="140"/>
      <c r="AW44" s="140"/>
      <c r="AX44" s="141"/>
      <c r="AY44" s="170" t="s">
        <v>80</v>
      </c>
      <c r="AZ44" s="171"/>
      <c r="BA44" s="172">
        <v>2.9849999999999999</v>
      </c>
      <c r="BB44" s="173"/>
      <c r="BC44" s="173"/>
      <c r="BD44" s="173"/>
      <c r="BE44" s="173"/>
      <c r="BF44" s="173"/>
      <c r="BL44" s="2">
        <v>2985</v>
      </c>
      <c r="BM44" s="14" t="s">
        <v>165</v>
      </c>
      <c r="BP44" s="14">
        <f t="shared" ref="BP44:BP46" si="1">VLOOKUP(BM44,BR:BS,2,0)</f>
        <v>8051301</v>
      </c>
      <c r="BR44" s="14" t="s">
        <v>165</v>
      </c>
      <c r="BS44" s="14">
        <v>8051301</v>
      </c>
      <c r="BT44" s="16">
        <f t="shared" si="0"/>
        <v>10022</v>
      </c>
      <c r="BU44"/>
    </row>
    <row r="45" spans="1:73" ht="12.75" customHeight="1">
      <c r="A45" s="167">
        <v>45768</v>
      </c>
      <c r="B45" s="167"/>
      <c r="C45" s="167"/>
      <c r="D45" s="167"/>
      <c r="E45" s="167"/>
      <c r="F45" s="167"/>
      <c r="G45" s="168">
        <v>210400000000</v>
      </c>
      <c r="H45" s="168"/>
      <c r="I45" s="168"/>
      <c r="J45" s="168"/>
      <c r="K45" s="168"/>
      <c r="L45" s="169"/>
      <c r="M45" s="137" t="s">
        <v>79</v>
      </c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0"/>
      <c r="AK45" s="139">
        <v>3.133</v>
      </c>
      <c r="AL45" s="140"/>
      <c r="AM45" s="140"/>
      <c r="AN45" s="140"/>
      <c r="AO45" s="140"/>
      <c r="AP45" s="140"/>
      <c r="AQ45" s="140"/>
      <c r="AR45" s="140"/>
      <c r="AS45" s="140"/>
      <c r="AT45" s="140">
        <v>3.133</v>
      </c>
      <c r="AU45" s="140"/>
      <c r="AV45" s="140"/>
      <c r="AW45" s="140"/>
      <c r="AX45" s="141"/>
      <c r="AY45" s="170" t="s">
        <v>80</v>
      </c>
      <c r="AZ45" s="171"/>
      <c r="BA45" s="172">
        <v>3.133</v>
      </c>
      <c r="BB45" s="173"/>
      <c r="BC45" s="173"/>
      <c r="BD45" s="173"/>
      <c r="BE45" s="173"/>
      <c r="BF45" s="173"/>
      <c r="BL45" s="2">
        <v>3133</v>
      </c>
      <c r="BM45" s="14" t="s">
        <v>165</v>
      </c>
      <c r="BP45" s="14">
        <f t="shared" si="1"/>
        <v>8051301</v>
      </c>
      <c r="BR45" s="14" t="s">
        <v>166</v>
      </c>
      <c r="BS45" s="14">
        <v>8040703</v>
      </c>
      <c r="BT45" s="16">
        <f t="shared" si="0"/>
        <v>0</v>
      </c>
      <c r="BU45"/>
    </row>
    <row r="46" spans="1:73" ht="12.75" customHeight="1">
      <c r="A46" s="174">
        <v>45772</v>
      </c>
      <c r="B46" s="174"/>
      <c r="C46" s="174"/>
      <c r="D46" s="174"/>
      <c r="E46" s="174"/>
      <c r="F46" s="174"/>
      <c r="G46" s="175">
        <v>250400000000</v>
      </c>
      <c r="H46" s="175"/>
      <c r="I46" s="175"/>
      <c r="J46" s="175"/>
      <c r="K46" s="175"/>
      <c r="L46" s="176"/>
      <c r="M46" s="142" t="s">
        <v>81</v>
      </c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43"/>
      <c r="AA46" s="143"/>
      <c r="AB46" s="143"/>
      <c r="AC46" s="143"/>
      <c r="AD46" s="143"/>
      <c r="AE46" s="143"/>
      <c r="AF46" s="143"/>
      <c r="AG46" s="143"/>
      <c r="AH46" s="143"/>
      <c r="AI46" s="143"/>
      <c r="AJ46" s="144"/>
      <c r="AK46" s="177">
        <v>3.9039999999999999</v>
      </c>
      <c r="AL46" s="178"/>
      <c r="AM46" s="178"/>
      <c r="AN46" s="178"/>
      <c r="AO46" s="178"/>
      <c r="AP46" s="178"/>
      <c r="AQ46" s="178"/>
      <c r="AR46" s="178"/>
      <c r="AS46" s="178"/>
      <c r="AT46" s="178">
        <v>3.9039999999999999</v>
      </c>
      <c r="AU46" s="178"/>
      <c r="AV46" s="178"/>
      <c r="AW46" s="178"/>
      <c r="AX46" s="179"/>
      <c r="AY46" s="110" t="s">
        <v>80</v>
      </c>
      <c r="AZ46" s="112"/>
      <c r="BA46" s="180">
        <v>3.9039999999999999</v>
      </c>
      <c r="BB46" s="181"/>
      <c r="BC46" s="181"/>
      <c r="BD46" s="181"/>
      <c r="BE46" s="181"/>
      <c r="BF46" s="181"/>
      <c r="BL46" s="2">
        <v>3904</v>
      </c>
      <c r="BM46" s="14" t="s">
        <v>165</v>
      </c>
      <c r="BP46" s="14">
        <f t="shared" si="1"/>
        <v>8051301</v>
      </c>
      <c r="BR46" s="14" t="s">
        <v>167</v>
      </c>
      <c r="BS46" s="14">
        <v>8050708</v>
      </c>
      <c r="BT46" s="16">
        <f t="shared" si="0"/>
        <v>0</v>
      </c>
      <c r="BU46"/>
    </row>
    <row r="47" spans="1:73" ht="14.2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160" t="s">
        <v>82</v>
      </c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1" t="s">
        <v>83</v>
      </c>
      <c r="AL47" s="161"/>
      <c r="AM47" s="161"/>
      <c r="AN47" s="161"/>
      <c r="AO47" s="161"/>
      <c r="AP47" s="161"/>
      <c r="AQ47" s="161"/>
      <c r="AR47" s="161"/>
      <c r="AS47" s="161"/>
      <c r="AT47" s="34"/>
      <c r="AU47" s="34"/>
      <c r="AV47" s="34"/>
      <c r="AW47" s="34"/>
      <c r="AX47" s="34"/>
      <c r="AY47" s="34"/>
      <c r="AZ47" s="34"/>
      <c r="BA47" s="162">
        <v>10.022</v>
      </c>
      <c r="BB47" s="162"/>
      <c r="BC47" s="162"/>
      <c r="BD47" s="162"/>
      <c r="BE47" s="162"/>
      <c r="BF47" s="163"/>
      <c r="BR47" s="14" t="s">
        <v>168</v>
      </c>
      <c r="BS47" s="14">
        <v>8040705</v>
      </c>
      <c r="BT47" s="16">
        <f t="shared" si="0"/>
        <v>0</v>
      </c>
      <c r="BU47"/>
    </row>
    <row r="48" spans="1:73" ht="14.25" customHeight="1">
      <c r="A48" s="100" t="s">
        <v>84</v>
      </c>
      <c r="B48" s="101"/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  <c r="AA48" s="101"/>
      <c r="AB48" s="101"/>
      <c r="AC48" s="101"/>
      <c r="AD48" s="101"/>
      <c r="AE48" s="101"/>
      <c r="AF48" s="101"/>
      <c r="AG48" s="101"/>
      <c r="AH48" s="101"/>
      <c r="AI48" s="101"/>
      <c r="AJ48" s="101"/>
      <c r="AK48" s="101"/>
      <c r="AL48" s="101"/>
      <c r="AM48" s="101"/>
      <c r="AN48" s="101"/>
      <c r="AO48" s="101"/>
      <c r="AP48" s="101"/>
      <c r="AQ48" s="101"/>
      <c r="AR48" s="101"/>
      <c r="AS48" s="101"/>
      <c r="AT48" s="101"/>
      <c r="AU48" s="101"/>
      <c r="AV48" s="101"/>
      <c r="AW48" s="101"/>
      <c r="AX48" s="101"/>
      <c r="AY48" s="101"/>
      <c r="AZ48" s="101"/>
      <c r="BA48" s="101"/>
      <c r="BB48" s="101"/>
      <c r="BC48" s="101"/>
      <c r="BD48" s="101"/>
      <c r="BE48" s="101"/>
      <c r="BF48" s="102"/>
      <c r="BR48" s="17" t="s">
        <v>169</v>
      </c>
      <c r="BS48" s="14">
        <v>3030101</v>
      </c>
      <c r="BT48" s="16">
        <f t="shared" si="0"/>
        <v>0</v>
      </c>
      <c r="BU48"/>
    </row>
    <row r="49" spans="1:73" ht="14.25" customHeight="1">
      <c r="A49" s="164" t="s">
        <v>85</v>
      </c>
      <c r="B49" s="165"/>
      <c r="C49" s="165"/>
      <c r="D49" s="165"/>
      <c r="E49" s="165"/>
      <c r="F49" s="165"/>
      <c r="G49" s="165"/>
      <c r="H49" s="165"/>
      <c r="I49" s="165"/>
      <c r="J49" s="165"/>
      <c r="K49" s="165"/>
      <c r="L49" s="165"/>
      <c r="M49" s="165"/>
      <c r="N49" s="165"/>
      <c r="O49" s="165"/>
      <c r="P49" s="165"/>
      <c r="Q49" s="165"/>
      <c r="R49" s="165"/>
      <c r="S49" s="165"/>
      <c r="T49" s="165"/>
      <c r="U49" s="165"/>
      <c r="V49" s="165"/>
      <c r="W49" s="165"/>
      <c r="X49" s="165"/>
      <c r="Y49" s="166"/>
      <c r="BR49" s="278" t="s">
        <v>170</v>
      </c>
      <c r="BS49" s="14">
        <v>3011302</v>
      </c>
      <c r="BT49" s="16">
        <f t="shared" si="0"/>
        <v>0</v>
      </c>
      <c r="BU49"/>
    </row>
    <row r="50" spans="1:73" ht="12.75" customHeight="1">
      <c r="A50" s="151" t="s">
        <v>86</v>
      </c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3"/>
      <c r="M50" s="154"/>
      <c r="N50" s="156"/>
      <c r="O50" s="154"/>
      <c r="P50" s="156"/>
      <c r="Q50" s="154"/>
      <c r="R50" s="156"/>
      <c r="S50" s="154"/>
      <c r="T50" s="156"/>
      <c r="U50" s="154"/>
      <c r="V50" s="158"/>
      <c r="W50" s="158"/>
      <c r="X50" s="156"/>
      <c r="Y50" s="129" t="s">
        <v>87</v>
      </c>
      <c r="Z50" s="131">
        <v>100.02200000000001</v>
      </c>
      <c r="AA50" s="132"/>
      <c r="AB50" s="132"/>
      <c r="AC50" s="132"/>
      <c r="AD50" s="132"/>
      <c r="AE50" s="132"/>
      <c r="AF50" s="132"/>
      <c r="AG50" s="132"/>
      <c r="AH50" s="133"/>
      <c r="BR50" s="17" t="s">
        <v>160</v>
      </c>
      <c r="BS50" s="14">
        <v>3011301</v>
      </c>
      <c r="BT50" s="16">
        <f t="shared" si="0"/>
        <v>0</v>
      </c>
      <c r="BU50" s="18">
        <f>SUM(BT38:BT49)</f>
        <v>100022</v>
      </c>
    </row>
    <row r="51" spans="1:73" ht="2.4500000000000002" customHeight="1">
      <c r="A51" s="137"/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20"/>
      <c r="M51" s="155"/>
      <c r="N51" s="157"/>
      <c r="O51" s="155"/>
      <c r="P51" s="157"/>
      <c r="Q51" s="155"/>
      <c r="R51" s="157"/>
      <c r="S51" s="155"/>
      <c r="T51" s="157"/>
      <c r="U51" s="155"/>
      <c r="V51" s="159"/>
      <c r="W51" s="159"/>
      <c r="X51" s="157"/>
      <c r="Y51" s="130"/>
      <c r="Z51" s="134">
        <v>5.8259999999999996</v>
      </c>
      <c r="AA51" s="135"/>
      <c r="AB51" s="135"/>
      <c r="AC51" s="135"/>
      <c r="AD51" s="135"/>
      <c r="AE51" s="135"/>
      <c r="AF51" s="135"/>
      <c r="AG51" s="135"/>
      <c r="AH51" s="136"/>
      <c r="BR51" s="14"/>
      <c r="BS51" s="14"/>
      <c r="BT51" s="17" t="s">
        <v>161</v>
      </c>
      <c r="BU51" s="279">
        <f>BU50-AT99</f>
        <v>100022</v>
      </c>
    </row>
    <row r="52" spans="1:73" ht="12.75" customHeight="1">
      <c r="A52" s="137" t="s">
        <v>88</v>
      </c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0"/>
      <c r="Z52" s="134"/>
      <c r="AA52" s="135"/>
      <c r="AB52" s="135"/>
      <c r="AC52" s="135"/>
      <c r="AD52" s="135"/>
      <c r="AE52" s="135"/>
      <c r="AF52" s="135"/>
      <c r="AG52" s="135"/>
      <c r="AH52" s="136"/>
    </row>
    <row r="53" spans="1:73" ht="12.75" customHeight="1">
      <c r="A53" s="137" t="s">
        <v>89</v>
      </c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0"/>
      <c r="Z53" s="139">
        <v>100.02200000000001</v>
      </c>
      <c r="AA53" s="140"/>
      <c r="AB53" s="140"/>
      <c r="AC53" s="140"/>
      <c r="AD53" s="140"/>
      <c r="AE53" s="140"/>
      <c r="AF53" s="140"/>
      <c r="AG53" s="140"/>
      <c r="AH53" s="141"/>
    </row>
    <row r="54" spans="1:73" ht="14.45" customHeight="1">
      <c r="A54" s="142" t="s">
        <v>90</v>
      </c>
      <c r="B54" s="143"/>
      <c r="C54" s="143"/>
      <c r="D54" s="143"/>
      <c r="E54" s="143"/>
      <c r="F54" s="143"/>
      <c r="G54" s="143"/>
      <c r="H54" s="143"/>
      <c r="I54" s="143"/>
      <c r="J54" s="143"/>
      <c r="K54" s="143"/>
      <c r="L54" s="143"/>
      <c r="M54" s="143"/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4"/>
      <c r="Z54" s="145">
        <v>0</v>
      </c>
      <c r="AA54" s="146"/>
      <c r="AB54" s="146"/>
      <c r="AC54" s="146"/>
      <c r="AD54" s="146"/>
      <c r="AE54" s="146"/>
      <c r="AF54" s="146"/>
      <c r="AG54" s="146"/>
      <c r="AH54" s="147"/>
    </row>
    <row r="55" spans="1:73" ht="129.75" customHeight="1">
      <c r="A55" s="148" t="s">
        <v>91</v>
      </c>
      <c r="B55" s="149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149"/>
      <c r="P55" s="149"/>
      <c r="Q55" s="149"/>
      <c r="R55" s="149"/>
      <c r="S55" s="149"/>
      <c r="T55" s="149"/>
      <c r="U55" s="149"/>
      <c r="V55" s="149"/>
      <c r="W55" s="149"/>
      <c r="X55" s="149"/>
      <c r="Y55" s="150"/>
    </row>
    <row r="56" spans="1:73" ht="12.75" customHeight="1">
      <c r="A56" s="122" t="s">
        <v>92</v>
      </c>
      <c r="B56" s="122"/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  <c r="AS56" s="122"/>
      <c r="AT56" s="122"/>
      <c r="AU56" s="122"/>
      <c r="AV56" s="122"/>
      <c r="AW56" s="122"/>
      <c r="AX56" s="122"/>
      <c r="AY56" s="122"/>
      <c r="AZ56" s="122"/>
      <c r="BA56" s="122"/>
      <c r="BB56" s="122"/>
      <c r="BC56" s="122"/>
      <c r="BD56" s="122"/>
      <c r="BE56" s="122"/>
      <c r="BF56" s="122"/>
      <c r="BG56" s="122"/>
      <c r="BH56" s="122"/>
      <c r="BI56" s="122"/>
    </row>
    <row r="57" spans="1:73" ht="12.75" customHeight="1">
      <c r="A57" s="123" t="s">
        <v>93</v>
      </c>
      <c r="B57" s="124"/>
      <c r="C57" s="124"/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  <c r="AG57" s="124"/>
      <c r="AH57" s="125"/>
    </row>
    <row r="58" spans="1:73" ht="12.75" customHeight="1">
      <c r="A58" s="116" t="s">
        <v>94</v>
      </c>
      <c r="B58" s="117"/>
      <c r="C58" s="118"/>
      <c r="D58" s="116" t="s">
        <v>95</v>
      </c>
      <c r="E58" s="117"/>
      <c r="F58" s="117"/>
      <c r="G58" s="117"/>
      <c r="H58" s="117"/>
      <c r="I58" s="118"/>
      <c r="J58" s="116" t="s">
        <v>96</v>
      </c>
      <c r="K58" s="117"/>
      <c r="L58" s="117"/>
      <c r="M58" s="117"/>
      <c r="N58" s="117"/>
      <c r="O58" s="117"/>
      <c r="P58" s="117"/>
      <c r="Q58" s="117"/>
      <c r="R58" s="117"/>
      <c r="S58" s="118"/>
      <c r="T58" s="116" t="s">
        <v>97</v>
      </c>
      <c r="U58" s="117"/>
      <c r="V58" s="117"/>
      <c r="W58" s="117"/>
      <c r="X58" s="117"/>
      <c r="Y58" s="117"/>
      <c r="Z58" s="117"/>
      <c r="AA58" s="117"/>
      <c r="AB58" s="118"/>
      <c r="AC58" s="116" t="s">
        <v>98</v>
      </c>
      <c r="AD58" s="117"/>
      <c r="AE58" s="117"/>
      <c r="AF58" s="117"/>
      <c r="AG58" s="117"/>
      <c r="AH58" s="118"/>
    </row>
    <row r="59" spans="1:73" ht="14.25" customHeight="1">
      <c r="A59" s="126">
        <v>0</v>
      </c>
      <c r="B59" s="127"/>
      <c r="C59" s="128"/>
      <c r="D59" s="126">
        <v>0</v>
      </c>
      <c r="E59" s="127"/>
      <c r="F59" s="127"/>
      <c r="G59" s="127"/>
      <c r="H59" s="127"/>
      <c r="I59" s="128"/>
      <c r="J59" s="126">
        <v>0</v>
      </c>
      <c r="K59" s="127"/>
      <c r="L59" s="127"/>
      <c r="M59" s="127"/>
      <c r="N59" s="127"/>
      <c r="O59" s="127"/>
      <c r="P59" s="127"/>
      <c r="Q59" s="127"/>
      <c r="R59" s="127"/>
      <c r="S59" s="128"/>
      <c r="T59" s="126">
        <v>0</v>
      </c>
      <c r="U59" s="127"/>
      <c r="V59" s="127"/>
      <c r="W59" s="127"/>
      <c r="X59" s="127"/>
      <c r="Y59" s="127"/>
      <c r="Z59" s="127"/>
      <c r="AA59" s="127"/>
      <c r="AB59" s="128"/>
      <c r="AC59" s="126">
        <v>0</v>
      </c>
      <c r="AD59" s="127"/>
      <c r="AE59" s="127"/>
      <c r="AF59" s="127"/>
      <c r="AG59" s="127"/>
      <c r="AH59" s="128"/>
    </row>
    <row r="60" spans="1:73" ht="28.35" customHeight="1">
      <c r="A60" s="113" t="s">
        <v>99</v>
      </c>
      <c r="B60" s="114"/>
      <c r="C60" s="114"/>
      <c r="D60" s="115"/>
    </row>
    <row r="61" spans="1:73" ht="12.75" customHeight="1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4"/>
      <c r="T61" s="116" t="s">
        <v>100</v>
      </c>
      <c r="U61" s="117"/>
      <c r="V61" s="117"/>
      <c r="W61" s="117"/>
      <c r="X61" s="117"/>
      <c r="Y61" s="117"/>
      <c r="Z61" s="117"/>
      <c r="AA61" s="117"/>
      <c r="AB61" s="118"/>
      <c r="AC61" s="116" t="s">
        <v>101</v>
      </c>
      <c r="AD61" s="117"/>
      <c r="AE61" s="117"/>
      <c r="AF61" s="117"/>
      <c r="AG61" s="117"/>
      <c r="AH61" s="118"/>
    </row>
    <row r="62" spans="1:73" ht="14.25" customHeight="1">
      <c r="A62" s="100" t="s">
        <v>102</v>
      </c>
      <c r="B62" s="101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2"/>
      <c r="T62" s="119">
        <v>45773</v>
      </c>
      <c r="U62" s="120"/>
      <c r="V62" s="120"/>
      <c r="W62" s="120"/>
      <c r="X62" s="120"/>
      <c r="Y62" s="120"/>
      <c r="Z62" s="120"/>
      <c r="AA62" s="120"/>
      <c r="AB62" s="121"/>
      <c r="AC62" s="119">
        <v>45805</v>
      </c>
      <c r="AD62" s="120"/>
      <c r="AE62" s="120"/>
      <c r="AF62" s="120"/>
      <c r="AG62" s="120"/>
      <c r="AH62" s="121"/>
    </row>
    <row r="63" spans="1:73" ht="14.25" customHeight="1">
      <c r="A63" s="100" t="s">
        <v>103</v>
      </c>
      <c r="B63" s="101"/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  <c r="AK63" s="101"/>
      <c r="AL63" s="101"/>
      <c r="AM63" s="101"/>
      <c r="AN63" s="101"/>
      <c r="AO63" s="101"/>
      <c r="AP63" s="101"/>
      <c r="AQ63" s="101"/>
      <c r="AR63" s="101"/>
      <c r="AS63" s="101"/>
      <c r="AT63" s="101"/>
      <c r="AU63" s="101"/>
      <c r="AV63" s="101"/>
      <c r="AW63" s="101"/>
      <c r="AX63" s="101"/>
      <c r="AY63" s="101"/>
      <c r="AZ63" s="101"/>
      <c r="BA63" s="101"/>
      <c r="BB63" s="101"/>
      <c r="BC63" s="101"/>
      <c r="BD63" s="101"/>
      <c r="BE63" s="101"/>
      <c r="BF63" s="102"/>
    </row>
    <row r="64" spans="1:73" ht="14.25" customHeight="1">
      <c r="A64" s="100" t="s">
        <v>104</v>
      </c>
      <c r="B64" s="101"/>
      <c r="C64" s="101"/>
      <c r="D64" s="101"/>
      <c r="E64" s="101"/>
      <c r="F64" s="101"/>
      <c r="G64" s="101"/>
      <c r="H64" s="102"/>
      <c r="I64" s="100" t="s">
        <v>105</v>
      </c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101"/>
      <c r="AH64" s="102"/>
    </row>
    <row r="65" spans="1:62" ht="14.25" customHeight="1">
      <c r="A65" s="100" t="s">
        <v>106</v>
      </c>
      <c r="B65" s="101"/>
      <c r="C65" s="101"/>
      <c r="D65" s="101"/>
      <c r="E65" s="101"/>
      <c r="F65" s="101"/>
      <c r="G65" s="101"/>
      <c r="H65" s="101"/>
      <c r="I65" s="101"/>
      <c r="J65" s="102"/>
      <c r="K65" s="103">
        <v>0.03</v>
      </c>
      <c r="L65" s="104"/>
      <c r="M65" s="104"/>
      <c r="N65" s="104"/>
      <c r="O65" s="104"/>
      <c r="P65" s="104"/>
      <c r="Q65" s="104"/>
      <c r="R65" s="104"/>
      <c r="S65" s="104"/>
      <c r="T65" s="104"/>
      <c r="U65" s="105"/>
    </row>
    <row r="66" spans="1:62" ht="11.25" customHeight="1">
      <c r="A66" s="106"/>
      <c r="B66" s="107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8"/>
    </row>
    <row r="67" spans="1:62" ht="57.75" customHeight="1">
      <c r="A67" s="109"/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</row>
    <row r="68" spans="1:62" ht="42.6" customHeight="1">
      <c r="A68" s="110" t="s">
        <v>107</v>
      </c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2"/>
    </row>
    <row r="69" spans="1:62" ht="11.25" customHeight="1">
      <c r="A69" s="106"/>
      <c r="B69" s="107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107"/>
      <c r="AB69" s="108"/>
    </row>
    <row r="70" spans="1:62" ht="57.75" customHeight="1">
      <c r="A70" s="109"/>
      <c r="B70" s="109"/>
      <c r="C70" s="109"/>
      <c r="D70" s="109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</row>
    <row r="71" spans="1:62" ht="42.6" customHeight="1">
      <c r="A71" s="110" t="s">
        <v>108</v>
      </c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2"/>
    </row>
    <row r="72" spans="1:62" ht="36.950000000000003" customHeight="1"/>
    <row r="73" spans="1:62" ht="104.1" customHeight="1"/>
    <row r="74" spans="1:62" ht="21.95" customHeight="1"/>
    <row r="75" spans="1:62" ht="26.1" customHeight="1"/>
    <row r="76" spans="1:62" ht="42.6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</row>
    <row r="77" spans="1:62" ht="13.5" customHeight="1">
      <c r="A77" s="3"/>
      <c r="B77" s="38" t="s">
        <v>109</v>
      </c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39"/>
      <c r="BD77" s="39"/>
      <c r="BE77" s="39"/>
      <c r="BF77" s="39"/>
      <c r="BG77" s="39"/>
      <c r="BH77" s="95"/>
      <c r="BI77" s="20"/>
      <c r="BJ77" s="20"/>
    </row>
    <row r="78" spans="1:62" ht="13.5" customHeight="1">
      <c r="A78" s="4"/>
      <c r="B78" s="96" t="s">
        <v>1</v>
      </c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97"/>
      <c r="O78" s="96" t="s">
        <v>2</v>
      </c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  <c r="AP78" s="44"/>
      <c r="AQ78" s="44"/>
      <c r="AR78" s="44"/>
      <c r="AS78" s="44"/>
      <c r="AT78" s="44"/>
      <c r="AU78" s="44"/>
      <c r="AV78" s="44"/>
      <c r="AW78" s="44"/>
      <c r="AX78" s="44"/>
      <c r="AY78" s="44"/>
      <c r="AZ78" s="44"/>
      <c r="BA78" s="44"/>
      <c r="BB78" s="44"/>
      <c r="BC78" s="44"/>
      <c r="BD78" s="44"/>
      <c r="BE78" s="44"/>
      <c r="BF78" s="44"/>
      <c r="BG78" s="44"/>
      <c r="BH78" s="97"/>
      <c r="BI78" s="21"/>
      <c r="BJ78" s="21"/>
    </row>
    <row r="79" spans="1:62" ht="13.5" customHeight="1">
      <c r="A79" s="4"/>
      <c r="B79" s="98" t="s">
        <v>110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99"/>
      <c r="O79" s="98" t="s">
        <v>4</v>
      </c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99"/>
      <c r="BI79" s="21"/>
      <c r="BJ79" s="21"/>
    </row>
    <row r="80" spans="1:62" ht="15.6" customHeight="1">
      <c r="A80" s="3"/>
      <c r="B80" s="90" t="s">
        <v>5</v>
      </c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91"/>
      <c r="O80" s="92">
        <v>45772</v>
      </c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3"/>
      <c r="AD80" s="93"/>
      <c r="AE80" s="93"/>
      <c r="AF80" s="93"/>
      <c r="AG80" s="93"/>
      <c r="AH80" s="93"/>
      <c r="AI80" s="93"/>
      <c r="AJ80" s="93"/>
      <c r="AK80" s="93"/>
      <c r="AL80" s="93"/>
      <c r="AM80" s="93"/>
      <c r="AN80" s="93"/>
      <c r="AO80" s="93"/>
      <c r="AP80" s="93"/>
      <c r="AQ80" s="93"/>
      <c r="AR80" s="93"/>
      <c r="AS80" s="93"/>
      <c r="AT80" s="93"/>
      <c r="AU80" s="93"/>
      <c r="AV80" s="93"/>
      <c r="AW80" s="93"/>
      <c r="AX80" s="93"/>
      <c r="AY80" s="93"/>
      <c r="AZ80" s="93"/>
      <c r="BA80" s="93"/>
      <c r="BB80" s="93"/>
      <c r="BC80" s="93"/>
      <c r="BD80" s="93"/>
      <c r="BE80" s="93"/>
      <c r="BF80" s="93"/>
      <c r="BG80" s="93"/>
      <c r="BH80" s="94"/>
      <c r="BI80" s="20"/>
      <c r="BJ80" s="20"/>
    </row>
    <row r="81" spans="1:62" ht="95.45" customHeight="1">
      <c r="A81" s="21" t="s">
        <v>6</v>
      </c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</row>
    <row r="82" spans="1:62" ht="13.5" customHeight="1">
      <c r="A82" s="3"/>
      <c r="B82" s="52" t="s">
        <v>111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  <c r="BE82" s="53"/>
      <c r="BF82" s="53"/>
      <c r="BG82" s="53"/>
      <c r="BH82" s="54"/>
      <c r="BI82" s="20"/>
      <c r="BJ82" s="20"/>
    </row>
    <row r="83" spans="1:62" ht="11.45" customHeight="1">
      <c r="A83" s="3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3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3"/>
      <c r="AH83" s="3"/>
      <c r="AI83" s="20"/>
      <c r="AJ83" s="20"/>
      <c r="AK83" s="20"/>
      <c r="AL83" s="20"/>
      <c r="AM83" s="20"/>
      <c r="AN83" s="20"/>
      <c r="AO83" s="3"/>
      <c r="AP83" s="3"/>
      <c r="AQ83" s="20"/>
      <c r="AR83" s="20"/>
      <c r="AS83" s="20"/>
      <c r="AT83" s="20"/>
      <c r="AU83" s="20"/>
      <c r="AV83" s="20"/>
      <c r="AW83" s="3"/>
      <c r="AX83" s="3"/>
      <c r="AY83" s="20"/>
      <c r="AZ83" s="20"/>
      <c r="BA83" s="20"/>
      <c r="BB83" s="20"/>
      <c r="BC83" s="20"/>
      <c r="BD83" s="3"/>
      <c r="BE83" s="3"/>
      <c r="BF83" s="20"/>
      <c r="BG83" s="20"/>
      <c r="BH83" s="3"/>
      <c r="BI83" s="20"/>
      <c r="BJ83" s="20"/>
    </row>
    <row r="84" spans="1:62" ht="13.5" customHeight="1">
      <c r="A84" s="4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4"/>
      <c r="U84" s="85" t="s">
        <v>8</v>
      </c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7"/>
      <c r="AG84" s="52" t="s">
        <v>112</v>
      </c>
      <c r="AH84" s="53"/>
      <c r="AI84" s="53"/>
      <c r="AJ84" s="53"/>
      <c r="AK84" s="53"/>
      <c r="AL84" s="53"/>
      <c r="AM84" s="53"/>
      <c r="AN84" s="53"/>
      <c r="AO84" s="53"/>
      <c r="AP84" s="54"/>
      <c r="AQ84" s="52" t="s">
        <v>10</v>
      </c>
      <c r="AR84" s="53"/>
      <c r="AS84" s="53"/>
      <c r="AT84" s="53"/>
      <c r="AU84" s="53"/>
      <c r="AV84" s="53"/>
      <c r="AW84" s="53"/>
      <c r="AX84" s="54"/>
      <c r="AY84" s="21"/>
      <c r="AZ84" s="21"/>
      <c r="BA84" s="21"/>
      <c r="BB84" s="21"/>
      <c r="BC84" s="21"/>
      <c r="BD84" s="4"/>
      <c r="BE84" s="4"/>
      <c r="BF84" s="21"/>
      <c r="BG84" s="21"/>
      <c r="BH84" s="4"/>
      <c r="BI84" s="21"/>
      <c r="BJ84" s="21"/>
    </row>
    <row r="85" spans="1:62" ht="13.5" customHeight="1">
      <c r="A85" s="3"/>
      <c r="B85" s="55" t="s">
        <v>8</v>
      </c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7"/>
      <c r="U85" s="86" t="s">
        <v>113</v>
      </c>
      <c r="V85" s="87"/>
      <c r="W85" s="87"/>
      <c r="X85" s="87"/>
      <c r="Y85" s="87"/>
      <c r="Z85" s="87"/>
      <c r="AA85" s="87"/>
      <c r="AB85" s="87"/>
      <c r="AC85" s="87"/>
      <c r="AD85" s="87"/>
      <c r="AE85" s="87"/>
      <c r="AF85" s="87"/>
      <c r="AG85" s="87"/>
      <c r="AH85" s="87"/>
      <c r="AI85" s="87"/>
      <c r="AJ85" s="87"/>
      <c r="AK85" s="87"/>
      <c r="AL85" s="87"/>
      <c r="AM85" s="87"/>
      <c r="AN85" s="87"/>
      <c r="AO85" s="87"/>
      <c r="AP85" s="87"/>
      <c r="AQ85" s="87"/>
      <c r="AR85" s="87"/>
      <c r="AS85" s="87"/>
      <c r="AT85" s="87"/>
      <c r="AU85" s="87"/>
      <c r="AV85" s="87"/>
      <c r="AW85" s="87"/>
      <c r="AX85" s="87"/>
      <c r="AY85" s="20"/>
      <c r="AZ85" s="20"/>
      <c r="BA85" s="20"/>
      <c r="BB85" s="20"/>
      <c r="BC85" s="20"/>
      <c r="BD85" s="3"/>
      <c r="BE85" s="3"/>
      <c r="BF85" s="20"/>
      <c r="BG85" s="20"/>
      <c r="BH85" s="3"/>
      <c r="BI85" s="20"/>
      <c r="BJ85" s="20"/>
    </row>
    <row r="86" spans="1:62" ht="13.5" customHeight="1">
      <c r="A86" s="3"/>
      <c r="B86" s="55" t="s">
        <v>15</v>
      </c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7"/>
      <c r="U86" s="88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/>
      <c r="AL86" s="89"/>
      <c r="AM86" s="89"/>
      <c r="AN86" s="89"/>
      <c r="AO86" s="89"/>
      <c r="AP86" s="89"/>
      <c r="AQ86" s="89"/>
      <c r="AR86" s="89"/>
      <c r="AS86" s="89"/>
      <c r="AT86" s="89"/>
      <c r="AU86" s="89"/>
      <c r="AV86" s="89"/>
      <c r="AW86" s="89"/>
      <c r="AX86" s="89"/>
      <c r="AY86" s="20"/>
      <c r="AZ86" s="20"/>
      <c r="BA86" s="20"/>
      <c r="BB86" s="20"/>
      <c r="BC86" s="20"/>
      <c r="BD86" s="3"/>
      <c r="BE86" s="3"/>
      <c r="BF86" s="20"/>
      <c r="BG86" s="20"/>
      <c r="BH86" s="3"/>
      <c r="BI86" s="20"/>
      <c r="BJ86" s="20"/>
    </row>
    <row r="87" spans="1:62" ht="42.95" customHeight="1">
      <c r="A87" s="1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1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1"/>
      <c r="AH87" s="1"/>
      <c r="AI87" s="23"/>
      <c r="AJ87" s="23"/>
      <c r="AK87" s="23"/>
      <c r="AL87" s="23"/>
      <c r="AM87" s="23"/>
      <c r="AN87" s="23"/>
      <c r="AO87" s="1"/>
      <c r="AP87" s="1"/>
      <c r="AQ87" s="23"/>
      <c r="AR87" s="23"/>
      <c r="AS87" s="23"/>
      <c r="AT87" s="23"/>
      <c r="AU87" s="23"/>
      <c r="AV87" s="23"/>
      <c r="AW87" s="1"/>
      <c r="AX87" s="1"/>
      <c r="AY87" s="23"/>
      <c r="AZ87" s="23"/>
      <c r="BA87" s="23"/>
      <c r="BB87" s="23"/>
      <c r="BC87" s="23"/>
      <c r="BD87" s="1"/>
      <c r="BE87" s="1"/>
      <c r="BF87" s="23"/>
      <c r="BG87" s="23"/>
      <c r="BH87" s="1"/>
      <c r="BI87" s="23"/>
      <c r="BJ87" s="23"/>
    </row>
    <row r="88" spans="1:62" ht="13.5" customHeight="1">
      <c r="A88" s="4"/>
      <c r="B88" s="52" t="s">
        <v>33</v>
      </c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  <c r="BE88" s="53"/>
      <c r="BF88" s="53"/>
      <c r="BG88" s="53"/>
      <c r="BH88" s="54"/>
      <c r="BI88" s="21"/>
      <c r="BJ88" s="21"/>
    </row>
    <row r="89" spans="1:62" ht="8.4499999999999993" customHeight="1">
      <c r="A89" s="3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3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3"/>
      <c r="AH89" s="3"/>
      <c r="AI89" s="20"/>
      <c r="AJ89" s="20"/>
      <c r="AK89" s="20"/>
      <c r="AL89" s="20"/>
      <c r="AM89" s="20"/>
      <c r="AN89" s="20"/>
      <c r="AO89" s="3"/>
      <c r="AP89" s="3"/>
      <c r="AQ89" s="20"/>
      <c r="AR89" s="20"/>
      <c r="AS89" s="20"/>
      <c r="AT89" s="20"/>
      <c r="AU89" s="20"/>
      <c r="AV89" s="20"/>
      <c r="AW89" s="3"/>
      <c r="AX89" s="3"/>
      <c r="AY89" s="20"/>
      <c r="AZ89" s="20"/>
      <c r="BA89" s="20"/>
      <c r="BB89" s="20"/>
      <c r="BC89" s="20"/>
      <c r="BD89" s="3"/>
      <c r="BE89" s="3"/>
      <c r="BF89" s="20"/>
      <c r="BG89" s="20"/>
      <c r="BH89" s="3"/>
      <c r="BI89" s="20"/>
      <c r="BJ89" s="20"/>
    </row>
    <row r="90" spans="1:62" ht="13.5" customHeight="1">
      <c r="A90" s="3"/>
      <c r="B90" s="55" t="s">
        <v>114</v>
      </c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56"/>
      <c r="BD90" s="56"/>
      <c r="BE90" s="56"/>
      <c r="BF90" s="56"/>
      <c r="BG90" s="56"/>
      <c r="BH90" s="57"/>
      <c r="BI90" s="20"/>
      <c r="BJ90" s="20"/>
    </row>
    <row r="91" spans="1:62" ht="11.45" customHeight="1">
      <c r="A91" s="3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3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3"/>
      <c r="AH91" s="3"/>
      <c r="AI91" s="20"/>
      <c r="AJ91" s="20"/>
      <c r="AK91" s="20"/>
      <c r="AL91" s="20"/>
      <c r="AM91" s="20"/>
      <c r="AN91" s="20"/>
      <c r="AO91" s="3"/>
      <c r="AP91" s="3"/>
      <c r="AQ91" s="20"/>
      <c r="AR91" s="20"/>
      <c r="AS91" s="20"/>
      <c r="AT91" s="20"/>
      <c r="AU91" s="20"/>
      <c r="AV91" s="20"/>
      <c r="AW91" s="3"/>
      <c r="AX91" s="3"/>
      <c r="AY91" s="20"/>
      <c r="AZ91" s="20"/>
      <c r="BA91" s="20"/>
      <c r="BB91" s="20"/>
      <c r="BC91" s="20"/>
      <c r="BD91" s="3"/>
      <c r="BE91" s="3"/>
      <c r="BF91" s="20"/>
      <c r="BG91" s="20"/>
      <c r="BH91" s="3"/>
      <c r="BI91" s="20"/>
      <c r="BJ91" s="20"/>
    </row>
    <row r="92" spans="1:62" ht="13.5" customHeight="1">
      <c r="A92" s="3"/>
      <c r="B92" s="69" t="s">
        <v>115</v>
      </c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1"/>
      <c r="U92" s="69" t="s">
        <v>116</v>
      </c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1"/>
      <c r="AG92" s="3"/>
      <c r="AH92" s="3"/>
      <c r="AI92" s="20"/>
      <c r="AJ92" s="20"/>
      <c r="AK92" s="20"/>
      <c r="AL92" s="20"/>
      <c r="AM92" s="20"/>
      <c r="AN92" s="20"/>
      <c r="AO92" s="72" t="s">
        <v>117</v>
      </c>
      <c r="AP92" s="73"/>
      <c r="AQ92" s="73"/>
      <c r="AR92" s="73"/>
      <c r="AS92" s="73"/>
      <c r="AT92" s="73"/>
      <c r="AU92" s="73"/>
      <c r="AV92" s="73"/>
      <c r="AW92" s="73"/>
      <c r="AX92" s="73"/>
      <c r="AY92" s="73"/>
      <c r="AZ92" s="73"/>
      <c r="BA92" s="74"/>
      <c r="BB92" s="75">
        <v>45744</v>
      </c>
      <c r="BC92" s="76"/>
      <c r="BD92" s="76"/>
      <c r="BE92" s="76"/>
      <c r="BF92" s="76"/>
      <c r="BG92" s="76"/>
      <c r="BH92" s="77"/>
      <c r="BI92" s="20"/>
      <c r="BJ92" s="20"/>
    </row>
    <row r="93" spans="1:62" ht="13.5" customHeight="1">
      <c r="A93" s="3"/>
      <c r="B93" s="58" t="s">
        <v>118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59"/>
      <c r="U93" s="58" t="s">
        <v>116</v>
      </c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59"/>
      <c r="AG93" s="3"/>
      <c r="AH93" s="3"/>
      <c r="AI93" s="20"/>
      <c r="AJ93" s="20"/>
      <c r="AK93" s="20"/>
      <c r="AL93" s="20"/>
      <c r="AM93" s="20"/>
      <c r="AN93" s="20"/>
      <c r="AO93" s="78" t="s">
        <v>119</v>
      </c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79"/>
      <c r="BB93" s="80">
        <v>45772</v>
      </c>
      <c r="BC93" s="81"/>
      <c r="BD93" s="81"/>
      <c r="BE93" s="81"/>
      <c r="BF93" s="81"/>
      <c r="BG93" s="81"/>
      <c r="BH93" s="82"/>
      <c r="BI93" s="20"/>
      <c r="BJ93" s="20"/>
    </row>
    <row r="94" spans="1:62" ht="13.5" customHeight="1">
      <c r="A94" s="3"/>
      <c r="B94" s="58" t="s">
        <v>120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59"/>
      <c r="U94" s="58" t="s">
        <v>116</v>
      </c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59"/>
      <c r="AG94" s="3"/>
      <c r="AH94" s="3"/>
      <c r="AI94" s="20"/>
      <c r="AJ94" s="20"/>
      <c r="AK94" s="20"/>
      <c r="AL94" s="20"/>
      <c r="AM94" s="20"/>
      <c r="AN94" s="20"/>
      <c r="AO94" s="60" t="s">
        <v>121</v>
      </c>
      <c r="AP94" s="61"/>
      <c r="AQ94" s="61"/>
      <c r="AR94" s="61"/>
      <c r="AS94" s="61"/>
      <c r="AT94" s="61"/>
      <c r="AU94" s="61"/>
      <c r="AV94" s="61"/>
      <c r="AW94" s="61"/>
      <c r="AX94" s="61"/>
      <c r="AY94" s="61"/>
      <c r="AZ94" s="61"/>
      <c r="BA94" s="62"/>
      <c r="BB94" s="63">
        <v>45792</v>
      </c>
      <c r="BC94" s="64"/>
      <c r="BD94" s="64"/>
      <c r="BE94" s="64"/>
      <c r="BF94" s="64"/>
      <c r="BG94" s="64"/>
      <c r="BH94" s="65"/>
      <c r="BI94" s="20"/>
      <c r="BJ94" s="20"/>
    </row>
    <row r="95" spans="1:62" ht="13.5" customHeight="1">
      <c r="A95" s="3"/>
      <c r="B95" s="66" t="s">
        <v>122</v>
      </c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8"/>
      <c r="U95" s="66" t="s">
        <v>123</v>
      </c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8"/>
      <c r="AG95" s="3"/>
      <c r="AH95" s="3"/>
      <c r="AI95" s="20"/>
      <c r="AJ95" s="20"/>
      <c r="AK95" s="20"/>
      <c r="AL95" s="20"/>
      <c r="AM95" s="20"/>
      <c r="AN95" s="20"/>
      <c r="AO95" s="3"/>
      <c r="AP95" s="3"/>
      <c r="AQ95" s="20"/>
      <c r="AR95" s="20"/>
      <c r="AS95" s="20"/>
      <c r="AT95" s="20"/>
      <c r="AU95" s="20"/>
      <c r="AV95" s="20"/>
      <c r="AW95" s="3"/>
      <c r="AX95" s="3"/>
      <c r="AY95" s="20"/>
      <c r="AZ95" s="20"/>
      <c r="BA95" s="20"/>
      <c r="BB95" s="20"/>
      <c r="BC95" s="20"/>
      <c r="BD95" s="3"/>
      <c r="BE95" s="3"/>
      <c r="BF95" s="20"/>
      <c r="BG95" s="20"/>
      <c r="BH95" s="3"/>
      <c r="BI95" s="20"/>
      <c r="BJ95" s="20"/>
    </row>
    <row r="96" spans="1:62" ht="23.85" customHeight="1">
      <c r="A96" s="51" t="s">
        <v>124</v>
      </c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51"/>
      <c r="AQ96" s="51"/>
      <c r="AR96" s="51"/>
      <c r="AS96" s="51"/>
      <c r="AT96" s="51"/>
      <c r="AU96" s="51"/>
      <c r="AV96" s="51"/>
      <c r="AW96" s="51"/>
      <c r="AX96" s="51"/>
      <c r="AY96" s="51"/>
      <c r="AZ96" s="51"/>
      <c r="BA96" s="51"/>
      <c r="BB96" s="51"/>
      <c r="BC96" s="51"/>
      <c r="BD96" s="51"/>
      <c r="BE96" s="51"/>
      <c r="BF96" s="51"/>
      <c r="BG96" s="51"/>
      <c r="BH96" s="51"/>
      <c r="BI96" s="51"/>
      <c r="BJ96" s="51"/>
    </row>
    <row r="97" spans="1:64" ht="13.5" customHeight="1">
      <c r="A97" s="3"/>
      <c r="B97" s="52" t="s">
        <v>125</v>
      </c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  <c r="BE97" s="53"/>
      <c r="BF97" s="53"/>
      <c r="BG97" s="53"/>
      <c r="BH97" s="54"/>
      <c r="BI97" s="20"/>
      <c r="BJ97" s="20"/>
    </row>
    <row r="98" spans="1:64" ht="33.950000000000003" customHeight="1">
      <c r="A98" s="4"/>
      <c r="B98" s="55" t="s">
        <v>126</v>
      </c>
      <c r="C98" s="56"/>
      <c r="D98" s="56"/>
      <c r="E98" s="56"/>
      <c r="F98" s="56"/>
      <c r="G98" s="56"/>
      <c r="H98" s="56"/>
      <c r="I98" s="56"/>
      <c r="J98" s="56"/>
      <c r="K98" s="56"/>
      <c r="L98" s="57"/>
      <c r="M98" s="55" t="s">
        <v>127</v>
      </c>
      <c r="N98" s="56"/>
      <c r="O98" s="56"/>
      <c r="P98" s="56"/>
      <c r="Q98" s="56"/>
      <c r="R98" s="56"/>
      <c r="S98" s="56"/>
      <c r="T98" s="57"/>
      <c r="U98" s="55" t="s">
        <v>128</v>
      </c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7"/>
      <c r="AP98" s="55" t="s">
        <v>129</v>
      </c>
      <c r="AQ98" s="56"/>
      <c r="AR98" s="56"/>
      <c r="AS98" s="56"/>
      <c r="AT98" s="56"/>
      <c r="AU98" s="56"/>
      <c r="AV98" s="56"/>
      <c r="AW98" s="57"/>
      <c r="AX98" s="12" t="s">
        <v>130</v>
      </c>
      <c r="AY98" s="55" t="s">
        <v>131</v>
      </c>
      <c r="AZ98" s="56"/>
      <c r="BA98" s="56"/>
      <c r="BB98" s="56"/>
      <c r="BC98" s="56"/>
      <c r="BD98" s="57"/>
      <c r="BE98" s="52" t="s">
        <v>132</v>
      </c>
      <c r="BF98" s="53"/>
      <c r="BG98" s="53"/>
      <c r="BH98" s="54"/>
      <c r="BI98" s="21"/>
      <c r="BJ98" s="21"/>
    </row>
    <row r="99" spans="1:64" ht="13.5" customHeight="1">
      <c r="A99" s="3"/>
      <c r="B99" s="38" t="s">
        <v>133</v>
      </c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9"/>
      <c r="AV99" s="39"/>
      <c r="AW99" s="39"/>
      <c r="AX99" s="39"/>
      <c r="AY99" s="39"/>
      <c r="AZ99" s="39"/>
      <c r="BA99" s="39"/>
      <c r="BB99" s="39"/>
      <c r="BC99" s="39"/>
      <c r="BD99" s="39"/>
      <c r="BE99" s="40"/>
      <c r="BF99" s="42" t="s">
        <v>134</v>
      </c>
      <c r="BG99" s="42"/>
      <c r="BH99" s="43"/>
      <c r="BI99" s="20"/>
      <c r="BJ99" s="20"/>
    </row>
    <row r="100" spans="1:64" ht="13.5" customHeight="1">
      <c r="A100" s="3"/>
      <c r="B100" s="38" t="s">
        <v>135</v>
      </c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39"/>
      <c r="AV100" s="39"/>
      <c r="AW100" s="39"/>
      <c r="AX100" s="39"/>
      <c r="AY100" s="39"/>
      <c r="AZ100" s="39"/>
      <c r="BA100" s="39"/>
      <c r="BB100" s="39"/>
      <c r="BC100" s="39"/>
      <c r="BD100" s="39"/>
      <c r="BE100" s="41"/>
      <c r="BF100" s="36" t="s">
        <v>136</v>
      </c>
      <c r="BG100" s="36"/>
      <c r="BH100" s="37"/>
      <c r="BI100" s="20"/>
      <c r="BJ100" s="20"/>
    </row>
    <row r="101" spans="1:64" ht="13.5" customHeight="1">
      <c r="A101" s="3"/>
      <c r="B101" s="44" t="s">
        <v>137</v>
      </c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5">
        <v>45756</v>
      </c>
      <c r="N101" s="45"/>
      <c r="O101" s="45"/>
      <c r="P101" s="45"/>
      <c r="Q101" s="45"/>
      <c r="R101" s="45"/>
      <c r="S101" s="45"/>
      <c r="T101" s="45"/>
      <c r="U101" s="44" t="s">
        <v>138</v>
      </c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  <c r="AK101" s="44"/>
      <c r="AL101" s="44"/>
      <c r="AM101" s="44"/>
      <c r="AN101" s="44"/>
      <c r="AO101" s="44"/>
      <c r="AP101" s="44"/>
      <c r="AQ101" s="44"/>
      <c r="AR101" s="44"/>
      <c r="AS101" s="44"/>
      <c r="AT101" s="44"/>
      <c r="AU101" s="44"/>
      <c r="AV101" s="44"/>
      <c r="AW101" s="44"/>
      <c r="AX101" s="5" t="s">
        <v>139</v>
      </c>
      <c r="AY101" s="46" t="s">
        <v>140</v>
      </c>
      <c r="AZ101" s="47"/>
      <c r="BA101" s="47"/>
      <c r="BB101" s="47"/>
      <c r="BC101" s="47"/>
      <c r="BD101" s="48"/>
      <c r="BE101" s="49" t="s">
        <v>141</v>
      </c>
      <c r="BF101" s="50"/>
      <c r="BG101" s="50"/>
      <c r="BH101" s="50"/>
      <c r="BI101" s="20"/>
      <c r="BJ101" s="20"/>
      <c r="BL101" s="2">
        <v>121.67</v>
      </c>
    </row>
    <row r="102" spans="1:64" ht="13.5" customHeight="1">
      <c r="A102" s="3"/>
      <c r="B102" s="28" t="s">
        <v>142</v>
      </c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9">
        <v>45764</v>
      </c>
      <c r="N102" s="29"/>
      <c r="O102" s="29"/>
      <c r="P102" s="29"/>
      <c r="Q102" s="29"/>
      <c r="R102" s="29"/>
      <c r="S102" s="29"/>
      <c r="T102" s="29"/>
      <c r="U102" s="28" t="s">
        <v>138</v>
      </c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6" t="s">
        <v>139</v>
      </c>
      <c r="AY102" s="30" t="s">
        <v>140</v>
      </c>
      <c r="AZ102" s="31"/>
      <c r="BA102" s="31"/>
      <c r="BB102" s="31"/>
      <c r="BC102" s="31"/>
      <c r="BD102" s="32"/>
      <c r="BE102" s="30" t="s">
        <v>143</v>
      </c>
      <c r="BF102" s="31"/>
      <c r="BG102" s="31"/>
      <c r="BH102" s="31"/>
      <c r="BI102" s="20"/>
      <c r="BJ102" s="20"/>
      <c r="BL102" s="2">
        <v>127.51</v>
      </c>
    </row>
    <row r="103" spans="1:64" ht="13.5" customHeight="1">
      <c r="A103" s="3"/>
      <c r="B103" s="33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5" t="s">
        <v>144</v>
      </c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8"/>
      <c r="AY103" s="34"/>
      <c r="AZ103" s="34"/>
      <c r="BA103" s="34"/>
      <c r="BB103" s="34"/>
      <c r="BC103" s="34"/>
      <c r="BD103" s="34"/>
      <c r="BE103" s="8"/>
      <c r="BF103" s="36" t="s">
        <v>136</v>
      </c>
      <c r="BG103" s="36"/>
      <c r="BH103" s="37"/>
      <c r="BI103" s="20"/>
      <c r="BJ103" s="20"/>
    </row>
    <row r="104" spans="1:64" ht="153" customHeight="1">
      <c r="A104" s="1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1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1"/>
      <c r="AH104" s="1"/>
      <c r="AI104" s="23"/>
      <c r="AJ104" s="23"/>
      <c r="AK104" s="23"/>
      <c r="AL104" s="23"/>
      <c r="AM104" s="23"/>
      <c r="AN104" s="23"/>
      <c r="AO104" s="1"/>
      <c r="AP104" s="1"/>
      <c r="AQ104" s="23"/>
      <c r="AR104" s="23"/>
      <c r="AS104" s="23"/>
      <c r="AT104" s="23"/>
      <c r="AU104" s="23"/>
      <c r="AV104" s="23"/>
      <c r="AW104" s="1"/>
      <c r="AX104" s="1"/>
      <c r="AY104" s="23"/>
      <c r="AZ104" s="23"/>
      <c r="BA104" s="23"/>
      <c r="BB104" s="23"/>
      <c r="BC104" s="23"/>
      <c r="BD104" s="1"/>
      <c r="BE104" s="1"/>
      <c r="BF104" s="23"/>
      <c r="BG104" s="23"/>
      <c r="BH104" s="1"/>
      <c r="BI104" s="23"/>
      <c r="BJ104" s="23"/>
    </row>
    <row r="105" spans="1:64" ht="13.5" customHeight="1">
      <c r="A105" s="3"/>
      <c r="B105" s="24" t="s">
        <v>145</v>
      </c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6"/>
      <c r="AH105" s="3"/>
      <c r="AI105" s="24" t="s">
        <v>146</v>
      </c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6"/>
      <c r="BH105" s="3"/>
      <c r="BI105" s="20"/>
      <c r="BJ105" s="20"/>
    </row>
    <row r="106" spans="1:64" ht="8.4499999999999993" customHeight="1">
      <c r="A106" s="27" t="s">
        <v>147</v>
      </c>
      <c r="B106" s="27"/>
      <c r="C106" s="27"/>
      <c r="D106" s="27"/>
      <c r="E106" s="27"/>
      <c r="F106" s="27"/>
      <c r="G106" s="20"/>
      <c r="H106" s="20"/>
      <c r="I106" s="20"/>
      <c r="J106" s="20"/>
      <c r="K106" s="20"/>
      <c r="L106" s="20"/>
      <c r="M106" s="20"/>
      <c r="N106" s="20"/>
      <c r="O106" s="3"/>
      <c r="P106" s="23" t="s">
        <v>148</v>
      </c>
      <c r="Q106" s="23"/>
      <c r="R106" s="23"/>
      <c r="S106" s="23"/>
      <c r="T106" s="23"/>
      <c r="U106" s="23"/>
      <c r="V106" s="23"/>
      <c r="W106" s="23"/>
      <c r="X106" s="23"/>
      <c r="Y106" s="23"/>
      <c r="Z106" s="20"/>
      <c r="AA106" s="20"/>
      <c r="AB106" s="23" t="s">
        <v>149</v>
      </c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3"/>
      <c r="AQ106" s="20"/>
      <c r="AR106" s="20"/>
      <c r="AS106" s="20"/>
      <c r="AT106" s="20"/>
      <c r="AU106" s="20"/>
      <c r="AV106" s="20"/>
      <c r="AW106" s="3"/>
      <c r="AX106" s="23" t="s">
        <v>150</v>
      </c>
      <c r="AY106" s="23"/>
      <c r="AZ106" s="23"/>
      <c r="BA106" s="23"/>
      <c r="BB106" s="20"/>
      <c r="BC106" s="20"/>
      <c r="BD106" s="3"/>
      <c r="BE106" s="3"/>
      <c r="BF106" s="20"/>
      <c r="BG106" s="20"/>
      <c r="BH106" s="3"/>
      <c r="BI106" s="20"/>
      <c r="BJ106" s="20"/>
    </row>
    <row r="107" spans="1:64" ht="13.5" customHeight="1">
      <c r="A107" s="27"/>
      <c r="B107" s="27"/>
      <c r="C107" s="27"/>
      <c r="D107" s="27"/>
      <c r="E107" s="27"/>
      <c r="F107" s="27"/>
      <c r="G107" s="21"/>
      <c r="H107" s="21"/>
      <c r="I107" s="21"/>
      <c r="J107" s="21"/>
      <c r="K107" s="21"/>
      <c r="L107" s="21"/>
      <c r="M107" s="21"/>
      <c r="N107" s="21"/>
      <c r="O107" s="4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1"/>
      <c r="AA107" s="21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4"/>
      <c r="AQ107" s="21"/>
      <c r="AR107" s="21"/>
      <c r="AS107" s="21"/>
      <c r="AT107" s="21"/>
      <c r="AU107" s="21"/>
      <c r="AV107" s="21"/>
      <c r="AW107" s="4"/>
      <c r="AX107" s="21"/>
      <c r="AY107" s="23"/>
      <c r="AZ107" s="23"/>
      <c r="BA107" s="23"/>
      <c r="BB107" s="21"/>
      <c r="BC107" s="21"/>
      <c r="BD107" s="22" t="s">
        <v>151</v>
      </c>
      <c r="BE107" s="22"/>
      <c r="BF107" s="22"/>
      <c r="BG107" s="22"/>
      <c r="BH107" s="22"/>
      <c r="BI107" s="22"/>
      <c r="BJ107" s="22"/>
    </row>
    <row r="108" spans="1:64" ht="8.25" customHeight="1">
      <c r="A108" s="27"/>
      <c r="B108" s="27"/>
      <c r="C108" s="27"/>
      <c r="D108" s="27"/>
      <c r="E108" s="27"/>
      <c r="F108" s="27"/>
      <c r="G108" s="20"/>
      <c r="H108" s="20"/>
      <c r="I108" s="20"/>
      <c r="J108" s="20"/>
      <c r="K108" s="20"/>
      <c r="L108" s="20"/>
      <c r="M108" s="20"/>
      <c r="N108" s="20"/>
      <c r="O108" s="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0"/>
      <c r="AA108" s="20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3"/>
      <c r="AQ108" s="20"/>
      <c r="AR108" s="20"/>
      <c r="AS108" s="20"/>
      <c r="AT108" s="20"/>
      <c r="AU108" s="20"/>
      <c r="AV108" s="20"/>
      <c r="AW108" s="3"/>
      <c r="AX108" s="20"/>
      <c r="AY108" s="23"/>
      <c r="AZ108" s="23"/>
      <c r="BA108" s="23"/>
      <c r="BB108" s="20"/>
      <c r="BC108" s="20"/>
      <c r="BD108" s="3"/>
      <c r="BE108" s="3"/>
      <c r="BF108" s="20"/>
      <c r="BG108" s="20"/>
      <c r="BH108" s="3"/>
      <c r="BI108" s="20"/>
      <c r="BJ108" s="20"/>
    </row>
    <row r="109" spans="1:64" ht="13.5" customHeight="1">
      <c r="A109" s="27"/>
      <c r="B109" s="27"/>
      <c r="C109" s="27"/>
      <c r="D109" s="27"/>
      <c r="E109" s="27"/>
      <c r="F109" s="27"/>
      <c r="G109" s="21"/>
      <c r="H109" s="21"/>
      <c r="I109" s="21"/>
      <c r="J109" s="21"/>
      <c r="K109" s="21"/>
      <c r="L109" s="21"/>
      <c r="M109" s="21"/>
      <c r="N109" s="21"/>
      <c r="O109" s="4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1"/>
      <c r="AA109" s="21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4"/>
      <c r="AQ109" s="21"/>
      <c r="AR109" s="21"/>
      <c r="AS109" s="21"/>
      <c r="AT109" s="21"/>
      <c r="AU109" s="22" t="s">
        <v>152</v>
      </c>
      <c r="AV109" s="22"/>
      <c r="AW109" s="4"/>
      <c r="AX109" s="21"/>
      <c r="AY109" s="23"/>
      <c r="AZ109" s="23"/>
      <c r="BA109" s="23"/>
      <c r="BB109" s="21"/>
      <c r="BC109" s="21"/>
      <c r="BD109" s="4"/>
      <c r="BE109" s="4"/>
      <c r="BF109" s="21"/>
      <c r="BG109" s="21"/>
      <c r="BH109" s="4"/>
      <c r="BI109" s="21"/>
      <c r="BJ109" s="21"/>
    </row>
    <row r="110" spans="1:64" ht="30" customHeight="1">
      <c r="A110" s="27"/>
      <c r="B110" s="27"/>
      <c r="C110" s="27"/>
      <c r="D110" s="27"/>
      <c r="E110" s="27"/>
      <c r="F110" s="27"/>
      <c r="G110" s="21"/>
      <c r="H110" s="21"/>
      <c r="I110" s="21"/>
      <c r="J110" s="21"/>
      <c r="K110" s="21"/>
      <c r="L110" s="21"/>
      <c r="M110" s="21"/>
      <c r="N110" s="21"/>
      <c r="O110" s="4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1"/>
      <c r="AA110" s="21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4"/>
      <c r="AQ110" s="21"/>
      <c r="AR110" s="21"/>
      <c r="AS110" s="21"/>
      <c r="AT110" s="21"/>
      <c r="AU110" s="21"/>
      <c r="AV110" s="21"/>
      <c r="AW110" s="4"/>
      <c r="AX110" s="21"/>
      <c r="AY110" s="23"/>
      <c r="AZ110" s="23"/>
      <c r="BA110" s="23"/>
      <c r="BB110" s="21"/>
      <c r="BC110" s="21"/>
      <c r="BD110" s="4"/>
      <c r="BE110" s="4"/>
      <c r="BF110" s="21"/>
      <c r="BG110" s="21"/>
      <c r="BH110" s="4"/>
      <c r="BI110" s="21"/>
      <c r="BJ110" s="21"/>
    </row>
    <row r="111" spans="1:64" ht="5.25" customHeight="1">
      <c r="A111" s="27"/>
      <c r="B111" s="27"/>
      <c r="C111" s="27"/>
      <c r="D111" s="27"/>
      <c r="E111" s="27"/>
      <c r="F111" s="27"/>
      <c r="G111" s="20"/>
      <c r="H111" s="20"/>
      <c r="I111" s="20"/>
      <c r="J111" s="20"/>
      <c r="K111" s="20"/>
      <c r="L111" s="20"/>
      <c r="M111" s="20"/>
      <c r="N111" s="20"/>
      <c r="O111" s="3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3"/>
      <c r="AQ111" s="20"/>
      <c r="AR111" s="20"/>
      <c r="AS111" s="20"/>
      <c r="AT111" s="20"/>
      <c r="AU111" s="20"/>
      <c r="AV111" s="20"/>
      <c r="AW111" s="3"/>
      <c r="AX111" s="3"/>
      <c r="AY111" s="20"/>
      <c r="AZ111" s="20"/>
      <c r="BA111" s="20"/>
      <c r="BB111" s="20"/>
      <c r="BC111" s="20"/>
      <c r="BD111" s="3"/>
      <c r="BE111" s="3"/>
      <c r="BF111" s="20"/>
      <c r="BG111" s="20"/>
      <c r="BH111" s="3"/>
      <c r="BI111" s="20"/>
      <c r="BJ111" s="20"/>
    </row>
    <row r="113" spans="1:63">
      <c r="A113" s="20"/>
      <c r="B113" s="20"/>
      <c r="C113" s="38" t="s">
        <v>65</v>
      </c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95"/>
      <c r="AI113" s="3"/>
      <c r="AJ113" s="194" t="s">
        <v>66</v>
      </c>
      <c r="AK113" s="195"/>
      <c r="AL113" s="195"/>
      <c r="AM113" s="195"/>
      <c r="AN113" s="195"/>
      <c r="AO113" s="195"/>
      <c r="AP113" s="195"/>
      <c r="AQ113" s="195"/>
      <c r="AR113" s="195"/>
      <c r="AS113" s="195"/>
      <c r="AT113" s="195"/>
      <c r="AU113" s="195"/>
      <c r="AV113" s="195"/>
      <c r="AW113" s="195"/>
      <c r="AX113" s="195"/>
      <c r="AY113" s="195"/>
      <c r="AZ113" s="195"/>
      <c r="BA113" s="195"/>
      <c r="BB113" s="195"/>
      <c r="BC113" s="195"/>
      <c r="BD113" s="195"/>
      <c r="BE113" s="195"/>
      <c r="BF113" s="195"/>
      <c r="BG113" s="195"/>
      <c r="BH113" s="196"/>
      <c r="BI113" s="3"/>
      <c r="BJ113" s="20"/>
      <c r="BK113" s="20"/>
    </row>
    <row r="114" spans="1:63">
      <c r="A114" s="21"/>
      <c r="B114" s="21"/>
      <c r="C114" s="109" t="s">
        <v>67</v>
      </c>
      <c r="D114" s="109"/>
      <c r="E114" s="109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97"/>
      <c r="Q114" s="199" t="s">
        <v>68</v>
      </c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  <c r="AE114" s="109"/>
      <c r="AF114" s="109"/>
      <c r="AG114" s="109"/>
      <c r="AH114" s="197"/>
      <c r="AI114" s="4"/>
      <c r="AJ114" s="21"/>
      <c r="AK114" s="21"/>
      <c r="AL114" s="4"/>
      <c r="AM114" s="4"/>
      <c r="AN114" s="4"/>
      <c r="AO114" s="21"/>
      <c r="AP114" s="21"/>
      <c r="AQ114" s="21"/>
      <c r="AR114" s="4"/>
      <c r="AS114" s="21"/>
      <c r="AT114" s="21"/>
      <c r="AU114" s="4"/>
      <c r="AV114" s="21"/>
      <c r="AW114" s="21"/>
      <c r="AX114" s="21"/>
      <c r="AY114" s="21"/>
      <c r="AZ114" s="4"/>
      <c r="BA114" s="21"/>
      <c r="BB114" s="21"/>
      <c r="BC114" s="4"/>
      <c r="BD114" s="21"/>
      <c r="BE114" s="21"/>
      <c r="BF114" s="4"/>
      <c r="BG114" s="21"/>
      <c r="BH114" s="21"/>
      <c r="BI114" s="4"/>
      <c r="BJ114" s="21"/>
      <c r="BK114" s="21"/>
    </row>
    <row r="115" spans="1:63">
      <c r="A115" s="20"/>
      <c r="B115" s="20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198"/>
      <c r="Q115" s="193"/>
      <c r="R115" s="84"/>
      <c r="S115" s="193"/>
      <c r="T115" s="84"/>
      <c r="U115" s="193"/>
      <c r="V115" s="84"/>
      <c r="W115" s="193"/>
      <c r="X115" s="84"/>
      <c r="Y115" s="193"/>
      <c r="Z115" s="84"/>
      <c r="AA115" s="193"/>
      <c r="AB115" s="83"/>
      <c r="AC115" s="84"/>
      <c r="AD115" s="193"/>
      <c r="AE115" s="84"/>
      <c r="AF115" s="193"/>
      <c r="AG115" s="83"/>
      <c r="AH115" s="84"/>
      <c r="AI115" s="3"/>
      <c r="AJ115" s="20"/>
      <c r="AK115" s="20"/>
      <c r="AL115" s="3"/>
      <c r="AM115" s="3"/>
      <c r="AN115" s="3"/>
      <c r="AO115" s="20"/>
      <c r="AP115" s="20"/>
      <c r="AQ115" s="20"/>
      <c r="AR115" s="3"/>
      <c r="AS115" s="20"/>
      <c r="AT115" s="20"/>
      <c r="AU115" s="3"/>
      <c r="AV115" s="20"/>
      <c r="AW115" s="20"/>
      <c r="AX115" s="20"/>
      <c r="AY115" s="20"/>
      <c r="AZ115" s="3"/>
      <c r="BA115" s="20"/>
      <c r="BB115" s="20"/>
      <c r="BC115" s="3"/>
      <c r="BD115" s="20"/>
      <c r="BE115" s="20"/>
      <c r="BF115" s="3"/>
      <c r="BG115" s="20"/>
      <c r="BH115" s="20"/>
      <c r="BI115" s="3"/>
      <c r="BJ115" s="20"/>
      <c r="BK115" s="20"/>
    </row>
    <row r="116" spans="1:63">
      <c r="A116" s="21"/>
      <c r="B116" s="21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198"/>
      <c r="Q116" s="190" t="s">
        <v>69</v>
      </c>
      <c r="R116" s="191"/>
      <c r="S116" s="191"/>
      <c r="T116" s="191"/>
      <c r="U116" s="191"/>
      <c r="V116" s="191"/>
      <c r="W116" s="191"/>
      <c r="X116" s="191"/>
      <c r="Y116" s="191"/>
      <c r="Z116" s="191"/>
      <c r="AA116" s="191"/>
      <c r="AB116" s="191"/>
      <c r="AC116" s="191"/>
      <c r="AD116" s="191"/>
      <c r="AE116" s="191"/>
      <c r="AF116" s="191"/>
      <c r="AG116" s="191"/>
      <c r="AH116" s="192"/>
      <c r="AI116" s="4"/>
      <c r="AJ116" s="21"/>
      <c r="AK116" s="21"/>
      <c r="AL116" s="4"/>
      <c r="AM116" s="4"/>
      <c r="AN116" s="4"/>
      <c r="AO116" s="21"/>
      <c r="AP116" s="21"/>
      <c r="AQ116" s="21"/>
      <c r="AR116" s="4"/>
      <c r="AS116" s="21"/>
      <c r="AT116" s="21"/>
      <c r="AU116" s="4"/>
      <c r="AV116" s="21"/>
      <c r="AW116" s="21"/>
      <c r="AX116" s="21"/>
      <c r="AY116" s="21"/>
      <c r="AZ116" s="4"/>
      <c r="BA116" s="21"/>
      <c r="BB116" s="21"/>
      <c r="BC116" s="4"/>
      <c r="BD116" s="21"/>
      <c r="BE116" s="21"/>
      <c r="BF116" s="4"/>
      <c r="BG116" s="21"/>
      <c r="BH116" s="21"/>
      <c r="BI116" s="4"/>
      <c r="BJ116" s="21"/>
      <c r="BK116" s="21"/>
    </row>
    <row r="117" spans="1:63">
      <c r="A117" s="21"/>
      <c r="B117" s="21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198"/>
      <c r="Q117" s="55" t="s">
        <v>70</v>
      </c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7"/>
      <c r="AI117" s="4"/>
      <c r="AJ117" s="21"/>
      <c r="AK117" s="21"/>
      <c r="AL117" s="4"/>
      <c r="AM117" s="4"/>
      <c r="AN117" s="4"/>
      <c r="AO117" s="21"/>
      <c r="AP117" s="21"/>
      <c r="AQ117" s="21"/>
      <c r="AR117" s="4"/>
      <c r="AS117" s="21"/>
      <c r="AT117" s="21"/>
      <c r="AU117" s="4"/>
      <c r="AV117" s="21"/>
      <c r="AW117" s="21"/>
      <c r="AX117" s="21"/>
      <c r="AY117" s="21"/>
      <c r="AZ117" s="4"/>
      <c r="BA117" s="21"/>
      <c r="BB117" s="21"/>
      <c r="BC117" s="4"/>
      <c r="BD117" s="21"/>
      <c r="BE117" s="21"/>
      <c r="BF117" s="4"/>
      <c r="BG117" s="21"/>
      <c r="BH117" s="21"/>
      <c r="BI117" s="4"/>
      <c r="BJ117" s="21"/>
      <c r="BK117" s="21"/>
    </row>
    <row r="118" spans="1:63">
      <c r="A118" s="189" t="s">
        <v>71</v>
      </c>
      <c r="B118" s="189"/>
      <c r="C118" s="189"/>
      <c r="D118" s="189"/>
      <c r="E118" s="189"/>
      <c r="F118" s="3"/>
      <c r="G118" s="3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2" t="s">
        <v>72</v>
      </c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3"/>
      <c r="AO118" s="20"/>
      <c r="AP118" s="20"/>
      <c r="AQ118" s="20"/>
      <c r="AR118" s="3"/>
      <c r="AS118" s="20"/>
      <c r="AT118" s="20"/>
      <c r="AU118" s="3"/>
      <c r="AV118" s="20"/>
      <c r="AW118" s="20"/>
      <c r="AX118" s="20"/>
      <c r="AY118" s="20"/>
      <c r="AZ118" s="3"/>
      <c r="BA118" s="22" t="s">
        <v>73</v>
      </c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</row>
  </sheetData>
  <mergeCells count="698">
    <mergeCell ref="A1:BI1"/>
    <mergeCell ref="BJ1:BK1"/>
    <mergeCell ref="A2:B2"/>
    <mergeCell ref="C2:BI2"/>
    <mergeCell ref="BJ2:BK2"/>
    <mergeCell ref="A3:B3"/>
    <mergeCell ref="C3:P3"/>
    <mergeCell ref="Q3:BI3"/>
    <mergeCell ref="BJ3:BK3"/>
    <mergeCell ref="A4:B4"/>
    <mergeCell ref="C4:P4"/>
    <mergeCell ref="Q4:BI4"/>
    <mergeCell ref="BJ4:BK4"/>
    <mergeCell ref="A5:B5"/>
    <mergeCell ref="C5:P5"/>
    <mergeCell ref="Q5:BI5"/>
    <mergeCell ref="BJ5:BK5"/>
    <mergeCell ref="A6:BK6"/>
    <mergeCell ref="A7:B7"/>
    <mergeCell ref="C7:BI7"/>
    <mergeCell ref="BJ7:BK7"/>
    <mergeCell ref="A8:B8"/>
    <mergeCell ref="C8:D8"/>
    <mergeCell ref="H8:J8"/>
    <mergeCell ref="K8:P8"/>
    <mergeCell ref="Q8:R8"/>
    <mergeCell ref="S8:T8"/>
    <mergeCell ref="U8:V8"/>
    <mergeCell ref="W8:X8"/>
    <mergeCell ref="Y8:Z8"/>
    <mergeCell ref="AA8:AC8"/>
    <mergeCell ref="AF8:AG8"/>
    <mergeCell ref="AJ8:AK8"/>
    <mergeCell ref="AO8:AQ8"/>
    <mergeCell ref="AS8:AT8"/>
    <mergeCell ref="AV8:AW8"/>
    <mergeCell ref="AX8:AY8"/>
    <mergeCell ref="BA8:BB8"/>
    <mergeCell ref="BD8:BE8"/>
    <mergeCell ref="BG8:BH8"/>
    <mergeCell ref="BJ8:BK8"/>
    <mergeCell ref="A9:B9"/>
    <mergeCell ref="C9:V9"/>
    <mergeCell ref="W9:AG9"/>
    <mergeCell ref="AH9:AQ9"/>
    <mergeCell ref="AR9:AY9"/>
    <mergeCell ref="BA9:BB9"/>
    <mergeCell ref="BD9:BI10"/>
    <mergeCell ref="BJ9:BK9"/>
    <mergeCell ref="A10:B10"/>
    <mergeCell ref="C10:V11"/>
    <mergeCell ref="W10:AG11"/>
    <mergeCell ref="AH10:AQ11"/>
    <mergeCell ref="AR10:AY11"/>
    <mergeCell ref="BA10:BB10"/>
    <mergeCell ref="BJ10:BK10"/>
    <mergeCell ref="A11:B11"/>
    <mergeCell ref="BA11:BB11"/>
    <mergeCell ref="BD11:BI13"/>
    <mergeCell ref="BJ11:BK11"/>
    <mergeCell ref="A12:B12"/>
    <mergeCell ref="C12:V12"/>
    <mergeCell ref="W12:AG12"/>
    <mergeCell ref="AH12:AQ12"/>
    <mergeCell ref="AR12:AY12"/>
    <mergeCell ref="BA12:BB12"/>
    <mergeCell ref="BJ12:BK12"/>
    <mergeCell ref="A13:B13"/>
    <mergeCell ref="C13:D13"/>
    <mergeCell ref="H13:J13"/>
    <mergeCell ref="K13:P13"/>
    <mergeCell ref="Q13:R13"/>
    <mergeCell ref="S13:T13"/>
    <mergeCell ref="U13:V13"/>
    <mergeCell ref="W13:X13"/>
    <mergeCell ref="Y13:Z13"/>
    <mergeCell ref="AA13:AC13"/>
    <mergeCell ref="AF13:AG13"/>
    <mergeCell ref="AJ13:AK13"/>
    <mergeCell ref="AO13:AQ13"/>
    <mergeCell ref="AS13:AT13"/>
    <mergeCell ref="AV13:AW13"/>
    <mergeCell ref="AX13:AY13"/>
    <mergeCell ref="BA13:BB13"/>
    <mergeCell ref="BJ13:BK13"/>
    <mergeCell ref="A14:B14"/>
    <mergeCell ref="C14:D14"/>
    <mergeCell ref="H14:J14"/>
    <mergeCell ref="K14:P14"/>
    <mergeCell ref="Q14:R14"/>
    <mergeCell ref="S14:T14"/>
    <mergeCell ref="U14:V14"/>
    <mergeCell ref="W14:X14"/>
    <mergeCell ref="Y14:Z14"/>
    <mergeCell ref="BJ14:BK14"/>
    <mergeCell ref="A15:B15"/>
    <mergeCell ref="C15:V15"/>
    <mergeCell ref="W15:AG15"/>
    <mergeCell ref="AH15:AQ15"/>
    <mergeCell ref="AR15:AY15"/>
    <mergeCell ref="BA15:BB15"/>
    <mergeCell ref="BJ15:BK15"/>
    <mergeCell ref="A16:B16"/>
    <mergeCell ref="C16:V16"/>
    <mergeCell ref="W16:AG16"/>
    <mergeCell ref="AH16:AQ16"/>
    <mergeCell ref="AR16:AY16"/>
    <mergeCell ref="BA16:BB16"/>
    <mergeCell ref="BJ16:BK16"/>
    <mergeCell ref="AA14:AC14"/>
    <mergeCell ref="AF14:AG14"/>
    <mergeCell ref="AJ14:AK14"/>
    <mergeCell ref="AO14:AQ14"/>
    <mergeCell ref="AS14:AT14"/>
    <mergeCell ref="AV14:AW14"/>
    <mergeCell ref="AX14:AY14"/>
    <mergeCell ref="BA14:BB14"/>
    <mergeCell ref="BD14:BI16"/>
    <mergeCell ref="A17:B17"/>
    <mergeCell ref="C17:V17"/>
    <mergeCell ref="W17:AG17"/>
    <mergeCell ref="AH17:AQ17"/>
    <mergeCell ref="AR17:AY17"/>
    <mergeCell ref="BA17:BB17"/>
    <mergeCell ref="BD17:BE17"/>
    <mergeCell ref="BG17:BH17"/>
    <mergeCell ref="BJ17:BK17"/>
    <mergeCell ref="A18:B18"/>
    <mergeCell ref="C18:D18"/>
    <mergeCell ref="H18:J18"/>
    <mergeCell ref="K18:P18"/>
    <mergeCell ref="Q18:R18"/>
    <mergeCell ref="S18:T18"/>
    <mergeCell ref="U18:V18"/>
    <mergeCell ref="W18:X18"/>
    <mergeCell ref="Y18:Z18"/>
    <mergeCell ref="AA18:AC18"/>
    <mergeCell ref="AF18:AG18"/>
    <mergeCell ref="AJ18:AK18"/>
    <mergeCell ref="AO18:AQ18"/>
    <mergeCell ref="AS18:AT18"/>
    <mergeCell ref="AV18:BC19"/>
    <mergeCell ref="BD18:BF19"/>
    <mergeCell ref="BG18:BI19"/>
    <mergeCell ref="BJ18:BK18"/>
    <mergeCell ref="A19:AR22"/>
    <mergeCell ref="AS19:AT19"/>
    <mergeCell ref="BJ19:BK19"/>
    <mergeCell ref="AS20:AT20"/>
    <mergeCell ref="AV20:BC20"/>
    <mergeCell ref="BD20:BF20"/>
    <mergeCell ref="BG20:BI20"/>
    <mergeCell ref="BJ20:BK20"/>
    <mergeCell ref="AS21:AT21"/>
    <mergeCell ref="AV21:BC21"/>
    <mergeCell ref="BD21:BI21"/>
    <mergeCell ref="BJ21:BK21"/>
    <mergeCell ref="AS22:AT22"/>
    <mergeCell ref="AV22:AW22"/>
    <mergeCell ref="AX22:AY22"/>
    <mergeCell ref="BA22:BB22"/>
    <mergeCell ref="BD22:BE22"/>
    <mergeCell ref="BG22:BH22"/>
    <mergeCell ref="BJ22:BK22"/>
    <mergeCell ref="A23:B23"/>
    <mergeCell ref="C23:BI23"/>
    <mergeCell ref="BJ23:BK23"/>
    <mergeCell ref="A24:B24"/>
    <mergeCell ref="C24:D24"/>
    <mergeCell ref="H24:J24"/>
    <mergeCell ref="K24:P24"/>
    <mergeCell ref="Q24:R24"/>
    <mergeCell ref="S24:T24"/>
    <mergeCell ref="U24:V24"/>
    <mergeCell ref="W24:X24"/>
    <mergeCell ref="Y24:Z24"/>
    <mergeCell ref="AA24:AC24"/>
    <mergeCell ref="AF24:AG24"/>
    <mergeCell ref="AJ24:AK24"/>
    <mergeCell ref="AO24:AQ24"/>
    <mergeCell ref="AS24:AT24"/>
    <mergeCell ref="AV24:AW24"/>
    <mergeCell ref="AX24:AY24"/>
    <mergeCell ref="BA24:BB24"/>
    <mergeCell ref="BD24:BE24"/>
    <mergeCell ref="BG24:BH24"/>
    <mergeCell ref="BJ24:BK24"/>
    <mergeCell ref="A25:B25"/>
    <mergeCell ref="C25:AD25"/>
    <mergeCell ref="AE25:AK25"/>
    <mergeCell ref="AL25:AU25"/>
    <mergeCell ref="AV25:AW25"/>
    <mergeCell ref="AX25:AY25"/>
    <mergeCell ref="BA25:BB25"/>
    <mergeCell ref="BD25:BE25"/>
    <mergeCell ref="BG25:BH25"/>
    <mergeCell ref="BJ25:BK25"/>
    <mergeCell ref="A26:B26"/>
    <mergeCell ref="C26:AD27"/>
    <mergeCell ref="AE26:AK26"/>
    <mergeCell ref="AL26:AU26"/>
    <mergeCell ref="AV26:AW26"/>
    <mergeCell ref="AX26:AY26"/>
    <mergeCell ref="BA26:BB26"/>
    <mergeCell ref="BD26:BE26"/>
    <mergeCell ref="BG26:BH26"/>
    <mergeCell ref="A27:B27"/>
    <mergeCell ref="AE27:AK27"/>
    <mergeCell ref="AL27:AU27"/>
    <mergeCell ref="AV27:AW27"/>
    <mergeCell ref="AX27:AY27"/>
    <mergeCell ref="BA27:BB27"/>
    <mergeCell ref="BD27:BE27"/>
    <mergeCell ref="BG27:BH27"/>
    <mergeCell ref="BJ27:BK27"/>
    <mergeCell ref="C28:D28"/>
    <mergeCell ref="H28:J28"/>
    <mergeCell ref="K28:P28"/>
    <mergeCell ref="Q28:R28"/>
    <mergeCell ref="S28:T28"/>
    <mergeCell ref="U28:V28"/>
    <mergeCell ref="W28:X28"/>
    <mergeCell ref="Y28:Z28"/>
    <mergeCell ref="BJ26:BK26"/>
    <mergeCell ref="BG28:BH28"/>
    <mergeCell ref="BJ28:BK28"/>
    <mergeCell ref="A29:F29"/>
    <mergeCell ref="G29:J29"/>
    <mergeCell ref="K29:BI29"/>
    <mergeCell ref="BJ29:BK29"/>
    <mergeCell ref="A30:F30"/>
    <mergeCell ref="G30:J30"/>
    <mergeCell ref="K30:AN30"/>
    <mergeCell ref="AO30:AW30"/>
    <mergeCell ref="AX30:AY30"/>
    <mergeCell ref="AZ30:BC30"/>
    <mergeCell ref="BD30:BI30"/>
    <mergeCell ref="BJ30:BK30"/>
    <mergeCell ref="AA28:AC28"/>
    <mergeCell ref="AF28:AG28"/>
    <mergeCell ref="AJ28:AK28"/>
    <mergeCell ref="AO28:AQ28"/>
    <mergeCell ref="AS28:AT28"/>
    <mergeCell ref="AV28:AW28"/>
    <mergeCell ref="AX28:AY28"/>
    <mergeCell ref="BA28:BB28"/>
    <mergeCell ref="BD28:BE28"/>
    <mergeCell ref="A28:B28"/>
    <mergeCell ref="A31:F31"/>
    <mergeCell ref="G31:J31"/>
    <mergeCell ref="K31:AN31"/>
    <mergeCell ref="AO31:AW31"/>
    <mergeCell ref="AX31:AY31"/>
    <mergeCell ref="AZ31:BI31"/>
    <mergeCell ref="BJ31:BK31"/>
    <mergeCell ref="A32:F32"/>
    <mergeCell ref="H32:J32"/>
    <mergeCell ref="K32:AT32"/>
    <mergeCell ref="AU32:AY32"/>
    <mergeCell ref="AZ32:BB32"/>
    <mergeCell ref="BC32:BE32"/>
    <mergeCell ref="BF32:BI32"/>
    <mergeCell ref="BJ32:BK32"/>
    <mergeCell ref="A33:F33"/>
    <mergeCell ref="H33:J33"/>
    <mergeCell ref="K33:AT33"/>
    <mergeCell ref="AU33:AY33"/>
    <mergeCell ref="AZ33:BB33"/>
    <mergeCell ref="BC33:BE33"/>
    <mergeCell ref="BF33:BI33"/>
    <mergeCell ref="BJ33:BK33"/>
    <mergeCell ref="A34:F34"/>
    <mergeCell ref="H34:J34"/>
    <mergeCell ref="K34:AT34"/>
    <mergeCell ref="AU34:AY34"/>
    <mergeCell ref="AZ34:BB34"/>
    <mergeCell ref="BC34:BE34"/>
    <mergeCell ref="BF34:BI34"/>
    <mergeCell ref="BJ34:BK34"/>
    <mergeCell ref="A35:F35"/>
    <mergeCell ref="H35:J35"/>
    <mergeCell ref="K35:AT35"/>
    <mergeCell ref="AU35:AY35"/>
    <mergeCell ref="AZ35:BB35"/>
    <mergeCell ref="BC35:BE35"/>
    <mergeCell ref="BF35:BI35"/>
    <mergeCell ref="BJ35:BK35"/>
    <mergeCell ref="A36:F36"/>
    <mergeCell ref="H36:J36"/>
    <mergeCell ref="K36:AT36"/>
    <mergeCell ref="AU36:AY36"/>
    <mergeCell ref="AZ36:BB36"/>
    <mergeCell ref="BC36:BE36"/>
    <mergeCell ref="BF36:BI36"/>
    <mergeCell ref="BJ36:BK36"/>
    <mergeCell ref="A39:F39"/>
    <mergeCell ref="H39:J39"/>
    <mergeCell ref="K39:AT39"/>
    <mergeCell ref="AU39:AY39"/>
    <mergeCell ref="AZ39:BB39"/>
    <mergeCell ref="BC39:BE39"/>
    <mergeCell ref="BF39:BI39"/>
    <mergeCell ref="BJ39:BK39"/>
    <mergeCell ref="A37:F37"/>
    <mergeCell ref="H37:J37"/>
    <mergeCell ref="K37:AT37"/>
    <mergeCell ref="AU37:AY37"/>
    <mergeCell ref="AZ37:BB37"/>
    <mergeCell ref="BC37:BE37"/>
    <mergeCell ref="BF37:BI37"/>
    <mergeCell ref="BJ37:BK37"/>
    <mergeCell ref="A38:F38"/>
    <mergeCell ref="H38:J38"/>
    <mergeCell ref="K38:AT38"/>
    <mergeCell ref="AU38:AY38"/>
    <mergeCell ref="AZ38:BB38"/>
    <mergeCell ref="BC38:BE38"/>
    <mergeCell ref="BF38:BI38"/>
    <mergeCell ref="BJ38:BK38"/>
    <mergeCell ref="A113:B113"/>
    <mergeCell ref="C113:AH113"/>
    <mergeCell ref="AJ113:BH113"/>
    <mergeCell ref="BJ113:BK113"/>
    <mergeCell ref="A114:B114"/>
    <mergeCell ref="C114:P117"/>
    <mergeCell ref="Q114:AH114"/>
    <mergeCell ref="AJ114:AK114"/>
    <mergeCell ref="AO114:AQ114"/>
    <mergeCell ref="AS114:AT114"/>
    <mergeCell ref="AV114:AW114"/>
    <mergeCell ref="AX114:AY114"/>
    <mergeCell ref="BA114:BB114"/>
    <mergeCell ref="BD114:BE114"/>
    <mergeCell ref="BG114:BH114"/>
    <mergeCell ref="BJ114:BK114"/>
    <mergeCell ref="A115:B115"/>
    <mergeCell ref="Q115:R115"/>
    <mergeCell ref="S115:T115"/>
    <mergeCell ref="U115:V115"/>
    <mergeCell ref="W115:X115"/>
    <mergeCell ref="Y115:Z115"/>
    <mergeCell ref="AA115:AC115"/>
    <mergeCell ref="AD115:AE115"/>
    <mergeCell ref="BJ115:BK115"/>
    <mergeCell ref="A116:B116"/>
    <mergeCell ref="Q116:AH116"/>
    <mergeCell ref="AJ116:AK116"/>
    <mergeCell ref="AO116:AQ116"/>
    <mergeCell ref="AS116:AT116"/>
    <mergeCell ref="AV116:AW116"/>
    <mergeCell ref="AX116:AY116"/>
    <mergeCell ref="BA116:BB116"/>
    <mergeCell ref="BD116:BE116"/>
    <mergeCell ref="BG116:BH116"/>
    <mergeCell ref="BJ116:BK116"/>
    <mergeCell ref="AF115:AH115"/>
    <mergeCell ref="AJ115:AK115"/>
    <mergeCell ref="AO115:AQ115"/>
    <mergeCell ref="AS115:AT115"/>
    <mergeCell ref="AV115:AW115"/>
    <mergeCell ref="AX115:AY115"/>
    <mergeCell ref="BA115:BB115"/>
    <mergeCell ref="BD115:BE115"/>
    <mergeCell ref="BG115:BH115"/>
    <mergeCell ref="BG117:BH117"/>
    <mergeCell ref="BJ117:BK117"/>
    <mergeCell ref="A118:E118"/>
    <mergeCell ref="H118:J118"/>
    <mergeCell ref="K118:P118"/>
    <mergeCell ref="Q118:R118"/>
    <mergeCell ref="S118:T118"/>
    <mergeCell ref="U118:V118"/>
    <mergeCell ref="W118:AM118"/>
    <mergeCell ref="AO118:AQ118"/>
    <mergeCell ref="AS118:AT118"/>
    <mergeCell ref="AV118:AW118"/>
    <mergeCell ref="AX118:AY118"/>
    <mergeCell ref="BA118:BK118"/>
    <mergeCell ref="A117:B117"/>
    <mergeCell ref="Q117:AH117"/>
    <mergeCell ref="AJ117:AK117"/>
    <mergeCell ref="AO117:AQ117"/>
    <mergeCell ref="AS117:AT117"/>
    <mergeCell ref="AV117:AW117"/>
    <mergeCell ref="AX117:AY117"/>
    <mergeCell ref="BA117:BB117"/>
    <mergeCell ref="BD117:BE117"/>
    <mergeCell ref="A41:BF41"/>
    <mergeCell ref="A42:AL42"/>
    <mergeCell ref="AM42:BA42"/>
    <mergeCell ref="BB42:BI42"/>
    <mergeCell ref="A43:BI43"/>
    <mergeCell ref="A44:F44"/>
    <mergeCell ref="G44:L44"/>
    <mergeCell ref="M44:AJ44"/>
    <mergeCell ref="AK44:AS44"/>
    <mergeCell ref="AT44:AX44"/>
    <mergeCell ref="AY44:AZ44"/>
    <mergeCell ref="BA44:BF44"/>
    <mergeCell ref="A45:F45"/>
    <mergeCell ref="G45:L45"/>
    <mergeCell ref="M45:AJ45"/>
    <mergeCell ref="AK45:AS45"/>
    <mergeCell ref="AT45:AX45"/>
    <mergeCell ref="AY45:AZ45"/>
    <mergeCell ref="BA45:BF45"/>
    <mergeCell ref="A46:F46"/>
    <mergeCell ref="G46:L46"/>
    <mergeCell ref="M46:AJ46"/>
    <mergeCell ref="AK46:AS46"/>
    <mergeCell ref="AT46:AX46"/>
    <mergeCell ref="AY46:AZ46"/>
    <mergeCell ref="BA46:BF46"/>
    <mergeCell ref="A47:F47"/>
    <mergeCell ref="G47:L47"/>
    <mergeCell ref="M47:AJ47"/>
    <mergeCell ref="AK47:AS47"/>
    <mergeCell ref="AT47:AX47"/>
    <mergeCell ref="AY47:AZ47"/>
    <mergeCell ref="BA47:BF47"/>
    <mergeCell ref="A48:BF48"/>
    <mergeCell ref="A49:Y49"/>
    <mergeCell ref="Y50:Y51"/>
    <mergeCell ref="Z50:AH50"/>
    <mergeCell ref="Z51:AH52"/>
    <mergeCell ref="A52:Y52"/>
    <mergeCell ref="A53:Y53"/>
    <mergeCell ref="Z53:AH53"/>
    <mergeCell ref="A54:Y54"/>
    <mergeCell ref="Z54:AH54"/>
    <mergeCell ref="A55:Y55"/>
    <mergeCell ref="A50:K51"/>
    <mergeCell ref="L50:M51"/>
    <mergeCell ref="N50:O51"/>
    <mergeCell ref="P50:Q51"/>
    <mergeCell ref="R50:S51"/>
    <mergeCell ref="T50:U51"/>
    <mergeCell ref="V50:V51"/>
    <mergeCell ref="W50:W51"/>
    <mergeCell ref="X50:X51"/>
    <mergeCell ref="A56:BI56"/>
    <mergeCell ref="A57:AH57"/>
    <mergeCell ref="A58:C58"/>
    <mergeCell ref="D58:I58"/>
    <mergeCell ref="J58:S58"/>
    <mergeCell ref="T58:AB58"/>
    <mergeCell ref="AC58:AH58"/>
    <mergeCell ref="A59:C59"/>
    <mergeCell ref="D59:I59"/>
    <mergeCell ref="J59:S59"/>
    <mergeCell ref="T59:AB59"/>
    <mergeCell ref="AC59:AH59"/>
    <mergeCell ref="A60:D60"/>
    <mergeCell ref="A61:S61"/>
    <mergeCell ref="T61:AB61"/>
    <mergeCell ref="AC61:AH61"/>
    <mergeCell ref="A62:S62"/>
    <mergeCell ref="T62:AB62"/>
    <mergeCell ref="AC62:AH62"/>
    <mergeCell ref="A63:BF63"/>
    <mergeCell ref="A64:H64"/>
    <mergeCell ref="I64:AH64"/>
    <mergeCell ref="A65:J65"/>
    <mergeCell ref="K65:U65"/>
    <mergeCell ref="A66:AB66"/>
    <mergeCell ref="A67:AB67"/>
    <mergeCell ref="A68:AB68"/>
    <mergeCell ref="A69:AB69"/>
    <mergeCell ref="A70:AB70"/>
    <mergeCell ref="A71:AB71"/>
    <mergeCell ref="A76:BH76"/>
    <mergeCell ref="BI76:BJ76"/>
    <mergeCell ref="B77:BH77"/>
    <mergeCell ref="BI77:BJ77"/>
    <mergeCell ref="B78:N78"/>
    <mergeCell ref="O78:BH78"/>
    <mergeCell ref="BI78:BJ78"/>
    <mergeCell ref="B79:N79"/>
    <mergeCell ref="O79:BH79"/>
    <mergeCell ref="BI79:BJ79"/>
    <mergeCell ref="B80:N80"/>
    <mergeCell ref="O80:BH80"/>
    <mergeCell ref="BI80:BJ80"/>
    <mergeCell ref="A81:BJ81"/>
    <mergeCell ref="B82:BH82"/>
    <mergeCell ref="BI82:BJ82"/>
    <mergeCell ref="B83:F83"/>
    <mergeCell ref="G83:L83"/>
    <mergeCell ref="M83:N83"/>
    <mergeCell ref="P83:T83"/>
    <mergeCell ref="U83:Y83"/>
    <mergeCell ref="Z83:AA83"/>
    <mergeCell ref="AB83:AF83"/>
    <mergeCell ref="AI83:AN83"/>
    <mergeCell ref="AQ83:AT83"/>
    <mergeCell ref="AU83:AV83"/>
    <mergeCell ref="AY83:BA83"/>
    <mergeCell ref="BB83:BC83"/>
    <mergeCell ref="BF83:BG83"/>
    <mergeCell ref="BI83:BJ83"/>
    <mergeCell ref="AY84:BA84"/>
    <mergeCell ref="BB84:BC84"/>
    <mergeCell ref="BF84:BG84"/>
    <mergeCell ref="BI84:BJ84"/>
    <mergeCell ref="B85:T85"/>
    <mergeCell ref="U85:AX86"/>
    <mergeCell ref="AY85:BA85"/>
    <mergeCell ref="BB85:BC85"/>
    <mergeCell ref="BF85:BG85"/>
    <mergeCell ref="BI85:BJ85"/>
    <mergeCell ref="B86:T86"/>
    <mergeCell ref="AY86:BA86"/>
    <mergeCell ref="BB86:BC86"/>
    <mergeCell ref="BF86:BG86"/>
    <mergeCell ref="BI86:BJ86"/>
    <mergeCell ref="P87:T87"/>
    <mergeCell ref="U87:Y87"/>
    <mergeCell ref="Z87:AA87"/>
    <mergeCell ref="AB87:AF87"/>
    <mergeCell ref="AI87:AN87"/>
    <mergeCell ref="AQ87:AT87"/>
    <mergeCell ref="B84:T84"/>
    <mergeCell ref="U84:AF84"/>
    <mergeCell ref="AG84:AP84"/>
    <mergeCell ref="AQ84:AX84"/>
    <mergeCell ref="AU87:AV87"/>
    <mergeCell ref="AY87:BA87"/>
    <mergeCell ref="BB87:BC87"/>
    <mergeCell ref="BF87:BG87"/>
    <mergeCell ref="BI87:BJ87"/>
    <mergeCell ref="B88:BH88"/>
    <mergeCell ref="BI88:BJ88"/>
    <mergeCell ref="B89:F89"/>
    <mergeCell ref="G89:L89"/>
    <mergeCell ref="M89:N89"/>
    <mergeCell ref="P89:T89"/>
    <mergeCell ref="U89:Y89"/>
    <mergeCell ref="Z89:AA89"/>
    <mergeCell ref="AB89:AF89"/>
    <mergeCell ref="AI89:AN89"/>
    <mergeCell ref="AQ89:AT89"/>
    <mergeCell ref="AU89:AV89"/>
    <mergeCell ref="AY89:BA89"/>
    <mergeCell ref="BB89:BC89"/>
    <mergeCell ref="BF89:BG89"/>
    <mergeCell ref="BI89:BJ89"/>
    <mergeCell ref="B87:F87"/>
    <mergeCell ref="G87:L87"/>
    <mergeCell ref="M87:N87"/>
    <mergeCell ref="B90:BH90"/>
    <mergeCell ref="BI90:BJ90"/>
    <mergeCell ref="B91:F91"/>
    <mergeCell ref="G91:L91"/>
    <mergeCell ref="M91:N91"/>
    <mergeCell ref="P91:T91"/>
    <mergeCell ref="U91:Y91"/>
    <mergeCell ref="Z91:AA91"/>
    <mergeCell ref="AB91:AF91"/>
    <mergeCell ref="AI91:AN91"/>
    <mergeCell ref="AQ91:AT91"/>
    <mergeCell ref="AU91:AV91"/>
    <mergeCell ref="AY91:BA91"/>
    <mergeCell ref="BB91:BC91"/>
    <mergeCell ref="BF91:BG91"/>
    <mergeCell ref="BI91:BJ91"/>
    <mergeCell ref="B92:T92"/>
    <mergeCell ref="U92:AF92"/>
    <mergeCell ref="AI92:AN92"/>
    <mergeCell ref="AO92:BA92"/>
    <mergeCell ref="BB92:BH92"/>
    <mergeCell ref="BI92:BJ92"/>
    <mergeCell ref="B93:T93"/>
    <mergeCell ref="U93:AF93"/>
    <mergeCell ref="AI93:AN93"/>
    <mergeCell ref="AO93:BA93"/>
    <mergeCell ref="BB93:BH93"/>
    <mergeCell ref="BI93:BJ93"/>
    <mergeCell ref="B94:T94"/>
    <mergeCell ref="U94:AF94"/>
    <mergeCell ref="AI94:AN94"/>
    <mergeCell ref="AO94:BA94"/>
    <mergeCell ref="BB94:BH94"/>
    <mergeCell ref="BI94:BJ94"/>
    <mergeCell ref="B95:T95"/>
    <mergeCell ref="U95:AF95"/>
    <mergeCell ref="AI95:AN95"/>
    <mergeCell ref="AQ95:AT95"/>
    <mergeCell ref="AU95:AV95"/>
    <mergeCell ref="AY95:BA95"/>
    <mergeCell ref="BB95:BC95"/>
    <mergeCell ref="BF95:BG95"/>
    <mergeCell ref="BI95:BJ95"/>
    <mergeCell ref="A96:BJ96"/>
    <mergeCell ref="B97:BH97"/>
    <mergeCell ref="BI97:BJ97"/>
    <mergeCell ref="B98:L98"/>
    <mergeCell ref="M98:T98"/>
    <mergeCell ref="U98:AO98"/>
    <mergeCell ref="AP98:AW98"/>
    <mergeCell ref="AY98:BD98"/>
    <mergeCell ref="BE98:BH98"/>
    <mergeCell ref="BI98:BJ98"/>
    <mergeCell ref="B99:BD99"/>
    <mergeCell ref="BE99:BE100"/>
    <mergeCell ref="BF99:BH99"/>
    <mergeCell ref="BI99:BJ99"/>
    <mergeCell ref="B100:BD100"/>
    <mergeCell ref="BF100:BH100"/>
    <mergeCell ref="BI100:BJ100"/>
    <mergeCell ref="B101:L101"/>
    <mergeCell ref="M101:T101"/>
    <mergeCell ref="U101:AW101"/>
    <mergeCell ref="AY101:BD101"/>
    <mergeCell ref="BE101:BH101"/>
    <mergeCell ref="BI101:BJ101"/>
    <mergeCell ref="B102:L102"/>
    <mergeCell ref="M102:T102"/>
    <mergeCell ref="U102:AW102"/>
    <mergeCell ref="AY102:BD102"/>
    <mergeCell ref="BE102:BH102"/>
    <mergeCell ref="BI102:BJ102"/>
    <mergeCell ref="B103:L103"/>
    <mergeCell ref="M103:T103"/>
    <mergeCell ref="U103:AW103"/>
    <mergeCell ref="AY103:BD103"/>
    <mergeCell ref="BF103:BH103"/>
    <mergeCell ref="BI103:BJ103"/>
    <mergeCell ref="B104:F104"/>
    <mergeCell ref="G104:L104"/>
    <mergeCell ref="M104:N104"/>
    <mergeCell ref="P104:T104"/>
    <mergeCell ref="U104:Y104"/>
    <mergeCell ref="Z104:AA104"/>
    <mergeCell ref="AB104:AF104"/>
    <mergeCell ref="AI104:AN104"/>
    <mergeCell ref="AQ104:AT104"/>
    <mergeCell ref="AU104:AV104"/>
    <mergeCell ref="AY104:BA104"/>
    <mergeCell ref="BB104:BC104"/>
    <mergeCell ref="BF104:BG104"/>
    <mergeCell ref="BI104:BJ104"/>
    <mergeCell ref="B105:AG105"/>
    <mergeCell ref="AI105:BG105"/>
    <mergeCell ref="BI105:BJ105"/>
    <mergeCell ref="A106:F111"/>
    <mergeCell ref="G106:L106"/>
    <mergeCell ref="M106:N106"/>
    <mergeCell ref="P106:Y110"/>
    <mergeCell ref="Z106:AA106"/>
    <mergeCell ref="AB106:AO111"/>
    <mergeCell ref="AQ106:AT106"/>
    <mergeCell ref="AU106:AV106"/>
    <mergeCell ref="AX106:BA110"/>
    <mergeCell ref="BB106:BC106"/>
    <mergeCell ref="BF106:BG106"/>
    <mergeCell ref="BI106:BJ106"/>
    <mergeCell ref="G107:L107"/>
    <mergeCell ref="M107:N107"/>
    <mergeCell ref="Z107:AA107"/>
    <mergeCell ref="AQ107:AT107"/>
    <mergeCell ref="AU107:AV107"/>
    <mergeCell ref="BB107:BC107"/>
    <mergeCell ref="BD107:BJ107"/>
    <mergeCell ref="G108:L108"/>
    <mergeCell ref="M108:N108"/>
    <mergeCell ref="Z108:AA108"/>
    <mergeCell ref="AQ108:AT108"/>
    <mergeCell ref="AU108:AV108"/>
    <mergeCell ref="BB108:BC108"/>
    <mergeCell ref="BF108:BG108"/>
    <mergeCell ref="BI108:BJ108"/>
    <mergeCell ref="G109:L109"/>
    <mergeCell ref="M109:N109"/>
    <mergeCell ref="Z109:AA109"/>
    <mergeCell ref="AQ109:AT109"/>
    <mergeCell ref="AU109:AV109"/>
    <mergeCell ref="BB109:BC109"/>
    <mergeCell ref="BF109:BG109"/>
    <mergeCell ref="BI109:BJ109"/>
    <mergeCell ref="G110:L110"/>
    <mergeCell ref="M110:N110"/>
    <mergeCell ref="Z110:AA110"/>
    <mergeCell ref="AQ110:AT110"/>
    <mergeCell ref="AU110:AV110"/>
    <mergeCell ref="BB110:BC110"/>
    <mergeCell ref="BF110:BG110"/>
    <mergeCell ref="BI110:BJ110"/>
    <mergeCell ref="BF111:BG111"/>
    <mergeCell ref="BI111:BJ111"/>
    <mergeCell ref="G111:L111"/>
    <mergeCell ref="M111:N111"/>
    <mergeCell ref="P111:T111"/>
    <mergeCell ref="U111:Y111"/>
    <mergeCell ref="Z111:AA111"/>
    <mergeCell ref="AQ111:AT111"/>
    <mergeCell ref="AU111:AV111"/>
    <mergeCell ref="AY111:BA111"/>
    <mergeCell ref="BB111:BC111"/>
  </mergeCells>
  <hyperlinks>
    <hyperlink ref="A6" r:id="rId1" display="mailto:ACCOUNTS.CHILE@DESWIK.COM" xr:uid="{00000000-0004-0000-0000-000000000000}"/>
    <hyperlink ref="A19" r:id="rId2" display="http://www.cmfchiIe.cl/" xr:uid="{00000000-0004-0000-0000-000001000000}"/>
    <hyperlink ref="A81" r:id="rId3" display="mailto:ACCOUNTS.CHILE@DESWIK.COM" xr:uid="{00000000-0004-0000-0000-000002000000}"/>
    <hyperlink ref="A96" r:id="rId4" display="http://www.cmfchiIe.cl/" xr:uid="{00000000-0004-0000-0000-000003000000}"/>
  </hyperlinks>
  <pageMargins left="0.7" right="0.7" top="0.75" bottom="0.75" header="0.3" footer="0.3"/>
  <headerFooter>
    <oddFooter>&amp;C_x000D_&amp;1#&amp;"Calibri"&amp;10&amp;K000000 Calificación: Publico, apto para su distribución</oddFooter>
  </headerFooter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d745ab360262bb857df02af1a33bfe20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eb64c9e94d6b2a91590b4df7037309e8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D6505B-02C2-45A0-BAB2-F0E5599DBF6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BBBC583-411F-4484-A282-F17EA41C58E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customXml/itemProps3.xml><?xml version="1.0" encoding="utf-8"?>
<ds:datastoreItem xmlns:ds="http://schemas.openxmlformats.org/officeDocument/2006/customXml" ds:itemID="{055E04FD-FA31-4CD2-9CC3-4C11244636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EECCTarjetaMastercard.pdf</dc:title>
  <dc:creator>Carolina Otalvaro</dc:creator>
  <cp:lastModifiedBy>Carolina Cabrera</cp:lastModifiedBy>
  <dcterms:created xsi:type="dcterms:W3CDTF">2025-05-28T15:54:58Z</dcterms:created>
  <dcterms:modified xsi:type="dcterms:W3CDTF">2025-06-02T21:18:22Z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2025-04-30T00:00:00Z</vt:filetime>
  </property>
  <property fmtid="{D5CDD505-2E9C-101B-9397-08002B2CF9AE}" pid="3" name="LastSaved">
    <vt:filetime>2025-05-28T00:00:00Z</vt:filetime>
  </property>
  <property fmtid="{D5CDD505-2E9C-101B-9397-08002B2CF9AE}" pid="4" name="Producer">
    <vt:lpwstr>Microsoft: Print To PDF</vt:lpwstr>
  </property>
  <property fmtid="{D5CDD505-2E9C-101B-9397-08002B2CF9AE}" pid="5" name="ContentTypeId">
    <vt:lpwstr>0x0101008C0FDD3EE9C26F4CA38A0CE1A876A831</vt:lpwstr>
  </property>
  <property fmtid="{D5CDD505-2E9C-101B-9397-08002B2CF9AE}" pid="6" name="MediaServiceImageTags">
    <vt:lpwstr/>
  </property>
</Properties>
</file>