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TDC/"/>
    </mc:Choice>
  </mc:AlternateContent>
  <xr:revisionPtr revIDLastSave="0" documentId="13_ncr:20001_{5ECB8A45-3FEF-4C56-8F18-EE0C08743A7E}" xr6:coauthVersionLast="47" xr6:coauthVersionMax="47" xr10:uidLastSave="{00000000-0000-0000-0000-000000000000}"/>
  <bookViews>
    <workbookView xWindow="-28920" yWindow="-1380" windowWidth="29040" windowHeight="15720" xr2:uid="{00000000-000D-0000-FFFF-FFFF00000000}"/>
  </bookViews>
  <sheets>
    <sheet name="Table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51" i="1" l="1"/>
  <c r="BK53" i="1"/>
  <c r="BJ50" i="1"/>
  <c r="BJ53" i="1"/>
  <c r="BE48" i="1"/>
  <c r="BE49" i="1"/>
  <c r="BE50" i="1"/>
  <c r="BE51" i="1"/>
  <c r="BE36" i="1"/>
  <c r="BI53" i="1" s="1"/>
  <c r="BI43" i="1" l="1"/>
  <c r="BI42" i="1"/>
  <c r="BI40" i="1"/>
  <c r="BI47" i="1"/>
  <c r="BI39" i="1"/>
  <c r="BI41" i="1"/>
  <c r="BI46" i="1"/>
  <c r="BI38" i="1"/>
  <c r="BI45" i="1"/>
  <c r="BI50" i="1"/>
  <c r="BI48" i="1"/>
  <c r="BI44" i="1"/>
</calcChain>
</file>

<file path=xl/sharedStrings.xml><?xml version="1.0" encoding="utf-8"?>
<sst xmlns="http://schemas.openxmlformats.org/spreadsheetml/2006/main" count="224" uniqueCount="168">
  <si>
    <r>
      <rPr>
        <b/>
        <sz val="8.5"/>
        <rFont val="Arial"/>
        <family val="2"/>
      </rPr>
      <t>ESTADO DE CUENTA NACIONAL DE TARJETA DE CRÉDITO</t>
    </r>
  </si>
  <si>
    <r>
      <rPr>
        <sz val="8.5"/>
        <rFont val="Arial MT"/>
        <family val="2"/>
      </rPr>
      <t>NOMBRE DEL TITULAR</t>
    </r>
  </si>
  <si>
    <r>
      <rPr>
        <sz val="8.5"/>
        <rFont val="Arial MT"/>
        <family val="2"/>
      </rPr>
      <t>KATHERINNE ALARCON</t>
    </r>
  </si>
  <si>
    <r>
      <rPr>
        <sz val="8.5"/>
        <rFont val="Arial MT"/>
        <family val="2"/>
      </rPr>
      <t>N° DE TARJETA DE CRÉDITO</t>
    </r>
  </si>
  <si>
    <r>
      <rPr>
        <sz val="8.5"/>
        <rFont val="Arial MT"/>
        <family val="2"/>
      </rPr>
      <t>XXXX XXX0  0004  1266</t>
    </r>
  </si>
  <si>
    <r>
      <rPr>
        <sz val="8.5"/>
        <rFont val="Arial MT"/>
        <family val="2"/>
      </rPr>
      <t>FECHA ESTADO DE CUENTA</t>
    </r>
  </si>
  <si>
    <r>
      <rPr>
        <sz val="8.5"/>
        <rFont val="Arial MT"/>
        <family val="2"/>
      </rPr>
      <t>KATHERINNE ALARCON ACCOUNTS.CHILE@DESWIK.COM</t>
    </r>
  </si>
  <si>
    <r>
      <rPr>
        <b/>
        <sz val="8.5"/>
        <rFont val="Arial"/>
        <family val="2"/>
      </rPr>
      <t>I.    INFORMACIÓN GENERAL</t>
    </r>
  </si>
  <si>
    <r>
      <rPr>
        <b/>
        <sz val="8.5"/>
        <rFont val="Arial"/>
        <family val="2"/>
      </rPr>
      <t>CUPO TOTAL</t>
    </r>
  </si>
  <si>
    <r>
      <rPr>
        <b/>
        <sz val="8.5"/>
        <rFont val="Arial"/>
        <family val="2"/>
      </rPr>
      <t>CUPO UTILIZADO</t>
    </r>
  </si>
  <si>
    <r>
      <rPr>
        <b/>
        <sz val="8.5"/>
        <rFont val="Arial"/>
        <family val="2"/>
      </rPr>
      <t>CUPO DISPONIBLE</t>
    </r>
  </si>
  <si>
    <r>
      <rPr>
        <sz val="8.5"/>
        <rFont val="Arial MT"/>
        <family val="2"/>
      </rPr>
      <t>CUPO TOTAL</t>
    </r>
  </si>
  <si>
    <r>
      <rPr>
        <sz val="8.5"/>
        <rFont val="Arial MT"/>
        <family val="2"/>
      </rPr>
      <t>CUPO TOTAL AVANCE EN EFECTIVO</t>
    </r>
  </si>
  <si>
    <r>
      <rPr>
        <sz val="13"/>
        <rFont val="Arial MT"/>
        <family val="2"/>
      </rPr>
      <t>CAE PREPAGO</t>
    </r>
  </si>
  <si>
    <r>
      <rPr>
        <b/>
        <sz val="8.5"/>
        <rFont val="Arial"/>
        <family val="2"/>
      </rPr>
      <t xml:space="preserve">SIN SELLO
</t>
    </r>
    <r>
      <rPr>
        <b/>
        <sz val="8.5"/>
        <rFont val="Arial"/>
        <family val="2"/>
      </rPr>
      <t>SERNAC</t>
    </r>
  </si>
  <si>
    <r>
      <rPr>
        <b/>
        <sz val="8.5"/>
        <rFont val="Arial"/>
        <family val="2"/>
      </rPr>
      <t>ROTATIVO</t>
    </r>
  </si>
  <si>
    <r>
      <rPr>
        <b/>
        <sz val="8.5"/>
        <rFont val="Arial"/>
        <family val="2"/>
      </rPr>
      <t>COMPRA EN CUOTAS</t>
    </r>
  </si>
  <si>
    <r>
      <rPr>
        <b/>
        <sz val="8.5"/>
        <rFont val="Arial"/>
        <family val="2"/>
      </rPr>
      <t>AVANCE EN CUOTAS</t>
    </r>
  </si>
  <si>
    <r>
      <rPr>
        <sz val="8.5"/>
        <rFont val="Arial MT"/>
        <family val="2"/>
      </rPr>
      <t>TASA INTERÉS VIGENTE</t>
    </r>
  </si>
  <si>
    <r>
      <rPr>
        <sz val="8.5"/>
        <rFont val="Arial MT"/>
        <family val="2"/>
      </rPr>
      <t>CAE</t>
    </r>
  </si>
  <si>
    <r>
      <rPr>
        <sz val="8.5"/>
        <rFont val="Arial MT"/>
        <family val="2"/>
      </rPr>
      <t>DESDE</t>
    </r>
  </si>
  <si>
    <r>
      <rPr>
        <sz val="8.5"/>
        <rFont val="Arial MT"/>
        <family val="2"/>
      </rPr>
      <t>HASTA</t>
    </r>
  </si>
  <si>
    <r>
      <rPr>
        <sz val="8.5"/>
        <rFont val="Arial MT"/>
        <family val="2"/>
      </rPr>
      <t>PERÍODO FACTURADO</t>
    </r>
  </si>
  <si>
    <r>
      <rPr>
        <sz val="8.5"/>
        <rFont val="Arial MT"/>
        <family val="2"/>
      </rPr>
      <t>PAGAR HASTA</t>
    </r>
  </si>
  <si>
    <r>
      <rPr>
        <sz val="8.5"/>
        <rFont val="Arial MT"/>
        <family val="2"/>
      </rPr>
      <t xml:space="preserve">CAE se calcula sobre un supuesto de gasto mensual de UF 20 y pagadero en 12 cuotas.
</t>
    </r>
    <r>
      <rPr>
        <sz val="8.5"/>
        <rFont val="Arial MT"/>
        <family val="2"/>
      </rPr>
      <t>Infórmese sobre las entidades autorizadas para emitir Tarjetas de Pago en el país, quienes se encuentran inscritas en los Registros de Emisores de Tarjetas que lleva la CMF, en www.cmfchile.cl.</t>
    </r>
  </si>
  <si>
    <r>
      <rPr>
        <b/>
        <sz val="8.5"/>
        <rFont val="Arial"/>
        <family val="2"/>
      </rPr>
      <t>II.   DETALLE</t>
    </r>
  </si>
  <si>
    <r>
      <rPr>
        <b/>
        <sz val="8.5"/>
        <rFont val="Arial"/>
        <family val="2"/>
      </rPr>
      <t>1.  PERÍODO ANTERIOR</t>
    </r>
  </si>
  <si>
    <r>
      <rPr>
        <b/>
        <sz val="8.5"/>
        <rFont val="Arial"/>
        <family val="2"/>
      </rPr>
      <t>DESDE</t>
    </r>
  </si>
  <si>
    <r>
      <rPr>
        <b/>
        <sz val="8.5"/>
        <rFont val="Arial"/>
        <family val="2"/>
      </rPr>
      <t>HASTA</t>
    </r>
  </si>
  <si>
    <r>
      <rPr>
        <sz val="8.5"/>
        <rFont val="Arial MT"/>
        <family val="2"/>
      </rPr>
      <t>PERÍODO DE FACTURACIÓN ANTERIOR</t>
    </r>
  </si>
  <si>
    <r>
      <rPr>
        <sz val="8.5"/>
        <rFont val="Arial MT"/>
        <family val="2"/>
      </rPr>
      <t>SALDO ADEUDADO INICIO PERÍODO ANTERIOR</t>
    </r>
  </si>
  <si>
    <r>
      <rPr>
        <sz val="8.5"/>
        <rFont val="Arial MT"/>
        <family val="2"/>
      </rPr>
      <t>MONTO FACTURADO A PAGAR (PERÍODO ANTERIOR)</t>
    </r>
  </si>
  <si>
    <r>
      <rPr>
        <b/>
        <sz val="8.5"/>
        <color rgb="FFFFFFFF"/>
        <rFont val="Arial"/>
        <family val="2"/>
      </rPr>
      <t>A</t>
    </r>
  </si>
  <si>
    <r>
      <rPr>
        <sz val="8.5"/>
        <rFont val="Arial MT"/>
        <family val="2"/>
      </rPr>
      <t>MONTO PAGADO PERÍODO ANTERIOR</t>
    </r>
  </si>
  <si>
    <r>
      <rPr>
        <sz val="8.5"/>
        <rFont val="Arial MT"/>
        <family val="2"/>
      </rPr>
      <t>SALDO ADEUDADO FINAL PERÍODO ANTERIOR</t>
    </r>
  </si>
  <si>
    <r>
      <rPr>
        <b/>
        <sz val="8.5"/>
        <rFont val="Arial"/>
        <family val="2"/>
      </rPr>
      <t>2.  PERÍODO ACTUAL</t>
    </r>
  </si>
  <si>
    <r>
      <rPr>
        <sz val="8.5"/>
        <rFont val="Arial MT"/>
        <family val="2"/>
      </rPr>
      <t>LUGAR DE OPERACIÓN</t>
    </r>
  </si>
  <si>
    <r>
      <rPr>
        <sz val="8.5"/>
        <rFont val="Arial MT"/>
        <family val="2"/>
      </rPr>
      <t>FECHA OPERACIÓN</t>
    </r>
  </si>
  <si>
    <r>
      <rPr>
        <sz val="8.5"/>
        <rFont val="Arial MT"/>
        <family val="2"/>
      </rPr>
      <t>CÓDIGO REFERENCIA</t>
    </r>
  </si>
  <si>
    <r>
      <rPr>
        <sz val="8.5"/>
        <rFont val="Arial MT"/>
        <family val="2"/>
      </rPr>
      <t>DESCRIPCIÓN OPERACIÓN O COBRO</t>
    </r>
  </si>
  <si>
    <r>
      <rPr>
        <sz val="8.5"/>
        <rFont val="Arial MT"/>
        <family val="2"/>
      </rPr>
      <t xml:space="preserve">MONTO OPERACIÓN
</t>
    </r>
    <r>
      <rPr>
        <sz val="8.5"/>
        <rFont val="Arial MT"/>
        <family val="2"/>
      </rPr>
      <t>O COBRO</t>
    </r>
  </si>
  <si>
    <r>
      <rPr>
        <sz val="8.5"/>
        <rFont val="Arial MT"/>
        <family val="2"/>
      </rPr>
      <t xml:space="preserve">MONTO TOTAL A
</t>
    </r>
    <r>
      <rPr>
        <sz val="8.5"/>
        <rFont val="Arial MT"/>
        <family val="2"/>
      </rPr>
      <t>PAGAR</t>
    </r>
  </si>
  <si>
    <r>
      <rPr>
        <sz val="8.5"/>
        <rFont val="Arial MT"/>
        <family val="2"/>
      </rPr>
      <t>CARGOS DEL MES</t>
    </r>
  </si>
  <si>
    <r>
      <rPr>
        <sz val="8.5"/>
        <rFont val="Arial MT"/>
        <family val="2"/>
      </rPr>
      <t>N° CUOTA</t>
    </r>
  </si>
  <si>
    <r>
      <rPr>
        <sz val="8.5"/>
        <rFont val="Arial MT"/>
        <family val="2"/>
      </rPr>
      <t xml:space="preserve">VALOR CUOTA
</t>
    </r>
    <r>
      <rPr>
        <sz val="8.5"/>
        <rFont val="Arial MT"/>
        <family val="2"/>
      </rPr>
      <t>MENSUAL</t>
    </r>
  </si>
  <si>
    <r>
      <rPr>
        <b/>
        <sz val="8.5"/>
        <rFont val="Arial"/>
        <family val="2"/>
      </rPr>
      <t>1.TOTAL OPERACIONES</t>
    </r>
  </si>
  <si>
    <r>
      <rPr>
        <sz val="8.5"/>
        <rFont val="Arial MT"/>
        <family val="2"/>
      </rPr>
      <t>PAGO AUTOMATICO</t>
    </r>
  </si>
  <si>
    <r>
      <rPr>
        <sz val="8.5"/>
        <rFont val="Arial MT"/>
        <family val="2"/>
      </rPr>
      <t>01/01</t>
    </r>
  </si>
  <si>
    <r>
      <rPr>
        <b/>
        <sz val="8.5"/>
        <rFont val="Arial"/>
        <family val="2"/>
      </rPr>
      <t>TOTAL PAGOS A LA CUENTA</t>
    </r>
  </si>
  <si>
    <r>
      <rPr>
        <b/>
        <sz val="8.5"/>
        <color rgb="FFFFFFFF"/>
        <rFont val="Arial"/>
        <family val="2"/>
      </rPr>
      <t>B</t>
    </r>
  </si>
  <si>
    <r>
      <rPr>
        <vertAlign val="superscript"/>
        <sz val="8.5"/>
        <rFont val="Arial MT"/>
        <family val="2"/>
      </rPr>
      <t xml:space="preserve">$            </t>
    </r>
    <r>
      <rPr>
        <b/>
        <sz val="8.5"/>
        <rFont val="Arial"/>
        <family val="2"/>
      </rPr>
      <t>-46.444</t>
    </r>
  </si>
  <si>
    <r>
      <rPr>
        <sz val="8.5"/>
        <rFont val="Arial MT"/>
        <family val="2"/>
      </rPr>
      <t>Sin Movimientos</t>
    </r>
  </si>
  <si>
    <r>
      <rPr>
        <b/>
        <sz val="8.5"/>
        <rFont val="Arial"/>
        <family val="2"/>
      </rPr>
      <t>TOTAL PAT A LA CUENTA</t>
    </r>
  </si>
  <si>
    <r>
      <rPr>
        <b/>
        <sz val="8.5"/>
        <color rgb="FFFFFFFF"/>
        <rFont val="Arial"/>
        <family val="2"/>
      </rPr>
      <t>C</t>
    </r>
  </si>
  <si>
    <r>
      <rPr>
        <sz val="8.5"/>
        <rFont val="Arial MT"/>
        <family val="2"/>
      </rPr>
      <t xml:space="preserve">$                     </t>
    </r>
    <r>
      <rPr>
        <b/>
        <vertAlign val="subscript"/>
        <sz val="8.5"/>
        <rFont val="Arial"/>
        <family val="2"/>
      </rPr>
      <t>0</t>
    </r>
  </si>
  <si>
    <r>
      <rPr>
        <sz val="8.5"/>
        <rFont val="Arial MT"/>
        <family val="2"/>
      </rPr>
      <t>SANTIAGO</t>
    </r>
  </si>
  <si>
    <r>
      <rPr>
        <sz val="8.5"/>
        <rFont val="Arial MT"/>
        <family val="2"/>
      </rPr>
      <t>C INDISA VACUNATORIO   SANTIAGO</t>
    </r>
  </si>
  <si>
    <r>
      <rPr>
        <b/>
        <sz val="8.5"/>
        <rFont val="Arial"/>
        <family val="2"/>
      </rPr>
      <t xml:space="preserve">TOTAL TARJETA XXXX XXXX XXXX 1266                                                          $             </t>
    </r>
    <r>
      <rPr>
        <b/>
        <vertAlign val="subscript"/>
        <sz val="8.5"/>
        <rFont val="Arial"/>
        <family val="2"/>
      </rPr>
      <t>84.444</t>
    </r>
  </si>
  <si>
    <r>
      <rPr>
        <b/>
        <sz val="8.5"/>
        <rFont val="Arial"/>
        <family val="2"/>
      </rPr>
      <t>TOTAL TRANSACCIONES EN UNA CUOTA</t>
    </r>
  </si>
  <si>
    <r>
      <rPr>
        <b/>
        <sz val="8.5"/>
        <color rgb="FFFFFFFF"/>
        <rFont val="Arial"/>
        <family val="2"/>
      </rPr>
      <t>D</t>
    </r>
  </si>
  <si>
    <r>
      <rPr>
        <vertAlign val="superscript"/>
        <sz val="8.5"/>
        <rFont val="Arial MT"/>
        <family val="2"/>
      </rPr>
      <t xml:space="preserve">$             </t>
    </r>
    <r>
      <rPr>
        <b/>
        <sz val="8.5"/>
        <rFont val="Arial"/>
        <family val="2"/>
      </rPr>
      <t>84.444</t>
    </r>
  </si>
  <si>
    <r>
      <rPr>
        <b/>
        <sz val="8.5"/>
        <rFont val="Arial"/>
        <family val="2"/>
      </rPr>
      <t>COMPROBANTE DE PAGO</t>
    </r>
  </si>
  <si>
    <r>
      <rPr>
        <b/>
        <sz val="8.5"/>
        <rFont val="Arial"/>
        <family val="2"/>
      </rPr>
      <t xml:space="preserve">NOMBRE
</t>
    </r>
    <r>
      <rPr>
        <sz val="8.5"/>
        <rFont val="Arial MT"/>
        <family val="2"/>
      </rPr>
      <t>KATHERINNE A</t>
    </r>
  </si>
  <si>
    <r>
      <rPr>
        <b/>
        <sz val="8.5"/>
        <rFont val="Arial"/>
        <family val="2"/>
      </rPr>
      <t xml:space="preserve">NÚMERO DE TARJETA
</t>
    </r>
    <r>
      <rPr>
        <sz val="8.5"/>
        <rFont val="Arial MT"/>
        <family val="2"/>
      </rPr>
      <t>0   0004     1266</t>
    </r>
  </si>
  <si>
    <r>
      <rPr>
        <b/>
        <sz val="8.5"/>
        <rFont val="Arial"/>
        <family val="2"/>
      </rPr>
      <t xml:space="preserve">PAGAR HASTA
</t>
    </r>
    <r>
      <rPr>
        <sz val="8.5"/>
        <rFont val="Arial MT"/>
        <family val="2"/>
      </rPr>
      <t>15/05/2025</t>
    </r>
  </si>
  <si>
    <r>
      <rPr>
        <b/>
        <sz val="8.5"/>
        <rFont val="Arial"/>
        <family val="2"/>
      </rPr>
      <t xml:space="preserve">MONTO TOTAL FACTURADO A PAGAR
</t>
    </r>
    <r>
      <rPr>
        <sz val="8.5"/>
        <rFont val="Arial MT"/>
        <family val="2"/>
      </rPr>
      <t>$ 806.870</t>
    </r>
  </si>
  <si>
    <r>
      <rPr>
        <b/>
        <sz val="8.5"/>
        <rFont val="Arial"/>
        <family val="2"/>
      </rPr>
      <t xml:space="preserve">MONTO MÍNIMO A PAGAR
</t>
    </r>
    <r>
      <rPr>
        <sz val="8.5"/>
        <rFont val="Arial MT"/>
        <family val="2"/>
      </rPr>
      <t>$  38.352</t>
    </r>
  </si>
  <si>
    <r>
      <rPr>
        <b/>
        <sz val="8.5"/>
        <rFont val="Arial"/>
        <family val="2"/>
      </rPr>
      <t>MONTO CANCELADO</t>
    </r>
  </si>
  <si>
    <r>
      <rPr>
        <b/>
        <sz val="8.5"/>
        <rFont val="Arial"/>
        <family val="2"/>
      </rPr>
      <t xml:space="preserve">NOMBRE
</t>
    </r>
    <r>
      <rPr>
        <sz val="8.5"/>
        <rFont val="Arial MT"/>
        <family val="2"/>
      </rPr>
      <t>KATHERINNE ALARCON</t>
    </r>
  </si>
  <si>
    <r>
      <rPr>
        <b/>
        <sz val="8.5"/>
        <rFont val="Arial"/>
        <family val="2"/>
      </rPr>
      <t xml:space="preserve">PAGAR HASTA                 </t>
    </r>
    <r>
      <rPr>
        <b/>
        <vertAlign val="subscript"/>
        <sz val="8.5"/>
        <rFont val="Arial"/>
        <family val="2"/>
      </rPr>
      <t xml:space="preserve">Timbre
</t>
    </r>
    <r>
      <rPr>
        <sz val="8.5"/>
        <rFont val="Arial MT"/>
        <family val="2"/>
      </rPr>
      <t xml:space="preserve">15/05/2025                        </t>
    </r>
    <r>
      <rPr>
        <b/>
        <vertAlign val="subscript"/>
        <sz val="8.5"/>
        <rFont val="Arial"/>
        <family val="2"/>
      </rPr>
      <t>Banco</t>
    </r>
  </si>
  <si>
    <r>
      <rPr>
        <sz val="8.5"/>
        <rFont val="Arial MT"/>
        <family val="2"/>
      </rPr>
      <t>Cheque                                                         Efectivo                                        Cheque                                                          Efectivo</t>
    </r>
  </si>
  <si>
    <r>
      <rPr>
        <sz val="8.5"/>
        <rFont val="Arial MT"/>
        <family val="2"/>
      </rPr>
      <t xml:space="preserve">MONTO
</t>
    </r>
    <r>
      <rPr>
        <sz val="8.5"/>
        <rFont val="Arial MT"/>
        <family val="2"/>
      </rPr>
      <t>OPERACIÓN O COBRO</t>
    </r>
  </si>
  <si>
    <r>
      <rPr>
        <sz val="8.5"/>
        <rFont val="Arial MT"/>
        <family val="2"/>
      </rPr>
      <t xml:space="preserve">MONTO
</t>
    </r>
    <r>
      <rPr>
        <sz val="8.5"/>
        <rFont val="Arial MT"/>
        <family val="2"/>
      </rPr>
      <t>TOTAL A PAGAR</t>
    </r>
  </si>
  <si>
    <r>
      <rPr>
        <b/>
        <sz val="8.5"/>
        <rFont val="Arial"/>
        <family val="2"/>
      </rPr>
      <t>TOTAL TRANSACCIONES EN CUOTAS</t>
    </r>
  </si>
  <si>
    <r>
      <rPr>
        <b/>
        <sz val="8.5"/>
        <color rgb="FFFFFFFF"/>
        <rFont val="Arial"/>
        <family val="2"/>
      </rPr>
      <t>E</t>
    </r>
  </si>
  <si>
    <r>
      <rPr>
        <b/>
        <sz val="8.5"/>
        <rFont val="Arial"/>
        <family val="2"/>
      </rPr>
      <t>2.PRODUCTOS O SERVICIOS VOLUNTARIAMENTE CONTRATADOS</t>
    </r>
  </si>
  <si>
    <r>
      <rPr>
        <b/>
        <sz val="8.5"/>
        <rFont val="Arial"/>
        <family val="2"/>
      </rPr>
      <t>TOTAL PRODUCTOS O SERVICIOS VOLUNTARIAMENTE CONTRATADOS</t>
    </r>
  </si>
  <si>
    <r>
      <rPr>
        <b/>
        <sz val="8.5"/>
        <color rgb="FFFFFFFF"/>
        <rFont val="Arial"/>
        <family val="2"/>
      </rPr>
      <t>F</t>
    </r>
  </si>
  <si>
    <r>
      <rPr>
        <b/>
        <sz val="8.5"/>
        <rFont val="Arial"/>
        <family val="2"/>
      </rPr>
      <t>3.CARGOS, COMISIONES, IMPUESTOS Y ABONOS</t>
    </r>
  </si>
  <si>
    <r>
      <rPr>
        <sz val="8.5"/>
        <rFont val="Arial MT"/>
        <family val="2"/>
      </rPr>
      <t>TRASPASO DEUDA INTERNACIONAL</t>
    </r>
  </si>
  <si>
    <r>
      <rPr>
        <sz val="8.5"/>
        <rFont val="Arial MT"/>
        <family val="2"/>
      </rPr>
      <t>IMPUESTO DECRETO LEY 3475 TASA 0,066 %</t>
    </r>
  </si>
  <si>
    <r>
      <rPr>
        <sz val="8.5"/>
        <rFont val="Arial MT"/>
        <family val="2"/>
      </rPr>
      <t>COMISION MENSUAL POR MANTENCION</t>
    </r>
  </si>
  <si>
    <r>
      <rPr>
        <sz val="8.5"/>
        <rFont val="Arial MT"/>
        <family val="2"/>
      </rPr>
      <t>INTERESES ROTATIVOS</t>
    </r>
  </si>
  <si>
    <r>
      <rPr>
        <b/>
        <sz val="8.5"/>
        <rFont val="Arial"/>
        <family val="2"/>
      </rPr>
      <t>TOTAL CARGOS, COMISIONES, IMPUESTOS Y ABONOS</t>
    </r>
  </si>
  <si>
    <r>
      <rPr>
        <b/>
        <sz val="8.5"/>
        <color rgb="FFFFFFFF"/>
        <rFont val="Arial"/>
        <family val="2"/>
      </rPr>
      <t>G</t>
    </r>
  </si>
  <si>
    <r>
      <rPr>
        <vertAlign val="superscript"/>
        <sz val="8.5"/>
        <rFont val="Arial MT"/>
        <family val="2"/>
      </rPr>
      <t xml:space="preserve">$            </t>
    </r>
    <r>
      <rPr>
        <b/>
        <sz val="8.5"/>
        <rFont val="Arial"/>
        <family val="2"/>
      </rPr>
      <t>722.426</t>
    </r>
  </si>
  <si>
    <r>
      <rPr>
        <b/>
        <sz val="8.5"/>
        <rFont val="Arial"/>
        <family val="2"/>
      </rPr>
      <t>III. INFORMACIÓN DE PAGO</t>
    </r>
  </si>
  <si>
    <r>
      <rPr>
        <sz val="8.5"/>
        <rFont val="Arial MT"/>
        <family val="2"/>
      </rPr>
      <t>MONTO TOTAL FACTURADO A PAGAR (</t>
    </r>
  </si>
  <si>
    <r>
      <rPr>
        <b/>
        <sz val="8.5"/>
        <color rgb="FFFFFFFF"/>
        <rFont val="Arial"/>
        <family val="2"/>
      </rPr>
      <t xml:space="preserve">A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</si>
  <si>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B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</si>
  <si>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C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</si>
  <si>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D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</si>
  <si>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E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</si>
  <si>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F </t>
    </r>
    <r>
      <rPr>
        <sz val="8.5"/>
        <rFont val="Arial MT"/>
        <family val="2"/>
      </rPr>
      <t>+</t>
    </r>
  </si>
  <si>
    <r>
      <rPr>
        <sz val="8.5"/>
        <rFont val="Arial MT"/>
        <family val="2"/>
      </rPr>
      <t>)</t>
    </r>
  </si>
  <si>
    <r>
      <rPr>
        <sz val="8.5"/>
        <rFont val="Arial MT"/>
        <family val="2"/>
      </rPr>
      <t>MONTO MÍNIMO A PAGAR</t>
    </r>
  </si>
  <si>
    <r>
      <rPr>
        <sz val="8.5"/>
        <rFont val="Arial MT"/>
        <family val="2"/>
      </rPr>
      <t>COSTO MONETARIO PREPAGO</t>
    </r>
  </si>
  <si>
    <r>
      <rPr>
        <sz val="8.5"/>
        <rFont val="Arial MT"/>
        <family val="2"/>
      </rPr>
      <t>CARGO AUTOMÁTICO</t>
    </r>
  </si>
  <si>
    <r>
      <rPr>
        <b/>
        <sz val="8.5"/>
        <rFont val="Arial"/>
        <family val="2"/>
      </rPr>
      <t>EVOLUCIÓN MONTOS FACTURADOS Y PAGADOS</t>
    </r>
  </si>
  <si>
    <r>
      <rPr>
        <sz val="4.5"/>
        <rFont val="Arial MT"/>
        <family val="2"/>
      </rPr>
      <t xml:space="preserve">3.388.645
</t>
    </r>
    <r>
      <rPr>
        <sz val="4.5"/>
        <rFont val="Arial MT"/>
        <family val="2"/>
      </rPr>
      <t xml:space="preserve">2.710.916
</t>
    </r>
    <r>
      <rPr>
        <sz val="4.5"/>
        <rFont val="Arial MT"/>
        <family val="2"/>
      </rPr>
      <t xml:space="preserve">2.033.187
</t>
    </r>
    <r>
      <rPr>
        <sz val="4.5"/>
        <rFont val="Arial MT"/>
        <family val="2"/>
      </rPr>
      <t xml:space="preserve">1.355.458
</t>
    </r>
    <r>
      <rPr>
        <sz val="4.5"/>
        <rFont val="Arial MT"/>
        <family val="2"/>
      </rPr>
      <t xml:space="preserve">677.729
</t>
    </r>
    <r>
      <rPr>
        <sz val="4.5"/>
        <rFont val="Arial MT"/>
        <family val="2"/>
      </rPr>
      <t xml:space="preserve">0--
</t>
    </r>
    <r>
      <rPr>
        <sz val="4.5"/>
        <rFont val="Arial MT"/>
        <family val="2"/>
      </rPr>
      <t>11/2024  12/2024  01/2025  02/2025  03/2025  04/2025</t>
    </r>
  </si>
  <si>
    <r>
      <rPr>
        <sz val="8.5"/>
        <rFont val="Arial MT"/>
        <family val="2"/>
      </rPr>
      <t>*La liberación de Monto Mínimo a Pagar no impide que se devenguen intereses por el saldo insoluto</t>
    </r>
  </si>
  <si>
    <r>
      <rPr>
        <b/>
        <sz val="8.5"/>
        <rFont val="Arial"/>
        <family val="2"/>
      </rPr>
      <t>VENCIMIENTO PRÓXIMOS 4 MESES</t>
    </r>
  </si>
  <si>
    <r>
      <rPr>
        <sz val="8.5"/>
        <rFont val="Arial MT"/>
        <family val="2"/>
      </rPr>
      <t>ACTUAL</t>
    </r>
  </si>
  <si>
    <r>
      <rPr>
        <sz val="8.5"/>
        <rFont val="Arial MT"/>
        <family val="2"/>
      </rPr>
      <t>MAYO</t>
    </r>
  </si>
  <si>
    <r>
      <rPr>
        <sz val="8.5"/>
        <rFont val="Arial MT"/>
        <family val="2"/>
      </rPr>
      <t>JUNIO</t>
    </r>
  </si>
  <si>
    <r>
      <rPr>
        <sz val="8.5"/>
        <rFont val="Arial MT"/>
        <family val="2"/>
      </rPr>
      <t>JULIO</t>
    </r>
  </si>
  <si>
    <r>
      <rPr>
        <sz val="8.5"/>
        <rFont val="Arial MT"/>
        <family val="2"/>
      </rPr>
      <t>AGOSTO</t>
    </r>
  </si>
  <si>
    <r>
      <rPr>
        <sz val="6.5"/>
        <rFont val="Arial MT"/>
        <family val="2"/>
      </rPr>
      <t>Monto Facturado Monto Pagado</t>
    </r>
  </si>
  <si>
    <r>
      <rPr>
        <sz val="8.5"/>
        <rFont val="Arial MT"/>
        <family val="2"/>
      </rPr>
      <t>PRÓXIMO PERÍODO DE FACTURACIÓN</t>
    </r>
  </si>
  <si>
    <r>
      <rPr>
        <b/>
        <sz val="8.5"/>
        <rFont val="Arial"/>
        <family val="2"/>
      </rPr>
      <t>IV. COSTOS POR ATRASO</t>
    </r>
  </si>
  <si>
    <r>
      <rPr>
        <sz val="8.5"/>
        <rFont val="Arial MT"/>
        <family val="2"/>
      </rPr>
      <t>INTERÉS MORATORIO</t>
    </r>
  </si>
  <si>
    <r>
      <rPr>
        <sz val="8.5"/>
        <rFont val="Arial MT"/>
        <family val="2"/>
      </rPr>
      <t>CARGO DE COBRANZA</t>
    </r>
  </si>
  <si>
    <r>
      <rPr>
        <b/>
        <sz val="8.5"/>
        <rFont val="Arial"/>
        <family val="2"/>
      </rPr>
      <t>MONTO DEUDA UF</t>
    </r>
  </si>
  <si>
    <r>
      <rPr>
        <sz val="8.5"/>
        <rFont val="Arial MT"/>
        <family val="2"/>
      </rPr>
      <t>%</t>
    </r>
  </si>
  <si>
    <r>
      <rPr>
        <sz val="8.5"/>
        <rFont val="Arial MT"/>
        <family val="2"/>
      </rPr>
      <t>HASTA UF 10</t>
    </r>
  </si>
  <si>
    <r>
      <rPr>
        <sz val="8.5"/>
        <rFont val="Arial MT"/>
        <family val="2"/>
      </rPr>
      <t>EXCEDAN UF 10 Y HASTA UF 50</t>
    </r>
  </si>
  <si>
    <r>
      <rPr>
        <sz val="8.5"/>
        <rFont val="Arial MT"/>
        <family val="2"/>
      </rPr>
      <t>EXCEDAN UF 50</t>
    </r>
  </si>
  <si>
    <r>
      <rPr>
        <sz val="8.5"/>
        <rFont val="Arial MT"/>
        <family val="2"/>
      </rPr>
      <t>LOS PAGOS CON RETRASO GENERARÁN UN RECARGO POR CONCEPTO DE LOS GASTOS DE COBRANZA EN QUE SE INCURRA DE ACUERDO A LO DISPUESTO EN LA LEY N° 19.496</t>
    </r>
  </si>
  <si>
    <r>
      <rPr>
        <sz val="8.5"/>
        <rFont val="Arial MT"/>
        <family val="2"/>
      </rPr>
      <t>SI TIENE TRANSACCIONES EN CUOTAS Y PAGA EL TOTAL DEL CUPO UTILIZADO, SOLICITE ACELERACIÓN DE CUOTAS A BANCA TELEFÓNICA</t>
    </r>
  </si>
  <si>
    <r>
      <rPr>
        <b/>
        <sz val="8.5"/>
        <rFont val="Arial"/>
        <family val="2"/>
      </rPr>
      <t>ESTADO DE CUENTA INTERNACIONAL DE TARJETA DE CREDITO</t>
    </r>
  </si>
  <si>
    <r>
      <rPr>
        <sz val="8.5"/>
        <rFont val="Arial MT"/>
        <family val="2"/>
      </rPr>
      <t>N° DE TARJETA DE CREDITO</t>
    </r>
  </si>
  <si>
    <r>
      <rPr>
        <sz val="8.5"/>
        <rFont val="Arial MT"/>
        <family val="2"/>
      </rPr>
      <t xml:space="preserve">558
</t>
    </r>
    <r>
      <rPr>
        <sz val="8.5"/>
        <rFont val="Arial MT"/>
        <family val="2"/>
      </rPr>
      <t>KATHERINNE ALARCON ACCOUNTS.CHILE@DESWIK.COM</t>
    </r>
  </si>
  <si>
    <r>
      <rPr>
        <b/>
        <sz val="8.5"/>
        <rFont val="Arial"/>
        <family val="2"/>
      </rPr>
      <t>I.    INFORMACION GENERAL</t>
    </r>
  </si>
  <si>
    <r>
      <rPr>
        <sz val="8.5"/>
        <rFont val="Arial MT"/>
        <family val="2"/>
      </rPr>
      <t>US$                 6.000,00</t>
    </r>
  </si>
  <si>
    <r>
      <rPr>
        <sz val="8.5"/>
        <rFont val="Arial MT"/>
        <family val="2"/>
      </rPr>
      <t>US$                       0,00</t>
    </r>
  </si>
  <si>
    <r>
      <rPr>
        <b/>
        <sz val="8.5"/>
        <rFont val="Arial"/>
        <family val="2"/>
      </rPr>
      <t>1.  INFORMACIÓN DE PAGO</t>
    </r>
  </si>
  <si>
    <r>
      <rPr>
        <sz val="8.5"/>
        <rFont val="Arial MT"/>
        <family val="2"/>
      </rPr>
      <t xml:space="preserve">SALDO ANTERIOR FACTURADO ABONO REALIZADO
</t>
    </r>
    <r>
      <rPr>
        <sz val="8.5"/>
        <rFont val="Arial MT"/>
        <family val="2"/>
      </rPr>
      <t xml:space="preserve">TRASPASO DEUDA NACIONAL
</t>
    </r>
    <r>
      <rPr>
        <sz val="8.5"/>
        <rFont val="Arial MT"/>
        <family val="2"/>
      </rPr>
      <t>DEUDA TOTAL</t>
    </r>
  </si>
  <si>
    <r>
      <rPr>
        <sz val="8.5"/>
        <rFont val="Arial MT"/>
        <family val="2"/>
      </rPr>
      <t xml:space="preserve">US$                    706,36
</t>
    </r>
    <r>
      <rPr>
        <sz val="8.5"/>
        <rFont val="Arial MT"/>
        <family val="2"/>
      </rPr>
      <t xml:space="preserve">US$                       0,00
</t>
    </r>
    <r>
      <rPr>
        <sz val="8.5"/>
        <rFont val="Arial MT"/>
        <family val="2"/>
      </rPr>
      <t xml:space="preserve">US$                    706,36
</t>
    </r>
    <r>
      <rPr>
        <sz val="8.5"/>
        <rFont val="Arial MT"/>
        <family val="2"/>
      </rPr>
      <t>US$                       0,00</t>
    </r>
  </si>
  <si>
    <r>
      <rPr>
        <sz val="8.5"/>
        <rFont val="Arial MT"/>
        <family val="2"/>
      </rPr>
      <t>PERIODO FACTURADO DESDE</t>
    </r>
  </si>
  <si>
    <r>
      <rPr>
        <sz val="8.5"/>
        <rFont val="Arial MT"/>
        <family val="2"/>
      </rPr>
      <t>PERIODO FACTURADO HASTA</t>
    </r>
  </si>
  <si>
    <r>
      <rPr>
        <sz val="8.5"/>
        <rFont val="Arial MT"/>
        <family val="2"/>
      </rPr>
      <t>Infórmese sobre las entidades autorizadas para emitir Tarjetas de Pago en el país, quienes se encuentran inscritas en los Registros de Emisores de Tarjetas que lleva la CMF, en www.cmfchile.cl.</t>
    </r>
  </si>
  <si>
    <r>
      <rPr>
        <b/>
        <sz val="8.5"/>
        <rFont val="Arial"/>
        <family val="2"/>
      </rPr>
      <t>2.  INFORMACIÓN DE TRANSACCIONES</t>
    </r>
  </si>
  <si>
    <r>
      <rPr>
        <sz val="8.5"/>
        <rFont val="Arial MT"/>
        <family val="2"/>
      </rPr>
      <t>NÚMERO REFERENCIA INTERNACIONAL</t>
    </r>
  </si>
  <si>
    <r>
      <rPr>
        <sz val="8.5"/>
        <rFont val="Arial MT"/>
        <family val="2"/>
      </rPr>
      <t>CIUDAD</t>
    </r>
  </si>
  <si>
    <r>
      <rPr>
        <sz val="8.5"/>
        <rFont val="Arial MT"/>
        <family val="2"/>
      </rPr>
      <t>PAÍS</t>
    </r>
  </si>
  <si>
    <r>
      <rPr>
        <sz val="8.5"/>
        <rFont val="Arial MT"/>
        <family val="2"/>
      </rPr>
      <t>MONTO MONEDA ORIGEN</t>
    </r>
  </si>
  <si>
    <r>
      <rPr>
        <sz val="8.5"/>
        <rFont val="Arial MT"/>
        <family val="2"/>
      </rPr>
      <t>MONTO US$</t>
    </r>
  </si>
  <si>
    <r>
      <rPr>
        <b/>
        <sz val="8.5"/>
        <rFont val="Arial"/>
        <family val="2"/>
      </rPr>
      <t>TOTAL DE PAGOS</t>
    </r>
  </si>
  <si>
    <r>
      <rPr>
        <b/>
        <sz val="8.5"/>
        <rFont val="Arial"/>
        <family val="2"/>
      </rPr>
      <t>US$              0,00</t>
    </r>
  </si>
  <si>
    <r>
      <rPr>
        <b/>
        <sz val="8.5"/>
        <rFont val="Arial"/>
        <family val="2"/>
      </rPr>
      <t>TOTAL DE COMPRAS</t>
    </r>
  </si>
  <si>
    <r>
      <rPr>
        <b/>
        <sz val="8.5"/>
        <rFont val="Arial"/>
        <family val="2"/>
      </rPr>
      <t>COMISIONES, OTROS CARGOS Y ABONOS A LA CUENTA</t>
    </r>
  </si>
  <si>
    <r>
      <rPr>
        <b/>
        <sz val="8.5"/>
        <rFont val="Arial"/>
        <family val="2"/>
      </rPr>
      <t>US$          -706,36</t>
    </r>
  </si>
  <si>
    <r>
      <rPr>
        <sz val="8.5"/>
        <rFont val="Arial MT"/>
        <family val="2"/>
      </rPr>
      <t>TRASPASO DEUDA INTERNAC</t>
    </r>
  </si>
  <si>
    <r>
      <rPr>
        <b/>
        <sz val="8.5"/>
        <rFont val="Arial"/>
        <family val="2"/>
      </rPr>
      <t xml:space="preserve">Nombre
</t>
    </r>
    <r>
      <rPr>
        <sz val="8.5"/>
        <rFont val="Arial MT"/>
        <family val="2"/>
      </rPr>
      <t>KATHERINNE ALARCON</t>
    </r>
  </si>
  <si>
    <r>
      <rPr>
        <b/>
        <sz val="8.5"/>
        <rFont val="Arial"/>
        <family val="2"/>
      </rPr>
      <t xml:space="preserve">Número de Tarjeta
</t>
    </r>
    <r>
      <rPr>
        <sz val="8.5"/>
        <rFont val="Arial MT"/>
        <family val="2"/>
      </rPr>
      <t>0   0004     1266</t>
    </r>
  </si>
  <si>
    <r>
      <rPr>
        <b/>
        <sz val="8.5"/>
        <rFont val="Arial"/>
        <family val="2"/>
      </rPr>
      <t xml:space="preserve">Pagar Hasta </t>
    </r>
    <r>
      <rPr>
        <sz val="8.5"/>
        <rFont val="Arial MT"/>
        <family val="2"/>
      </rPr>
      <t>15/05/2025</t>
    </r>
  </si>
  <si>
    <r>
      <rPr>
        <b/>
        <sz val="8.5"/>
        <rFont val="Arial"/>
        <family val="2"/>
      </rPr>
      <t xml:space="preserve">Monto Facturado </t>
    </r>
    <r>
      <rPr>
        <sz val="8.5"/>
        <rFont val="Arial MT"/>
        <family val="2"/>
      </rPr>
      <t>US$ 0,00</t>
    </r>
  </si>
  <si>
    <r>
      <rPr>
        <b/>
        <sz val="8.5"/>
        <rFont val="Arial"/>
        <family val="2"/>
      </rPr>
      <t xml:space="preserve">Pagar Hasta                      </t>
    </r>
    <r>
      <rPr>
        <b/>
        <vertAlign val="subscript"/>
        <sz val="8.5"/>
        <rFont val="Arial"/>
        <family val="2"/>
      </rPr>
      <t xml:space="preserve">Timbre
</t>
    </r>
    <r>
      <rPr>
        <sz val="8.5"/>
        <rFont val="Arial MT"/>
        <family val="2"/>
      </rPr>
      <t xml:space="preserve">15/05/2025                       </t>
    </r>
    <r>
      <rPr>
        <b/>
        <vertAlign val="subscript"/>
        <sz val="8.5"/>
        <rFont val="Arial"/>
        <family val="2"/>
      </rPr>
      <t>Banco</t>
    </r>
  </si>
  <si>
    <r>
      <rPr>
        <b/>
        <sz val="8.5"/>
        <rFont val="Arial"/>
        <family val="2"/>
      </rPr>
      <t xml:space="preserve">Monto Cancelado
</t>
    </r>
    <r>
      <rPr>
        <sz val="8.5"/>
        <rFont val="Arial MT"/>
        <family val="2"/>
      </rPr>
      <t>US$</t>
    </r>
  </si>
  <si>
    <r>
      <rPr>
        <b/>
        <sz val="8.5"/>
        <rFont val="Arial"/>
        <family val="2"/>
      </rPr>
      <t xml:space="preserve">Cheque
</t>
    </r>
    <r>
      <rPr>
        <b/>
        <sz val="8.5"/>
        <rFont val="Arial"/>
        <family val="2"/>
      </rPr>
      <t>Efectivo</t>
    </r>
  </si>
  <si>
    <t>Comentarios</t>
  </si>
  <si>
    <t>Factura</t>
  </si>
  <si>
    <t>Rut</t>
  </si>
  <si>
    <t>Cuenta</t>
  </si>
  <si>
    <t>Traslado</t>
  </si>
  <si>
    <t>Alimentación</t>
  </si>
  <si>
    <t>Telefono</t>
  </si>
  <si>
    <t>Materiales de oficina</t>
  </si>
  <si>
    <t>proveedores</t>
  </si>
  <si>
    <t>Otros gastos generales</t>
  </si>
  <si>
    <t>Patente</t>
  </si>
  <si>
    <t>Gto. Bancario</t>
  </si>
  <si>
    <t>Hospedaje</t>
  </si>
  <si>
    <t>Gastos de Aseo</t>
  </si>
  <si>
    <t>Vuelo</t>
  </si>
  <si>
    <t>TDC USD</t>
  </si>
  <si>
    <t>TDC CLP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</si>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</sst>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dd/mm/yyyy;@"/>
    <numFmt numFmtId="165" formatCode="\$\ #,##0"/>
    <numFmt numFmtId="166" formatCode="\$\ 0"/>
    <numFmt numFmtId="167" formatCode="0.00\ %"/>
  </numFmts>
  <fonts count="18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name val="Arial MT"/>
    </font>
    <font>
      <sz val="8.5"/>
      <color rgb="FF000000"/>
      <name val="Arial MT"/>
      <family val="2"/>
    </font>
    <font>
      <sz val="13"/>
      <name val="Arial MT"/>
    </font>
    <font>
      <sz val="13"/>
      <color rgb="FF000000"/>
      <name val="Arial MT"/>
      <family val="2"/>
    </font>
    <font>
      <sz val="6.5"/>
      <name val="Arial MT"/>
    </font>
    <font>
      <sz val="8.5"/>
      <name val="Arial MT"/>
      <family val="2"/>
    </font>
    <font>
      <sz val="13"/>
      <name val="Arial MT"/>
      <family val="2"/>
    </font>
    <font>
      <b/>
      <sz val="8.5"/>
      <color rgb="FFFFFFFF"/>
      <name val="Arial"/>
      <family val="2"/>
    </font>
    <font>
      <vertAlign val="superscript"/>
      <sz val="8.5"/>
      <name val="Arial MT"/>
      <family val="2"/>
    </font>
    <font>
      <b/>
      <vertAlign val="subscript"/>
      <sz val="8.5"/>
      <name val="Arial"/>
      <family val="2"/>
    </font>
    <font>
      <sz val="4.5"/>
      <name val="Arial MT"/>
      <family val="2"/>
    </font>
    <font>
      <sz val="6.5"/>
      <name val="Arial MT"/>
      <family val="2"/>
    </font>
    <font>
      <sz val="10"/>
      <color rgb="FF000000"/>
      <name val="Times New Roman"/>
      <family val="1"/>
    </font>
    <font>
      <b/>
      <sz val="10"/>
      <color rgb="FF002060"/>
      <name val="Times New Roman"/>
      <family val="1"/>
    </font>
    <font>
      <b/>
      <sz val="10"/>
      <color rgb="FF000000"/>
      <name val="Times New Roman"/>
      <family val="1"/>
    </font>
    <font>
      <sz val="10"/>
      <color rgb="FFC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CECEE"/>
      </patternFill>
    </fill>
    <fill>
      <patternFill patternType="solid">
        <fgColor rgb="FF97979F"/>
      </patternFill>
    </fill>
    <fill>
      <patternFill patternType="solid">
        <fgColor rgb="FF001845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1845"/>
      </right>
      <top style="thin">
        <color rgb="FF000000"/>
      </top>
      <bottom/>
      <diagonal/>
    </border>
    <border>
      <left/>
      <right style="thin">
        <color rgb="FF001845"/>
      </right>
      <top/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1845"/>
      </left>
      <right style="thin">
        <color rgb="FF000000"/>
      </right>
      <top style="thin">
        <color rgb="FF000000"/>
      </top>
      <bottom/>
      <diagonal/>
    </border>
    <border>
      <left style="thin">
        <color rgb="FF001845"/>
      </left>
      <right style="thin">
        <color rgb="FF000000"/>
      </right>
      <top/>
      <bottom/>
      <diagonal/>
    </border>
  </borders>
  <cellStyleXfs count="2">
    <xf numFmtId="0" fontId="0" fillId="0" borderId="0"/>
    <xf numFmtId="41" fontId="14" fillId="0" borderId="0" applyFont="0" applyFill="0" applyBorder="0" applyAlignment="0" applyProtection="0"/>
  </cellStyleXfs>
  <cellXfs count="26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 indent="25"/>
    </xf>
    <xf numFmtId="0" fontId="1" fillId="2" borderId="3" xfId="0" applyFont="1" applyFill="1" applyBorder="1" applyAlignment="1">
      <alignment horizontal="left" vertical="top" wrapText="1" indent="25"/>
    </xf>
    <xf numFmtId="0" fontId="1" fillId="2" borderId="4" xfId="0" applyFont="1" applyFill="1" applyBorder="1" applyAlignment="1">
      <alignment horizontal="left" vertical="top" wrapText="1" indent="25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left" vertical="top" shrinkToFit="1"/>
    </xf>
    <xf numFmtId="164" fontId="3" fillId="0" borderId="12" xfId="0" applyNumberFormat="1" applyFont="1" applyBorder="1" applyAlignment="1">
      <alignment horizontal="left" vertical="top" shrinkToFit="1"/>
    </xf>
    <xf numFmtId="164" fontId="3" fillId="0" borderId="13" xfId="0" applyNumberFormat="1" applyFont="1" applyBorder="1" applyAlignment="1">
      <alignment horizontal="left" vertical="top" shrinkToFit="1"/>
    </xf>
    <xf numFmtId="1" fontId="3" fillId="0" borderId="0" xfId="0" applyNumberFormat="1" applyFont="1" applyAlignment="1">
      <alignment horizontal="right" vertical="top" indent="4" shrinkToFit="1"/>
    </xf>
    <xf numFmtId="0" fontId="2" fillId="0" borderId="0" xfId="0" applyFont="1" applyAlignment="1">
      <alignment horizontal="left" vertical="top" wrapText="1" indent="50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165" fontId="3" fillId="0" borderId="2" xfId="0" applyNumberFormat="1" applyFont="1" applyBorder="1" applyAlignment="1">
      <alignment horizontal="center" vertical="top" shrinkToFit="1"/>
    </xf>
    <xf numFmtId="165" fontId="3" fillId="0" borderId="3" xfId="0" applyNumberFormat="1" applyFont="1" applyBorder="1" applyAlignment="1">
      <alignment horizontal="center" vertical="top" shrinkToFit="1"/>
    </xf>
    <xf numFmtId="165" fontId="3" fillId="0" borderId="4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center" vertical="top" shrinkToFit="1"/>
    </xf>
    <xf numFmtId="166" fontId="3" fillId="0" borderId="3" xfId="0" applyNumberFormat="1" applyFont="1" applyBorder="1" applyAlignment="1">
      <alignment horizontal="center" vertical="top" shrinkToFit="1"/>
    </xf>
    <xf numFmtId="166" fontId="3" fillId="0" borderId="4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67" fontId="5" fillId="0" borderId="2" xfId="0" applyNumberFormat="1" applyFont="1" applyBorder="1" applyAlignment="1">
      <alignment horizontal="left" vertical="top" indent="4" shrinkToFit="1"/>
    </xf>
    <xf numFmtId="167" fontId="5" fillId="0" borderId="3" xfId="0" applyNumberFormat="1" applyFont="1" applyBorder="1" applyAlignment="1">
      <alignment horizontal="left" vertical="top" indent="4" shrinkToFit="1"/>
    </xf>
    <xf numFmtId="167" fontId="5" fillId="0" borderId="4" xfId="0" applyNumberFormat="1" applyFont="1" applyBorder="1" applyAlignment="1">
      <alignment horizontal="left" vertical="top" indent="4" shrinkToFi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 indent="1"/>
    </xf>
    <xf numFmtId="0" fontId="1" fillId="2" borderId="3" xfId="0" applyFont="1" applyFill="1" applyBorder="1" applyAlignment="1">
      <alignment horizontal="right" vertical="top" wrapText="1" indent="1"/>
    </xf>
    <xf numFmtId="0" fontId="1" fillId="2" borderId="4" xfId="0" applyFont="1" applyFill="1" applyBorder="1" applyAlignment="1">
      <alignment horizontal="right" vertical="top" wrapText="1" indent="1"/>
    </xf>
    <xf numFmtId="167" fontId="3" fillId="0" borderId="2" xfId="0" applyNumberFormat="1" applyFont="1" applyBorder="1" applyAlignment="1">
      <alignment horizontal="right" vertical="top" shrinkToFit="1"/>
    </xf>
    <xf numFmtId="167" fontId="3" fillId="0" borderId="3" xfId="0" applyNumberFormat="1" applyFont="1" applyBorder="1" applyAlignment="1">
      <alignment horizontal="right" vertical="top" shrinkToFit="1"/>
    </xf>
    <xf numFmtId="167" fontId="3" fillId="0" borderId="4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left" vertical="top" indent="3" shrinkToFit="1"/>
    </xf>
    <xf numFmtId="164" fontId="3" fillId="0" borderId="3" xfId="0" applyNumberFormat="1" applyFont="1" applyBorder="1" applyAlignment="1">
      <alignment horizontal="left" vertical="top" indent="3" shrinkToFit="1"/>
    </xf>
    <xf numFmtId="164" fontId="3" fillId="0" borderId="4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left" vertical="top" wrapText="1" indent="6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66" fontId="3" fillId="0" borderId="5" xfId="0" applyNumberFormat="1" applyFont="1" applyBorder="1" applyAlignment="1">
      <alignment horizontal="center" vertical="top" shrinkToFit="1"/>
    </xf>
    <xf numFmtId="166" fontId="3" fillId="0" borderId="6" xfId="0" applyNumberFormat="1" applyFont="1" applyBorder="1" applyAlignment="1">
      <alignment horizontal="center" vertical="top" shrinkToFit="1"/>
    </xf>
    <xf numFmtId="166" fontId="3" fillId="0" borderId="7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8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165" fontId="3" fillId="0" borderId="8" xfId="0" applyNumberFormat="1" applyFont="1" applyBorder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5" fontId="3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0" borderId="11" xfId="0" applyFont="1" applyBorder="1" applyAlignment="1">
      <alignment horizontal="left" vertical="top" wrapText="1" indent="1"/>
    </xf>
    <xf numFmtId="0" fontId="2" fillId="0" borderId="12" xfId="0" applyFont="1" applyBorder="1" applyAlignment="1">
      <alignment horizontal="left" vertical="top" wrapText="1" indent="1"/>
    </xf>
    <xf numFmtId="166" fontId="3" fillId="0" borderId="11" xfId="0" applyNumberFormat="1" applyFont="1" applyBorder="1" applyAlignment="1">
      <alignment horizontal="center" vertical="top" shrinkToFit="1"/>
    </xf>
    <xf numFmtId="166" fontId="3" fillId="0" borderId="12" xfId="0" applyNumberFormat="1" applyFont="1" applyBorder="1" applyAlignment="1">
      <alignment horizontal="center" vertical="top" shrinkToFit="1"/>
    </xf>
    <xf numFmtId="166" fontId="3" fillId="0" borderId="13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 indent="31"/>
    </xf>
    <xf numFmtId="0" fontId="1" fillId="2" borderId="3" xfId="0" applyFont="1" applyFill="1" applyBorder="1" applyAlignment="1">
      <alignment horizontal="left" vertical="top" wrapText="1" indent="31"/>
    </xf>
    <xf numFmtId="0" fontId="1" fillId="4" borderId="3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32"/>
    </xf>
    <xf numFmtId="0" fontId="1" fillId="2" borderId="3" xfId="0" applyFont="1" applyFill="1" applyBorder="1" applyAlignment="1">
      <alignment horizontal="left" vertical="top" wrapText="1" indent="32"/>
    </xf>
    <xf numFmtId="0" fontId="1" fillId="0" borderId="2" xfId="0" applyFont="1" applyBorder="1" applyAlignment="1">
      <alignment horizontal="left" vertical="top" wrapText="1" indent="29"/>
    </xf>
    <xf numFmtId="0" fontId="1" fillId="0" borderId="3" xfId="0" applyFont="1" applyBorder="1" applyAlignment="1">
      <alignment horizontal="left" vertical="top" wrapText="1" indent="29"/>
    </xf>
    <xf numFmtId="0" fontId="1" fillId="0" borderId="4" xfId="0" applyFont="1" applyBorder="1" applyAlignment="1">
      <alignment horizontal="left" vertical="top" wrapText="1" indent="29"/>
    </xf>
    <xf numFmtId="0" fontId="1" fillId="2" borderId="2" xfId="0" applyFont="1" applyFill="1" applyBorder="1" applyAlignment="1">
      <alignment horizontal="left" vertical="top" wrapText="1" indent="28"/>
    </xf>
    <xf numFmtId="0" fontId="1" fillId="2" borderId="3" xfId="0" applyFont="1" applyFill="1" applyBorder="1" applyAlignment="1">
      <alignment horizontal="left" vertical="top" wrapText="1" indent="28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12"/>
    </xf>
    <xf numFmtId="0" fontId="1" fillId="0" borderId="3" xfId="0" applyFont="1" applyBorder="1" applyAlignment="1">
      <alignment horizontal="left" vertical="top" wrapText="1" indent="12"/>
    </xf>
    <xf numFmtId="0" fontId="1" fillId="0" borderId="4" xfId="0" applyFont="1" applyBorder="1" applyAlignment="1">
      <alignment horizontal="left" vertical="top" wrapText="1" indent="12"/>
    </xf>
    <xf numFmtId="0" fontId="0" fillId="0" borderId="11" xfId="0" applyBorder="1" applyAlignment="1">
      <alignment horizontal="left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6"/>
    </xf>
    <xf numFmtId="0" fontId="1" fillId="2" borderId="2" xfId="0" applyFont="1" applyFill="1" applyBorder="1" applyAlignment="1">
      <alignment horizontal="left" vertical="top" wrapText="1" indent="29"/>
    </xf>
    <xf numFmtId="0" fontId="1" fillId="2" borderId="3" xfId="0" applyFont="1" applyFill="1" applyBorder="1" applyAlignment="1">
      <alignment horizontal="left" vertical="top" wrapText="1" indent="29"/>
    </xf>
    <xf numFmtId="0" fontId="1" fillId="0" borderId="3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21"/>
    </xf>
    <xf numFmtId="0" fontId="1" fillId="2" borderId="3" xfId="0" applyFont="1" applyFill="1" applyBorder="1" applyAlignment="1">
      <alignment horizontal="left" vertical="top" wrapText="1" indent="21"/>
    </xf>
    <xf numFmtId="0" fontId="0" fillId="0" borderId="9" xfId="0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center" vertical="top" shrinkToFit="1"/>
    </xf>
    <xf numFmtId="164" fontId="3" fillId="0" borderId="6" xfId="0" applyNumberFormat="1" applyFont="1" applyBorder="1" applyAlignment="1">
      <alignment horizontal="center" vertical="top" shrinkToFit="1"/>
    </xf>
    <xf numFmtId="164" fontId="3" fillId="0" borderId="7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65" fontId="3" fillId="0" borderId="5" xfId="0" applyNumberFormat="1" applyFont="1" applyBorder="1" applyAlignment="1">
      <alignment horizontal="center" vertical="top" shrinkToFit="1"/>
    </xf>
    <xf numFmtId="165" fontId="3" fillId="0" borderId="6" xfId="0" applyNumberFormat="1" applyFont="1" applyBorder="1" applyAlignment="1">
      <alignment horizontal="center" vertical="top" shrinkToFit="1"/>
    </xf>
    <xf numFmtId="165" fontId="3" fillId="0" borderId="7" xfId="0" applyNumberFormat="1" applyFont="1" applyBorder="1" applyAlignment="1">
      <alignment horizontal="center" vertical="top" shrinkToFit="1"/>
    </xf>
    <xf numFmtId="0" fontId="2" fillId="0" borderId="7" xfId="0" applyFont="1" applyBorder="1" applyAlignment="1">
      <alignment horizontal="left" vertical="top" wrapText="1" indent="1"/>
    </xf>
    <xf numFmtId="164" fontId="3" fillId="0" borderId="8" xfId="0" applyNumberFormat="1" applyFont="1" applyBorder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4" fontId="3" fillId="0" borderId="9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9" xfId="0" applyNumberFormat="1" applyFont="1" applyBorder="1" applyAlignment="1">
      <alignment horizontal="center" vertical="top" shrinkToFit="1"/>
    </xf>
    <xf numFmtId="166" fontId="3" fillId="0" borderId="8" xfId="0" applyNumberFormat="1" applyFont="1" applyBorder="1" applyAlignment="1">
      <alignment horizontal="center" vertical="top" shrinkToFit="1"/>
    </xf>
    <xf numFmtId="166" fontId="3" fillId="0" borderId="0" xfId="0" applyNumberFormat="1" applyFont="1" applyAlignment="1">
      <alignment horizontal="center" vertical="top" shrinkToFit="1"/>
    </xf>
    <xf numFmtId="166" fontId="3" fillId="0" borderId="9" xfId="0" applyNumberFormat="1" applyFont="1" applyBorder="1" applyAlignment="1">
      <alignment horizontal="center" vertical="top" shrinkToFit="1"/>
    </xf>
    <xf numFmtId="0" fontId="2" fillId="0" borderId="9" xfId="0" applyFont="1" applyBorder="1" applyAlignment="1">
      <alignment horizontal="left" vertical="top" wrapText="1" indent="1"/>
    </xf>
    <xf numFmtId="164" fontId="3" fillId="0" borderId="11" xfId="0" applyNumberFormat="1" applyFont="1" applyBorder="1" applyAlignment="1">
      <alignment horizontal="center" vertical="top" shrinkToFit="1"/>
    </xf>
    <xf numFmtId="164" fontId="3" fillId="0" borderId="12" xfId="0" applyNumberFormat="1" applyFont="1" applyBorder="1" applyAlignment="1">
      <alignment horizontal="center" vertical="top" shrinkToFit="1"/>
    </xf>
    <xf numFmtId="164" fontId="3" fillId="0" borderId="13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1" fontId="3" fillId="0" borderId="13" xfId="0" applyNumberFormat="1" applyFont="1" applyBorder="1" applyAlignment="1">
      <alignment horizontal="center" vertical="top" shrinkToFit="1"/>
    </xf>
    <xf numFmtId="165" fontId="3" fillId="0" borderId="11" xfId="0" applyNumberFormat="1" applyFont="1" applyBorder="1" applyAlignment="1">
      <alignment horizontal="center" vertical="top" shrinkToFit="1"/>
    </xf>
    <xf numFmtId="165" fontId="3" fillId="0" borderId="12" xfId="0" applyNumberFormat="1" applyFont="1" applyBorder="1" applyAlignment="1">
      <alignment horizontal="center" vertical="top" shrinkToFit="1"/>
    </xf>
    <xf numFmtId="165" fontId="3" fillId="0" borderId="13" xfId="0" applyNumberFormat="1" applyFont="1" applyBorder="1" applyAlignment="1">
      <alignment horizontal="center" vertical="top" shrinkToFit="1"/>
    </xf>
    <xf numFmtId="0" fontId="2" fillId="0" borderId="13" xfId="0" applyFont="1" applyBorder="1" applyAlignment="1">
      <alignment horizontal="left" vertical="top" wrapText="1" inden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16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7" xfId="0" applyFill="1" applyBorder="1" applyAlignment="1">
      <alignment horizontal="left" vertical="top" wrapText="1"/>
    </xf>
    <xf numFmtId="0" fontId="0" fillId="4" borderId="19" xfId="0" applyFill="1" applyBorder="1" applyAlignment="1">
      <alignment horizontal="left" vertical="top" wrapText="1"/>
    </xf>
    <xf numFmtId="0" fontId="0" fillId="4" borderId="20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left" vertical="top" wrapText="1"/>
    </xf>
    <xf numFmtId="0" fontId="0" fillId="4" borderId="21" xfId="0" applyFill="1" applyBorder="1" applyAlignment="1">
      <alignment horizontal="left" vertical="top" wrapText="1"/>
    </xf>
    <xf numFmtId="0" fontId="1" fillId="4" borderId="19" xfId="0" applyFont="1" applyFill="1" applyBorder="1" applyAlignment="1">
      <alignment horizontal="left" vertical="top" wrapText="1"/>
    </xf>
    <xf numFmtId="0" fontId="1" fillId="4" borderId="20" xfId="0" applyFont="1" applyFill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165" fontId="3" fillId="0" borderId="9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5"/>
    </xf>
    <xf numFmtId="0" fontId="1" fillId="2" borderId="2" xfId="0" applyFont="1" applyFill="1" applyBorder="1" applyAlignment="1">
      <alignment horizontal="left" vertical="top" wrapText="1" indent="12"/>
    </xf>
    <xf numFmtId="0" fontId="1" fillId="2" borderId="3" xfId="0" applyFont="1" applyFill="1" applyBorder="1" applyAlignment="1">
      <alignment horizontal="left" vertical="top" wrapText="1" indent="12"/>
    </xf>
    <xf numFmtId="0" fontId="1" fillId="2" borderId="4" xfId="0" applyFont="1" applyFill="1" applyBorder="1" applyAlignment="1">
      <alignment horizontal="left" vertical="top" wrapText="1" indent="12"/>
    </xf>
    <xf numFmtId="166" fontId="3" fillId="5" borderId="2" xfId="0" applyNumberFormat="1" applyFont="1" applyFill="1" applyBorder="1" applyAlignment="1">
      <alignment horizontal="center" vertical="top" shrinkToFit="1"/>
    </xf>
    <xf numFmtId="166" fontId="3" fillId="5" borderId="3" xfId="0" applyNumberFormat="1" applyFont="1" applyFill="1" applyBorder="1" applyAlignment="1">
      <alignment horizontal="center" vertical="top" shrinkToFit="1"/>
    </xf>
    <xf numFmtId="166" fontId="3" fillId="5" borderId="4" xfId="0" applyNumberFormat="1" applyFont="1" applyFill="1" applyBorder="1" applyAlignment="1">
      <alignment horizontal="center" vertical="top" shrinkToFi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10" fontId="3" fillId="0" borderId="2" xfId="0" applyNumberFormat="1" applyFont="1" applyBorder="1" applyAlignment="1">
      <alignment horizontal="left" vertical="top" shrinkToFit="1"/>
    </xf>
    <xf numFmtId="10" fontId="3" fillId="0" borderId="3" xfId="0" applyNumberFormat="1" applyFont="1" applyBorder="1" applyAlignment="1">
      <alignment horizontal="left" vertical="top" shrinkToFit="1"/>
    </xf>
    <xf numFmtId="10" fontId="3" fillId="0" borderId="4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 indent="5"/>
    </xf>
    <xf numFmtId="0" fontId="1" fillId="0" borderId="3" xfId="0" applyFont="1" applyBorder="1" applyAlignment="1">
      <alignment horizontal="left" vertical="top" wrapText="1" indent="5"/>
    </xf>
    <xf numFmtId="0" fontId="1" fillId="0" borderId="4" xfId="0" applyFont="1" applyBorder="1" applyAlignment="1">
      <alignment horizontal="left" vertical="top" wrapText="1" indent="5"/>
    </xf>
    <xf numFmtId="9" fontId="3" fillId="0" borderId="2" xfId="0" applyNumberFormat="1" applyFont="1" applyBorder="1" applyAlignment="1">
      <alignment horizontal="center" vertical="top" shrinkToFit="1"/>
    </xf>
    <xf numFmtId="9" fontId="3" fillId="0" borderId="3" xfId="0" applyNumberFormat="1" applyFont="1" applyBorder="1" applyAlignment="1">
      <alignment horizontal="center" vertical="top" shrinkToFit="1"/>
    </xf>
    <xf numFmtId="9" fontId="3" fillId="0" borderId="4" xfId="0" applyNumberFormat="1" applyFont="1" applyBorder="1" applyAlignment="1">
      <alignment horizontal="center" vertical="top" shrinkToFi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164" fontId="3" fillId="0" borderId="5" xfId="0" applyNumberFormat="1" applyFont="1" applyBorder="1" applyAlignment="1">
      <alignment horizontal="left" vertical="top" indent="6" shrinkToFit="1"/>
    </xf>
    <xf numFmtId="164" fontId="3" fillId="0" borderId="6" xfId="0" applyNumberFormat="1" applyFont="1" applyBorder="1" applyAlignment="1">
      <alignment horizontal="left" vertical="top" indent="6" shrinkToFit="1"/>
    </xf>
    <xf numFmtId="164" fontId="3" fillId="0" borderId="7" xfId="0" applyNumberFormat="1" applyFont="1" applyBorder="1" applyAlignment="1">
      <alignment horizontal="left" vertical="top" indent="6" shrinkToFit="1"/>
    </xf>
    <xf numFmtId="164" fontId="3" fillId="0" borderId="8" xfId="0" applyNumberFormat="1" applyFont="1" applyBorder="1" applyAlignment="1">
      <alignment horizontal="left" vertical="top" indent="6" shrinkToFit="1"/>
    </xf>
    <xf numFmtId="164" fontId="3" fillId="0" borderId="0" xfId="0" applyNumberFormat="1" applyFont="1" applyAlignment="1">
      <alignment horizontal="left" vertical="top" indent="6" shrinkToFit="1"/>
    </xf>
    <xf numFmtId="164" fontId="3" fillId="0" borderId="9" xfId="0" applyNumberFormat="1" applyFont="1" applyBorder="1" applyAlignment="1">
      <alignment horizontal="left" vertical="top" indent="6" shrinkToFit="1"/>
    </xf>
    <xf numFmtId="164" fontId="3" fillId="0" borderId="11" xfId="0" applyNumberFormat="1" applyFont="1" applyBorder="1" applyAlignment="1">
      <alignment horizontal="left" vertical="top" indent="6" shrinkToFit="1"/>
    </xf>
    <xf numFmtId="164" fontId="3" fillId="0" borderId="12" xfId="0" applyNumberFormat="1" applyFont="1" applyBorder="1" applyAlignment="1">
      <alignment horizontal="left" vertical="top" indent="6" shrinkToFit="1"/>
    </xf>
    <xf numFmtId="164" fontId="3" fillId="0" borderId="13" xfId="0" applyNumberFormat="1" applyFont="1" applyBorder="1" applyAlignment="1">
      <alignment horizontal="left" vertical="top" indent="6" shrinkToFit="1"/>
    </xf>
    <xf numFmtId="0" fontId="2" fillId="0" borderId="0" xfId="0" applyFont="1" applyAlignment="1">
      <alignment horizontal="left" vertical="top" wrapText="1" indent="4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indent="1" shrinkToFit="1"/>
    </xf>
    <xf numFmtId="164" fontId="3" fillId="0" borderId="3" xfId="0" applyNumberFormat="1" applyFont="1" applyBorder="1" applyAlignment="1">
      <alignment horizontal="left" vertical="top" indent="1" shrinkToFit="1"/>
    </xf>
    <xf numFmtId="164" fontId="3" fillId="0" borderId="4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left" vertical="top" indent="5" shrinkToFit="1"/>
    </xf>
    <xf numFmtId="2" fontId="3" fillId="0" borderId="3" xfId="0" applyNumberFormat="1" applyFont="1" applyBorder="1" applyAlignment="1">
      <alignment horizontal="left" vertical="top" indent="5" shrinkToFit="1"/>
    </xf>
    <xf numFmtId="2" fontId="3" fillId="0" borderId="4" xfId="0" applyNumberFormat="1" applyFont="1" applyBorder="1" applyAlignment="1">
      <alignment horizontal="left" vertical="top" indent="5" shrinkToFit="1"/>
    </xf>
    <xf numFmtId="0" fontId="1" fillId="0" borderId="2" xfId="0" applyFont="1" applyBorder="1" applyAlignment="1">
      <alignment horizontal="left" vertical="top" wrapText="1" indent="11"/>
    </xf>
    <xf numFmtId="0" fontId="1" fillId="0" borderId="3" xfId="0" applyFont="1" applyBorder="1" applyAlignment="1">
      <alignment horizontal="left" vertical="top" wrapText="1" indent="11"/>
    </xf>
    <xf numFmtId="0" fontId="1" fillId="0" borderId="4" xfId="0" applyFont="1" applyBorder="1" applyAlignment="1">
      <alignment horizontal="left" vertical="top" wrapText="1" indent="11"/>
    </xf>
    <xf numFmtId="0" fontId="15" fillId="0" borderId="0" xfId="0" applyFont="1"/>
    <xf numFmtId="0" fontId="0" fillId="0" borderId="0" xfId="0"/>
    <xf numFmtId="41" fontId="0" fillId="0" borderId="0" xfId="0" applyNumberFormat="1"/>
    <xf numFmtId="0" fontId="16" fillId="0" borderId="0" xfId="0" applyFont="1"/>
    <xf numFmtId="41" fontId="0" fillId="0" borderId="0" xfId="1" applyFont="1"/>
    <xf numFmtId="0" fontId="14" fillId="0" borderId="0" xfId="0" applyFont="1"/>
    <xf numFmtId="0" fontId="14" fillId="0" borderId="0" xfId="0" applyFont="1" applyAlignment="1">
      <alignment horizontal="left" vertical="top"/>
    </xf>
    <xf numFmtId="41" fontId="15" fillId="0" borderId="0" xfId="0" applyNumberFormat="1" applyFont="1" applyAlignment="1">
      <alignment horizontal="left" vertical="top"/>
    </xf>
    <xf numFmtId="41" fontId="17" fillId="0" borderId="0" xfId="0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97535</xdr:colOff>
      <xdr:row>127</xdr:row>
      <xdr:rowOff>127635</xdr:rowOff>
    </xdr:from>
    <xdr:ext cx="2162175" cy="3048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926710" y="30007560"/>
          <a:ext cx="2162175" cy="304800"/>
          <a:chOff x="0" y="0"/>
          <a:chExt cx="2162175" cy="3048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2121535" cy="304800"/>
          </a:xfrm>
          <a:custGeom>
            <a:avLst/>
            <a:gdLst/>
            <a:ahLst/>
            <a:cxnLst/>
            <a:rect l="0" t="0" r="0" b="0"/>
            <a:pathLst>
              <a:path w="2121535" h="304800">
                <a:moveTo>
                  <a:pt x="16256" y="0"/>
                </a:moveTo>
                <a:lnTo>
                  <a:pt x="0" y="0"/>
                </a:lnTo>
                <a:lnTo>
                  <a:pt x="0" y="304800"/>
                </a:lnTo>
                <a:lnTo>
                  <a:pt x="16256" y="304800"/>
                </a:lnTo>
                <a:lnTo>
                  <a:pt x="16256" y="0"/>
                </a:lnTo>
                <a:close/>
              </a:path>
              <a:path w="2121535" h="304800">
                <a:moveTo>
                  <a:pt x="32512" y="0"/>
                </a:moveTo>
                <a:lnTo>
                  <a:pt x="24384" y="0"/>
                </a:lnTo>
                <a:lnTo>
                  <a:pt x="24384" y="304800"/>
                </a:lnTo>
                <a:lnTo>
                  <a:pt x="32512" y="304800"/>
                </a:lnTo>
                <a:lnTo>
                  <a:pt x="32512" y="0"/>
                </a:lnTo>
                <a:close/>
              </a:path>
              <a:path w="2121535" h="304800">
                <a:moveTo>
                  <a:pt x="73152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73152" y="304800"/>
                </a:lnTo>
                <a:lnTo>
                  <a:pt x="73152" y="0"/>
                </a:lnTo>
                <a:close/>
              </a:path>
              <a:path w="2121535" h="304800">
                <a:moveTo>
                  <a:pt x="105664" y="0"/>
                </a:moveTo>
                <a:lnTo>
                  <a:pt x="89408" y="0"/>
                </a:lnTo>
                <a:lnTo>
                  <a:pt x="89408" y="304800"/>
                </a:lnTo>
                <a:lnTo>
                  <a:pt x="105664" y="304800"/>
                </a:lnTo>
                <a:lnTo>
                  <a:pt x="105664" y="0"/>
                </a:lnTo>
                <a:close/>
              </a:path>
              <a:path w="2121535" h="304800">
                <a:moveTo>
                  <a:pt x="130048" y="0"/>
                </a:moveTo>
                <a:lnTo>
                  <a:pt x="121920" y="0"/>
                </a:lnTo>
                <a:lnTo>
                  <a:pt x="121920" y="304800"/>
                </a:lnTo>
                <a:lnTo>
                  <a:pt x="130048" y="304800"/>
                </a:lnTo>
                <a:lnTo>
                  <a:pt x="130048" y="0"/>
                </a:lnTo>
                <a:close/>
              </a:path>
              <a:path w="2121535" h="304800">
                <a:moveTo>
                  <a:pt x="170688" y="0"/>
                </a:moveTo>
                <a:lnTo>
                  <a:pt x="146304" y="0"/>
                </a:lnTo>
                <a:lnTo>
                  <a:pt x="146304" y="304800"/>
                </a:lnTo>
                <a:lnTo>
                  <a:pt x="170688" y="304800"/>
                </a:lnTo>
                <a:lnTo>
                  <a:pt x="170688" y="0"/>
                </a:lnTo>
                <a:close/>
              </a:path>
              <a:path w="2121535" h="304800">
                <a:moveTo>
                  <a:pt x="203200" y="0"/>
                </a:moveTo>
                <a:lnTo>
                  <a:pt x="178816" y="0"/>
                </a:lnTo>
                <a:lnTo>
                  <a:pt x="178816" y="304800"/>
                </a:lnTo>
                <a:lnTo>
                  <a:pt x="203200" y="304800"/>
                </a:lnTo>
                <a:lnTo>
                  <a:pt x="203200" y="0"/>
                </a:lnTo>
                <a:close/>
              </a:path>
              <a:path w="2121535" h="304800">
                <a:moveTo>
                  <a:pt x="227584" y="0"/>
                </a:moveTo>
                <a:lnTo>
                  <a:pt x="219456" y="0"/>
                </a:lnTo>
                <a:lnTo>
                  <a:pt x="219456" y="304800"/>
                </a:lnTo>
                <a:lnTo>
                  <a:pt x="227584" y="304800"/>
                </a:lnTo>
                <a:lnTo>
                  <a:pt x="227584" y="0"/>
                </a:lnTo>
                <a:close/>
              </a:path>
              <a:path w="2121535" h="304800">
                <a:moveTo>
                  <a:pt x="251968" y="0"/>
                </a:moveTo>
                <a:lnTo>
                  <a:pt x="235712" y="0"/>
                </a:lnTo>
                <a:lnTo>
                  <a:pt x="235712" y="304800"/>
                </a:lnTo>
                <a:lnTo>
                  <a:pt x="251968" y="304800"/>
                </a:lnTo>
                <a:lnTo>
                  <a:pt x="251968" y="0"/>
                </a:lnTo>
                <a:close/>
              </a:path>
              <a:path w="2121535" h="304800">
                <a:moveTo>
                  <a:pt x="276352" y="0"/>
                </a:moveTo>
                <a:lnTo>
                  <a:pt x="268224" y="0"/>
                </a:lnTo>
                <a:lnTo>
                  <a:pt x="268224" y="304800"/>
                </a:lnTo>
                <a:lnTo>
                  <a:pt x="276352" y="304800"/>
                </a:lnTo>
                <a:lnTo>
                  <a:pt x="276352" y="0"/>
                </a:lnTo>
                <a:close/>
              </a:path>
              <a:path w="2121535" h="304800">
                <a:moveTo>
                  <a:pt x="300736" y="0"/>
                </a:moveTo>
                <a:lnTo>
                  <a:pt x="292608" y="0"/>
                </a:lnTo>
                <a:lnTo>
                  <a:pt x="292608" y="304800"/>
                </a:lnTo>
                <a:lnTo>
                  <a:pt x="300736" y="304800"/>
                </a:lnTo>
                <a:lnTo>
                  <a:pt x="300736" y="0"/>
                </a:lnTo>
                <a:close/>
              </a:path>
              <a:path w="2121535" h="304800">
                <a:moveTo>
                  <a:pt x="341376" y="0"/>
                </a:moveTo>
                <a:lnTo>
                  <a:pt x="325120" y="0"/>
                </a:lnTo>
                <a:lnTo>
                  <a:pt x="325120" y="304800"/>
                </a:lnTo>
                <a:lnTo>
                  <a:pt x="341376" y="304800"/>
                </a:lnTo>
                <a:lnTo>
                  <a:pt x="341376" y="0"/>
                </a:lnTo>
                <a:close/>
              </a:path>
              <a:path w="2121535" h="304800">
                <a:moveTo>
                  <a:pt x="382016" y="0"/>
                </a:moveTo>
                <a:lnTo>
                  <a:pt x="357632" y="0"/>
                </a:lnTo>
                <a:lnTo>
                  <a:pt x="357632" y="304800"/>
                </a:lnTo>
                <a:lnTo>
                  <a:pt x="382016" y="304800"/>
                </a:lnTo>
                <a:lnTo>
                  <a:pt x="382016" y="0"/>
                </a:lnTo>
                <a:close/>
              </a:path>
              <a:path w="2121535" h="304800">
                <a:moveTo>
                  <a:pt x="406400" y="0"/>
                </a:moveTo>
                <a:lnTo>
                  <a:pt x="398272" y="0"/>
                </a:lnTo>
                <a:lnTo>
                  <a:pt x="398272" y="304800"/>
                </a:lnTo>
                <a:lnTo>
                  <a:pt x="406400" y="304800"/>
                </a:lnTo>
                <a:lnTo>
                  <a:pt x="406400" y="0"/>
                </a:lnTo>
                <a:close/>
              </a:path>
              <a:path w="2121535" h="304800">
                <a:moveTo>
                  <a:pt x="430784" y="0"/>
                </a:moveTo>
                <a:lnTo>
                  <a:pt x="414528" y="0"/>
                </a:lnTo>
                <a:lnTo>
                  <a:pt x="414528" y="304800"/>
                </a:lnTo>
                <a:lnTo>
                  <a:pt x="430784" y="304800"/>
                </a:lnTo>
                <a:lnTo>
                  <a:pt x="430784" y="0"/>
                </a:lnTo>
                <a:close/>
              </a:path>
              <a:path w="2121535" h="304800">
                <a:moveTo>
                  <a:pt x="471424" y="0"/>
                </a:moveTo>
                <a:lnTo>
                  <a:pt x="447040" y="0"/>
                </a:lnTo>
                <a:lnTo>
                  <a:pt x="447040" y="304800"/>
                </a:lnTo>
                <a:lnTo>
                  <a:pt x="471424" y="304800"/>
                </a:lnTo>
                <a:lnTo>
                  <a:pt x="471424" y="0"/>
                </a:lnTo>
                <a:close/>
              </a:path>
              <a:path w="2121535" h="304800">
                <a:moveTo>
                  <a:pt x="487680" y="0"/>
                </a:moveTo>
                <a:lnTo>
                  <a:pt x="479552" y="0"/>
                </a:lnTo>
                <a:lnTo>
                  <a:pt x="479552" y="304800"/>
                </a:lnTo>
                <a:lnTo>
                  <a:pt x="487680" y="304800"/>
                </a:lnTo>
                <a:lnTo>
                  <a:pt x="487680" y="0"/>
                </a:lnTo>
                <a:close/>
              </a:path>
              <a:path w="2121535" h="304800">
                <a:moveTo>
                  <a:pt x="528320" y="0"/>
                </a:moveTo>
                <a:lnTo>
                  <a:pt x="512064" y="0"/>
                </a:lnTo>
                <a:lnTo>
                  <a:pt x="512064" y="304800"/>
                </a:lnTo>
                <a:lnTo>
                  <a:pt x="528320" y="304800"/>
                </a:lnTo>
                <a:lnTo>
                  <a:pt x="528320" y="0"/>
                </a:lnTo>
                <a:close/>
              </a:path>
              <a:path w="2121535" h="304800">
                <a:moveTo>
                  <a:pt x="544576" y="0"/>
                </a:moveTo>
                <a:lnTo>
                  <a:pt x="536448" y="0"/>
                </a:lnTo>
                <a:lnTo>
                  <a:pt x="536448" y="304800"/>
                </a:lnTo>
                <a:lnTo>
                  <a:pt x="544576" y="304800"/>
                </a:lnTo>
                <a:lnTo>
                  <a:pt x="544576" y="0"/>
                </a:lnTo>
                <a:close/>
              </a:path>
              <a:path w="2121535" h="304800">
                <a:moveTo>
                  <a:pt x="560832" y="0"/>
                </a:moveTo>
                <a:lnTo>
                  <a:pt x="552704" y="0"/>
                </a:lnTo>
                <a:lnTo>
                  <a:pt x="552704" y="304800"/>
                </a:lnTo>
                <a:lnTo>
                  <a:pt x="560832" y="304800"/>
                </a:lnTo>
                <a:lnTo>
                  <a:pt x="560832" y="0"/>
                </a:lnTo>
                <a:close/>
              </a:path>
              <a:path w="2121535" h="304800">
                <a:moveTo>
                  <a:pt x="609600" y="0"/>
                </a:moveTo>
                <a:lnTo>
                  <a:pt x="577088" y="0"/>
                </a:lnTo>
                <a:lnTo>
                  <a:pt x="577088" y="304800"/>
                </a:lnTo>
                <a:lnTo>
                  <a:pt x="609600" y="304800"/>
                </a:lnTo>
                <a:lnTo>
                  <a:pt x="609600" y="0"/>
                </a:lnTo>
                <a:close/>
              </a:path>
              <a:path w="2121535" h="304800">
                <a:moveTo>
                  <a:pt x="633984" y="0"/>
                </a:moveTo>
                <a:lnTo>
                  <a:pt x="625856" y="0"/>
                </a:lnTo>
                <a:lnTo>
                  <a:pt x="625856" y="304800"/>
                </a:lnTo>
                <a:lnTo>
                  <a:pt x="633984" y="304800"/>
                </a:lnTo>
                <a:lnTo>
                  <a:pt x="633984" y="0"/>
                </a:lnTo>
                <a:close/>
              </a:path>
              <a:path w="2121535" h="304800">
                <a:moveTo>
                  <a:pt x="658368" y="0"/>
                </a:moveTo>
                <a:lnTo>
                  <a:pt x="650240" y="0"/>
                </a:lnTo>
                <a:lnTo>
                  <a:pt x="650240" y="304800"/>
                </a:lnTo>
                <a:lnTo>
                  <a:pt x="658368" y="304800"/>
                </a:lnTo>
                <a:lnTo>
                  <a:pt x="658368" y="0"/>
                </a:lnTo>
                <a:close/>
              </a:path>
              <a:path w="2121535" h="304800">
                <a:moveTo>
                  <a:pt x="699008" y="0"/>
                </a:moveTo>
                <a:lnTo>
                  <a:pt x="682752" y="0"/>
                </a:lnTo>
                <a:lnTo>
                  <a:pt x="682752" y="304800"/>
                </a:lnTo>
                <a:lnTo>
                  <a:pt x="699008" y="304800"/>
                </a:lnTo>
                <a:lnTo>
                  <a:pt x="699008" y="0"/>
                </a:lnTo>
                <a:close/>
              </a:path>
              <a:path w="2121535" h="304800">
                <a:moveTo>
                  <a:pt x="723392" y="0"/>
                </a:moveTo>
                <a:lnTo>
                  <a:pt x="715264" y="0"/>
                </a:lnTo>
                <a:lnTo>
                  <a:pt x="715264" y="304800"/>
                </a:lnTo>
                <a:lnTo>
                  <a:pt x="723392" y="304800"/>
                </a:lnTo>
                <a:lnTo>
                  <a:pt x="723392" y="0"/>
                </a:lnTo>
                <a:close/>
              </a:path>
              <a:path w="2121535" h="304800">
                <a:moveTo>
                  <a:pt x="747776" y="0"/>
                </a:moveTo>
                <a:lnTo>
                  <a:pt x="731520" y="0"/>
                </a:lnTo>
                <a:lnTo>
                  <a:pt x="731520" y="304800"/>
                </a:lnTo>
                <a:lnTo>
                  <a:pt x="747776" y="304800"/>
                </a:lnTo>
                <a:lnTo>
                  <a:pt x="747776" y="0"/>
                </a:lnTo>
                <a:close/>
              </a:path>
              <a:path w="2121535" h="304800">
                <a:moveTo>
                  <a:pt x="788416" y="0"/>
                </a:moveTo>
                <a:lnTo>
                  <a:pt x="764032" y="0"/>
                </a:lnTo>
                <a:lnTo>
                  <a:pt x="764032" y="304800"/>
                </a:lnTo>
                <a:lnTo>
                  <a:pt x="788416" y="304800"/>
                </a:lnTo>
                <a:lnTo>
                  <a:pt x="788416" y="0"/>
                </a:lnTo>
                <a:close/>
              </a:path>
              <a:path w="2121535" h="304800">
                <a:moveTo>
                  <a:pt x="812800" y="0"/>
                </a:moveTo>
                <a:lnTo>
                  <a:pt x="804672" y="0"/>
                </a:lnTo>
                <a:lnTo>
                  <a:pt x="804672" y="304800"/>
                </a:lnTo>
                <a:lnTo>
                  <a:pt x="812800" y="304800"/>
                </a:lnTo>
                <a:lnTo>
                  <a:pt x="812800" y="0"/>
                </a:lnTo>
                <a:close/>
              </a:path>
              <a:path w="2121535" h="304800">
                <a:moveTo>
                  <a:pt x="837184" y="0"/>
                </a:moveTo>
                <a:lnTo>
                  <a:pt x="829056" y="0"/>
                </a:lnTo>
                <a:lnTo>
                  <a:pt x="829056" y="304800"/>
                </a:lnTo>
                <a:lnTo>
                  <a:pt x="837184" y="304800"/>
                </a:lnTo>
                <a:lnTo>
                  <a:pt x="837184" y="0"/>
                </a:lnTo>
                <a:close/>
              </a:path>
              <a:path w="2121535" h="304800">
                <a:moveTo>
                  <a:pt x="885952" y="0"/>
                </a:moveTo>
                <a:lnTo>
                  <a:pt x="869696" y="0"/>
                </a:lnTo>
                <a:lnTo>
                  <a:pt x="869696" y="304800"/>
                </a:lnTo>
                <a:lnTo>
                  <a:pt x="885952" y="304800"/>
                </a:lnTo>
                <a:lnTo>
                  <a:pt x="885952" y="0"/>
                </a:lnTo>
                <a:close/>
              </a:path>
              <a:path w="2121535" h="304800">
                <a:moveTo>
                  <a:pt x="902208" y="0"/>
                </a:moveTo>
                <a:lnTo>
                  <a:pt x="894080" y="0"/>
                </a:lnTo>
                <a:lnTo>
                  <a:pt x="894080" y="304800"/>
                </a:lnTo>
                <a:lnTo>
                  <a:pt x="902208" y="304800"/>
                </a:lnTo>
                <a:lnTo>
                  <a:pt x="902208" y="0"/>
                </a:lnTo>
                <a:close/>
              </a:path>
              <a:path w="2121535" h="304800">
                <a:moveTo>
                  <a:pt x="942848" y="0"/>
                </a:moveTo>
                <a:lnTo>
                  <a:pt x="910336" y="0"/>
                </a:lnTo>
                <a:lnTo>
                  <a:pt x="910336" y="304800"/>
                </a:lnTo>
                <a:lnTo>
                  <a:pt x="942848" y="304800"/>
                </a:lnTo>
                <a:lnTo>
                  <a:pt x="942848" y="0"/>
                </a:lnTo>
                <a:close/>
              </a:path>
              <a:path w="2121535" h="304800">
                <a:moveTo>
                  <a:pt x="975360" y="0"/>
                </a:moveTo>
                <a:lnTo>
                  <a:pt x="950976" y="0"/>
                </a:lnTo>
                <a:lnTo>
                  <a:pt x="950976" y="304800"/>
                </a:lnTo>
                <a:lnTo>
                  <a:pt x="975360" y="304800"/>
                </a:lnTo>
                <a:lnTo>
                  <a:pt x="975360" y="0"/>
                </a:lnTo>
                <a:close/>
              </a:path>
              <a:path w="2121535" h="304800">
                <a:moveTo>
                  <a:pt x="991616" y="0"/>
                </a:moveTo>
                <a:lnTo>
                  <a:pt x="983488" y="0"/>
                </a:lnTo>
                <a:lnTo>
                  <a:pt x="983488" y="304800"/>
                </a:lnTo>
                <a:lnTo>
                  <a:pt x="991616" y="304800"/>
                </a:lnTo>
                <a:lnTo>
                  <a:pt x="991616" y="0"/>
                </a:lnTo>
                <a:close/>
              </a:path>
              <a:path w="2121535" h="304800">
                <a:moveTo>
                  <a:pt x="1032256" y="0"/>
                </a:moveTo>
                <a:lnTo>
                  <a:pt x="1016000" y="0"/>
                </a:lnTo>
                <a:lnTo>
                  <a:pt x="1016000" y="304800"/>
                </a:lnTo>
                <a:lnTo>
                  <a:pt x="1032256" y="304800"/>
                </a:lnTo>
                <a:lnTo>
                  <a:pt x="1032256" y="0"/>
                </a:lnTo>
                <a:close/>
              </a:path>
              <a:path w="2121535" h="304800">
                <a:moveTo>
                  <a:pt x="1064768" y="0"/>
                </a:moveTo>
                <a:lnTo>
                  <a:pt x="1056640" y="0"/>
                </a:lnTo>
                <a:lnTo>
                  <a:pt x="1056640" y="304800"/>
                </a:lnTo>
                <a:lnTo>
                  <a:pt x="1064768" y="304800"/>
                </a:lnTo>
                <a:lnTo>
                  <a:pt x="1064768" y="0"/>
                </a:lnTo>
                <a:close/>
              </a:path>
              <a:path w="2121535" h="304800">
                <a:moveTo>
                  <a:pt x="1081024" y="0"/>
                </a:moveTo>
                <a:lnTo>
                  <a:pt x="1072896" y="0"/>
                </a:lnTo>
                <a:lnTo>
                  <a:pt x="1072896" y="304800"/>
                </a:lnTo>
                <a:lnTo>
                  <a:pt x="1081024" y="304800"/>
                </a:lnTo>
                <a:lnTo>
                  <a:pt x="1081024" y="0"/>
                </a:lnTo>
                <a:close/>
              </a:path>
              <a:path w="2121535" h="304800">
                <a:moveTo>
                  <a:pt x="1113536" y="0"/>
                </a:moveTo>
                <a:lnTo>
                  <a:pt x="1089152" y="0"/>
                </a:lnTo>
                <a:lnTo>
                  <a:pt x="1089152" y="304800"/>
                </a:lnTo>
                <a:lnTo>
                  <a:pt x="1113536" y="304800"/>
                </a:lnTo>
                <a:lnTo>
                  <a:pt x="1113536" y="0"/>
                </a:lnTo>
                <a:close/>
              </a:path>
              <a:path w="2121535" h="304800">
                <a:moveTo>
                  <a:pt x="1137920" y="0"/>
                </a:moveTo>
                <a:lnTo>
                  <a:pt x="1121664" y="0"/>
                </a:lnTo>
                <a:lnTo>
                  <a:pt x="1121664" y="304800"/>
                </a:lnTo>
                <a:lnTo>
                  <a:pt x="1137920" y="304800"/>
                </a:lnTo>
                <a:lnTo>
                  <a:pt x="1137920" y="0"/>
                </a:lnTo>
                <a:close/>
              </a:path>
              <a:path w="2121535" h="304800">
                <a:moveTo>
                  <a:pt x="1170432" y="0"/>
                </a:moveTo>
                <a:lnTo>
                  <a:pt x="1162304" y="0"/>
                </a:lnTo>
                <a:lnTo>
                  <a:pt x="1162304" y="304800"/>
                </a:lnTo>
                <a:lnTo>
                  <a:pt x="1170432" y="304800"/>
                </a:lnTo>
                <a:lnTo>
                  <a:pt x="1170432" y="0"/>
                </a:lnTo>
                <a:close/>
              </a:path>
              <a:path w="2121535" h="304800">
                <a:moveTo>
                  <a:pt x="1202944" y="0"/>
                </a:moveTo>
                <a:lnTo>
                  <a:pt x="1194816" y="0"/>
                </a:lnTo>
                <a:lnTo>
                  <a:pt x="1194816" y="304800"/>
                </a:lnTo>
                <a:lnTo>
                  <a:pt x="1202944" y="304800"/>
                </a:lnTo>
                <a:lnTo>
                  <a:pt x="1202944" y="0"/>
                </a:lnTo>
                <a:close/>
              </a:path>
              <a:path w="2121535" h="304800">
                <a:moveTo>
                  <a:pt x="1243584" y="0"/>
                </a:moveTo>
                <a:lnTo>
                  <a:pt x="1227328" y="0"/>
                </a:lnTo>
                <a:lnTo>
                  <a:pt x="1227328" y="304800"/>
                </a:lnTo>
                <a:lnTo>
                  <a:pt x="1243584" y="304800"/>
                </a:lnTo>
                <a:lnTo>
                  <a:pt x="1243584" y="0"/>
                </a:lnTo>
                <a:close/>
              </a:path>
              <a:path w="2121535" h="304800">
                <a:moveTo>
                  <a:pt x="1267968" y="0"/>
                </a:moveTo>
                <a:lnTo>
                  <a:pt x="1251712" y="0"/>
                </a:lnTo>
                <a:lnTo>
                  <a:pt x="1251712" y="304800"/>
                </a:lnTo>
                <a:lnTo>
                  <a:pt x="1267968" y="304800"/>
                </a:lnTo>
                <a:lnTo>
                  <a:pt x="1267968" y="0"/>
                </a:lnTo>
                <a:close/>
              </a:path>
              <a:path w="2121535" h="304800">
                <a:moveTo>
                  <a:pt x="1300480" y="0"/>
                </a:moveTo>
                <a:lnTo>
                  <a:pt x="1276096" y="0"/>
                </a:lnTo>
                <a:lnTo>
                  <a:pt x="1276096" y="304800"/>
                </a:lnTo>
                <a:lnTo>
                  <a:pt x="1300480" y="304800"/>
                </a:lnTo>
                <a:lnTo>
                  <a:pt x="1300480" y="0"/>
                </a:lnTo>
                <a:close/>
              </a:path>
              <a:path w="2121535" h="304800">
                <a:moveTo>
                  <a:pt x="1332992" y="0"/>
                </a:moveTo>
                <a:lnTo>
                  <a:pt x="1324864" y="0"/>
                </a:lnTo>
                <a:lnTo>
                  <a:pt x="1324864" y="304800"/>
                </a:lnTo>
                <a:lnTo>
                  <a:pt x="1332992" y="304800"/>
                </a:lnTo>
                <a:lnTo>
                  <a:pt x="1332992" y="0"/>
                </a:lnTo>
                <a:close/>
              </a:path>
              <a:path w="2121535" h="304800">
                <a:moveTo>
                  <a:pt x="1349248" y="0"/>
                </a:moveTo>
                <a:lnTo>
                  <a:pt x="1341120" y="0"/>
                </a:lnTo>
                <a:lnTo>
                  <a:pt x="1341120" y="304800"/>
                </a:lnTo>
                <a:lnTo>
                  <a:pt x="1349248" y="304800"/>
                </a:lnTo>
                <a:lnTo>
                  <a:pt x="1349248" y="0"/>
                </a:lnTo>
                <a:close/>
              </a:path>
              <a:path w="2121535" h="304800">
                <a:moveTo>
                  <a:pt x="1381760" y="0"/>
                </a:moveTo>
                <a:lnTo>
                  <a:pt x="1373632" y="0"/>
                </a:lnTo>
                <a:lnTo>
                  <a:pt x="1373632" y="304800"/>
                </a:lnTo>
                <a:lnTo>
                  <a:pt x="1381760" y="304800"/>
                </a:lnTo>
                <a:lnTo>
                  <a:pt x="1381760" y="0"/>
                </a:lnTo>
                <a:close/>
              </a:path>
              <a:path w="2121535" h="304800">
                <a:moveTo>
                  <a:pt x="1422400" y="0"/>
                </a:moveTo>
                <a:lnTo>
                  <a:pt x="1406144" y="0"/>
                </a:lnTo>
                <a:lnTo>
                  <a:pt x="1406144" y="304800"/>
                </a:lnTo>
                <a:lnTo>
                  <a:pt x="1422400" y="304800"/>
                </a:lnTo>
                <a:lnTo>
                  <a:pt x="1422400" y="0"/>
                </a:lnTo>
                <a:close/>
              </a:path>
              <a:path w="2121535" h="304800">
                <a:moveTo>
                  <a:pt x="1438656" y="0"/>
                </a:moveTo>
                <a:lnTo>
                  <a:pt x="1430528" y="0"/>
                </a:lnTo>
                <a:lnTo>
                  <a:pt x="1430528" y="304800"/>
                </a:lnTo>
                <a:lnTo>
                  <a:pt x="1438656" y="304800"/>
                </a:lnTo>
                <a:lnTo>
                  <a:pt x="1438656" y="0"/>
                </a:lnTo>
                <a:close/>
              </a:path>
              <a:path w="2121535" h="304800">
                <a:moveTo>
                  <a:pt x="1471168" y="0"/>
                </a:moveTo>
                <a:lnTo>
                  <a:pt x="1446784" y="0"/>
                </a:lnTo>
                <a:lnTo>
                  <a:pt x="1446784" y="304800"/>
                </a:lnTo>
                <a:lnTo>
                  <a:pt x="1471168" y="304800"/>
                </a:lnTo>
                <a:lnTo>
                  <a:pt x="1471168" y="0"/>
                </a:lnTo>
                <a:close/>
              </a:path>
              <a:path w="2121535" h="304800">
                <a:moveTo>
                  <a:pt x="1511808" y="0"/>
                </a:moveTo>
                <a:lnTo>
                  <a:pt x="1479296" y="0"/>
                </a:lnTo>
                <a:lnTo>
                  <a:pt x="1479296" y="304800"/>
                </a:lnTo>
                <a:lnTo>
                  <a:pt x="1511808" y="304800"/>
                </a:lnTo>
                <a:lnTo>
                  <a:pt x="1511808" y="0"/>
                </a:lnTo>
                <a:close/>
              </a:path>
              <a:path w="2121535" h="304800">
                <a:moveTo>
                  <a:pt x="1536192" y="0"/>
                </a:moveTo>
                <a:lnTo>
                  <a:pt x="1519936" y="0"/>
                </a:lnTo>
                <a:lnTo>
                  <a:pt x="1519936" y="304800"/>
                </a:lnTo>
                <a:lnTo>
                  <a:pt x="1536192" y="304800"/>
                </a:lnTo>
                <a:lnTo>
                  <a:pt x="1536192" y="0"/>
                </a:lnTo>
                <a:close/>
              </a:path>
              <a:path w="2121535" h="304800">
                <a:moveTo>
                  <a:pt x="1560576" y="0"/>
                </a:moveTo>
                <a:lnTo>
                  <a:pt x="1544320" y="0"/>
                </a:lnTo>
                <a:lnTo>
                  <a:pt x="1544320" y="304800"/>
                </a:lnTo>
                <a:lnTo>
                  <a:pt x="1560576" y="304800"/>
                </a:lnTo>
                <a:lnTo>
                  <a:pt x="1560576" y="0"/>
                </a:lnTo>
                <a:close/>
              </a:path>
              <a:path w="2121535" h="304800">
                <a:moveTo>
                  <a:pt x="1593088" y="0"/>
                </a:moveTo>
                <a:lnTo>
                  <a:pt x="1576832" y="0"/>
                </a:lnTo>
                <a:lnTo>
                  <a:pt x="1576832" y="304800"/>
                </a:lnTo>
                <a:lnTo>
                  <a:pt x="1593088" y="304800"/>
                </a:lnTo>
                <a:lnTo>
                  <a:pt x="1593088" y="0"/>
                </a:lnTo>
                <a:close/>
              </a:path>
              <a:path w="2121535" h="304800">
                <a:moveTo>
                  <a:pt x="1625600" y="0"/>
                </a:moveTo>
                <a:lnTo>
                  <a:pt x="1609344" y="0"/>
                </a:lnTo>
                <a:lnTo>
                  <a:pt x="1609344" y="304800"/>
                </a:lnTo>
                <a:lnTo>
                  <a:pt x="1625600" y="304800"/>
                </a:lnTo>
                <a:lnTo>
                  <a:pt x="1625600" y="0"/>
                </a:lnTo>
                <a:close/>
              </a:path>
              <a:path w="2121535" h="304800">
                <a:moveTo>
                  <a:pt x="1649984" y="0"/>
                </a:moveTo>
                <a:lnTo>
                  <a:pt x="1633728" y="0"/>
                </a:lnTo>
                <a:lnTo>
                  <a:pt x="1633728" y="304800"/>
                </a:lnTo>
                <a:lnTo>
                  <a:pt x="1649984" y="304800"/>
                </a:lnTo>
                <a:lnTo>
                  <a:pt x="1649984" y="0"/>
                </a:lnTo>
                <a:close/>
              </a:path>
              <a:path w="2121535" h="304800">
                <a:moveTo>
                  <a:pt x="1682496" y="0"/>
                </a:moveTo>
                <a:lnTo>
                  <a:pt x="1666240" y="0"/>
                </a:lnTo>
                <a:lnTo>
                  <a:pt x="1666240" y="304800"/>
                </a:lnTo>
                <a:lnTo>
                  <a:pt x="1682496" y="304800"/>
                </a:lnTo>
                <a:lnTo>
                  <a:pt x="1682496" y="0"/>
                </a:lnTo>
                <a:close/>
              </a:path>
              <a:path w="2121535" h="304800">
                <a:moveTo>
                  <a:pt x="1715008" y="0"/>
                </a:moveTo>
                <a:lnTo>
                  <a:pt x="1698752" y="0"/>
                </a:lnTo>
                <a:lnTo>
                  <a:pt x="1698752" y="304800"/>
                </a:lnTo>
                <a:lnTo>
                  <a:pt x="1715008" y="304800"/>
                </a:lnTo>
                <a:lnTo>
                  <a:pt x="1715008" y="0"/>
                </a:lnTo>
                <a:close/>
              </a:path>
              <a:path w="2121535" h="304800">
                <a:moveTo>
                  <a:pt x="1747520" y="0"/>
                </a:moveTo>
                <a:lnTo>
                  <a:pt x="1731264" y="0"/>
                </a:lnTo>
                <a:lnTo>
                  <a:pt x="1731264" y="304800"/>
                </a:lnTo>
                <a:lnTo>
                  <a:pt x="1747520" y="304800"/>
                </a:lnTo>
                <a:lnTo>
                  <a:pt x="1747520" y="0"/>
                </a:lnTo>
                <a:close/>
              </a:path>
              <a:path w="2121535" h="304800">
                <a:moveTo>
                  <a:pt x="1771904" y="0"/>
                </a:moveTo>
                <a:lnTo>
                  <a:pt x="1755648" y="0"/>
                </a:lnTo>
                <a:lnTo>
                  <a:pt x="1755648" y="304800"/>
                </a:lnTo>
                <a:lnTo>
                  <a:pt x="1771904" y="304800"/>
                </a:lnTo>
                <a:lnTo>
                  <a:pt x="1771904" y="0"/>
                </a:lnTo>
                <a:close/>
              </a:path>
              <a:path w="2121535" h="304800">
                <a:moveTo>
                  <a:pt x="1796288" y="0"/>
                </a:moveTo>
                <a:lnTo>
                  <a:pt x="1788160" y="0"/>
                </a:lnTo>
                <a:lnTo>
                  <a:pt x="1788160" y="304800"/>
                </a:lnTo>
                <a:lnTo>
                  <a:pt x="1796288" y="304800"/>
                </a:lnTo>
                <a:lnTo>
                  <a:pt x="1796288" y="0"/>
                </a:lnTo>
                <a:close/>
              </a:path>
              <a:path w="2121535" h="304800">
                <a:moveTo>
                  <a:pt x="1836928" y="0"/>
                </a:moveTo>
                <a:lnTo>
                  <a:pt x="1812544" y="0"/>
                </a:lnTo>
                <a:lnTo>
                  <a:pt x="1812544" y="304800"/>
                </a:lnTo>
                <a:lnTo>
                  <a:pt x="1836928" y="304800"/>
                </a:lnTo>
                <a:lnTo>
                  <a:pt x="1836928" y="0"/>
                </a:lnTo>
                <a:close/>
              </a:path>
              <a:path w="2121535" h="304800">
                <a:moveTo>
                  <a:pt x="1869440" y="0"/>
                </a:moveTo>
                <a:lnTo>
                  <a:pt x="1853184" y="0"/>
                </a:lnTo>
                <a:lnTo>
                  <a:pt x="1853184" y="304800"/>
                </a:lnTo>
                <a:lnTo>
                  <a:pt x="1869440" y="304800"/>
                </a:lnTo>
                <a:lnTo>
                  <a:pt x="1869440" y="0"/>
                </a:lnTo>
                <a:close/>
              </a:path>
              <a:path w="2121535" h="304800">
                <a:moveTo>
                  <a:pt x="1885696" y="0"/>
                </a:moveTo>
                <a:lnTo>
                  <a:pt x="1877568" y="0"/>
                </a:lnTo>
                <a:lnTo>
                  <a:pt x="1877568" y="304800"/>
                </a:lnTo>
                <a:lnTo>
                  <a:pt x="1885696" y="304800"/>
                </a:lnTo>
                <a:lnTo>
                  <a:pt x="1885696" y="0"/>
                </a:lnTo>
                <a:close/>
              </a:path>
              <a:path w="2121535" h="304800">
                <a:moveTo>
                  <a:pt x="1910080" y="0"/>
                </a:moveTo>
                <a:lnTo>
                  <a:pt x="1901952" y="0"/>
                </a:lnTo>
                <a:lnTo>
                  <a:pt x="1901952" y="304800"/>
                </a:lnTo>
                <a:lnTo>
                  <a:pt x="1910080" y="304800"/>
                </a:lnTo>
                <a:lnTo>
                  <a:pt x="1910080" y="0"/>
                </a:lnTo>
                <a:close/>
              </a:path>
              <a:path w="2121535" h="304800">
                <a:moveTo>
                  <a:pt x="1934464" y="0"/>
                </a:moveTo>
                <a:lnTo>
                  <a:pt x="1918208" y="0"/>
                </a:lnTo>
                <a:lnTo>
                  <a:pt x="1918208" y="304800"/>
                </a:lnTo>
                <a:lnTo>
                  <a:pt x="1934464" y="304800"/>
                </a:lnTo>
                <a:lnTo>
                  <a:pt x="1934464" y="0"/>
                </a:lnTo>
                <a:close/>
              </a:path>
              <a:path w="2121535" h="304800">
                <a:moveTo>
                  <a:pt x="1975104" y="0"/>
                </a:moveTo>
                <a:lnTo>
                  <a:pt x="1966976" y="0"/>
                </a:lnTo>
                <a:lnTo>
                  <a:pt x="1966976" y="304800"/>
                </a:lnTo>
                <a:lnTo>
                  <a:pt x="1975104" y="304800"/>
                </a:lnTo>
                <a:lnTo>
                  <a:pt x="1975104" y="0"/>
                </a:lnTo>
                <a:close/>
              </a:path>
              <a:path w="2121535" h="304800">
                <a:moveTo>
                  <a:pt x="1999488" y="0"/>
                </a:moveTo>
                <a:lnTo>
                  <a:pt x="1991360" y="0"/>
                </a:lnTo>
                <a:lnTo>
                  <a:pt x="1991360" y="304800"/>
                </a:lnTo>
                <a:lnTo>
                  <a:pt x="1999488" y="304800"/>
                </a:lnTo>
                <a:lnTo>
                  <a:pt x="1999488" y="0"/>
                </a:lnTo>
                <a:close/>
              </a:path>
              <a:path w="2121535" h="304800">
                <a:moveTo>
                  <a:pt x="2048256" y="0"/>
                </a:moveTo>
                <a:lnTo>
                  <a:pt x="2015744" y="0"/>
                </a:lnTo>
                <a:lnTo>
                  <a:pt x="2015744" y="304800"/>
                </a:lnTo>
                <a:lnTo>
                  <a:pt x="2048256" y="304800"/>
                </a:lnTo>
                <a:lnTo>
                  <a:pt x="2048256" y="0"/>
                </a:lnTo>
                <a:close/>
              </a:path>
              <a:path w="2121535" h="304800">
                <a:moveTo>
                  <a:pt x="2072640" y="0"/>
                </a:moveTo>
                <a:lnTo>
                  <a:pt x="2056384" y="0"/>
                </a:lnTo>
                <a:lnTo>
                  <a:pt x="2056384" y="304800"/>
                </a:lnTo>
                <a:lnTo>
                  <a:pt x="2072640" y="304800"/>
                </a:lnTo>
                <a:lnTo>
                  <a:pt x="2072640" y="0"/>
                </a:lnTo>
                <a:close/>
              </a:path>
              <a:path w="2121535" h="304800">
                <a:moveTo>
                  <a:pt x="2121408" y="0"/>
                </a:moveTo>
                <a:lnTo>
                  <a:pt x="2097024" y="0"/>
                </a:lnTo>
                <a:lnTo>
                  <a:pt x="2097024" y="304800"/>
                </a:lnTo>
                <a:lnTo>
                  <a:pt x="2121408" y="304800"/>
                </a:lnTo>
                <a:lnTo>
                  <a:pt x="212140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097024" y="0"/>
            <a:ext cx="65405" cy="304800"/>
          </a:xfrm>
          <a:custGeom>
            <a:avLst/>
            <a:gdLst/>
            <a:ahLst/>
            <a:cxnLst/>
            <a:rect l="0" t="0" r="0" b="0"/>
            <a:pathLst>
              <a:path w="65405" h="304800">
                <a:moveTo>
                  <a:pt x="24384" y="0"/>
                </a:moveTo>
                <a:lnTo>
                  <a:pt x="0" y="0"/>
                </a:lnTo>
                <a:lnTo>
                  <a:pt x="0" y="304800"/>
                </a:lnTo>
                <a:lnTo>
                  <a:pt x="24384" y="304800"/>
                </a:lnTo>
                <a:lnTo>
                  <a:pt x="24384" y="0"/>
                </a:lnTo>
                <a:close/>
              </a:path>
              <a:path w="65405" h="304800">
                <a:moveTo>
                  <a:pt x="40640" y="0"/>
                </a:moveTo>
                <a:lnTo>
                  <a:pt x="32512" y="0"/>
                </a:lnTo>
                <a:lnTo>
                  <a:pt x="32512" y="304800"/>
                </a:lnTo>
                <a:lnTo>
                  <a:pt x="40640" y="304800"/>
                </a:lnTo>
                <a:lnTo>
                  <a:pt x="40640" y="0"/>
                </a:lnTo>
                <a:close/>
              </a:path>
              <a:path w="65405" h="304800">
                <a:moveTo>
                  <a:pt x="65024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65024" y="304800"/>
                </a:lnTo>
                <a:lnTo>
                  <a:pt x="6502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20</xdr:col>
      <xdr:colOff>2379</xdr:colOff>
      <xdr:row>23</xdr:row>
      <xdr:rowOff>137337</xdr:rowOff>
    </xdr:from>
    <xdr:ext cx="120650" cy="15684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2697954" y="4404537"/>
          <a:ext cx="120650" cy="156845"/>
          <a:chOff x="0" y="0"/>
          <a:chExt cx="120650" cy="15684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31</xdr:col>
      <xdr:colOff>230735</xdr:colOff>
      <xdr:row>129</xdr:row>
      <xdr:rowOff>0</xdr:rowOff>
    </xdr:from>
    <xdr:ext cx="844469" cy="166743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4469" cy="166743"/>
        </a:xfrm>
        <a:prstGeom prst="rect">
          <a:avLst/>
        </a:prstGeom>
      </xdr:spPr>
    </xdr:pic>
    <xdr:clientData/>
  </xdr:oneCellAnchor>
  <xdr:oneCellAnchor>
    <xdr:from>
      <xdr:col>42</xdr:col>
      <xdr:colOff>57150</xdr:colOff>
      <xdr:row>31</xdr:row>
      <xdr:rowOff>137159</xdr:rowOff>
    </xdr:from>
    <xdr:ext cx="120650" cy="156845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181725" y="5775959"/>
          <a:ext cx="120650" cy="156845"/>
          <a:chOff x="0" y="0"/>
          <a:chExt cx="120650" cy="156845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42</xdr:col>
      <xdr:colOff>57150</xdr:colOff>
      <xdr:row>33</xdr:row>
      <xdr:rowOff>137160</xdr:rowOff>
    </xdr:from>
    <xdr:ext cx="120650" cy="156845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181725" y="6080760"/>
          <a:ext cx="120650" cy="156845"/>
          <a:chOff x="0" y="0"/>
          <a:chExt cx="120650" cy="156845"/>
        </a:xfrm>
      </xdr:grpSpPr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42</xdr:col>
      <xdr:colOff>57150</xdr:colOff>
      <xdr:row>36</xdr:row>
      <xdr:rowOff>137159</xdr:rowOff>
    </xdr:from>
    <xdr:ext cx="120650" cy="156845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6181725" y="6537959"/>
          <a:ext cx="120650" cy="156845"/>
          <a:chOff x="0" y="0"/>
          <a:chExt cx="120650" cy="156845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42</xdr:col>
      <xdr:colOff>57150</xdr:colOff>
      <xdr:row>41</xdr:row>
      <xdr:rowOff>138176</xdr:rowOff>
    </xdr:from>
    <xdr:ext cx="120650" cy="156845"/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6181725" y="7453376"/>
          <a:ext cx="120650" cy="156845"/>
          <a:chOff x="0" y="0"/>
          <a:chExt cx="120650" cy="156845"/>
        </a:xfrm>
      </xdr:grpSpPr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42</xdr:col>
      <xdr:colOff>57150</xdr:colOff>
      <xdr:row>44</xdr:row>
      <xdr:rowOff>138430</xdr:rowOff>
    </xdr:from>
    <xdr:ext cx="120650" cy="156845"/>
    <xdr:grpSp>
      <xdr:nvGrpSpPr>
        <xdr:cNvPr id="24" name="Group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6181725" y="7910830"/>
          <a:ext cx="120650" cy="156845"/>
          <a:chOff x="0" y="0"/>
          <a:chExt cx="120650" cy="156845"/>
        </a:xfrm>
      </xdr:grpSpPr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42</xdr:col>
      <xdr:colOff>57150</xdr:colOff>
      <xdr:row>50</xdr:row>
      <xdr:rowOff>138810</xdr:rowOff>
    </xdr:from>
    <xdr:ext cx="120650" cy="156845"/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6181725" y="8825610"/>
          <a:ext cx="120650" cy="156845"/>
          <a:chOff x="0" y="0"/>
          <a:chExt cx="120650" cy="156845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2</xdr:col>
      <xdr:colOff>56387</xdr:colOff>
      <xdr:row>59</xdr:row>
      <xdr:rowOff>104901</xdr:rowOff>
    </xdr:from>
    <xdr:ext cx="1446530" cy="1191260"/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513587" y="10115676"/>
          <a:ext cx="1446530" cy="1191260"/>
          <a:chOff x="0" y="0"/>
          <a:chExt cx="1446530" cy="1191260"/>
        </a:xfrm>
      </xdr:grpSpPr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3175" y="3175"/>
            <a:ext cx="1440180" cy="1188085"/>
          </a:xfrm>
          <a:custGeom>
            <a:avLst/>
            <a:gdLst/>
            <a:ahLst/>
            <a:cxnLst/>
            <a:rect l="0" t="0" r="0" b="0"/>
            <a:pathLst>
              <a:path w="1440180" h="1188085">
                <a:moveTo>
                  <a:pt x="0" y="0"/>
                </a:moveTo>
                <a:lnTo>
                  <a:pt x="1440053" y="0"/>
                </a:lnTo>
                <a:lnTo>
                  <a:pt x="1440053" y="1152017"/>
                </a:lnTo>
                <a:lnTo>
                  <a:pt x="0" y="1152017"/>
                </a:lnTo>
                <a:lnTo>
                  <a:pt x="0" y="0"/>
                </a:lnTo>
                <a:close/>
              </a:path>
              <a:path w="1440180" h="1188085">
                <a:moveTo>
                  <a:pt x="18034" y="237616"/>
                </a:moveTo>
                <a:lnTo>
                  <a:pt x="360045" y="237616"/>
                </a:lnTo>
              </a:path>
              <a:path w="1440180" h="1188085">
                <a:moveTo>
                  <a:pt x="503936" y="237616"/>
                </a:moveTo>
                <a:lnTo>
                  <a:pt x="575945" y="237616"/>
                </a:lnTo>
              </a:path>
              <a:path w="1440180" h="1188085">
                <a:moveTo>
                  <a:pt x="719963" y="237616"/>
                </a:moveTo>
                <a:lnTo>
                  <a:pt x="1422018" y="237616"/>
                </a:lnTo>
              </a:path>
              <a:path w="1440180" h="1188085">
                <a:moveTo>
                  <a:pt x="18034" y="460755"/>
                </a:moveTo>
                <a:lnTo>
                  <a:pt x="360045" y="460755"/>
                </a:lnTo>
              </a:path>
              <a:path w="1440180" h="1188085">
                <a:moveTo>
                  <a:pt x="503936" y="460755"/>
                </a:moveTo>
                <a:lnTo>
                  <a:pt x="575945" y="460755"/>
                </a:lnTo>
              </a:path>
              <a:path w="1440180" h="1188085">
                <a:moveTo>
                  <a:pt x="719963" y="460755"/>
                </a:moveTo>
                <a:lnTo>
                  <a:pt x="1422018" y="460755"/>
                </a:lnTo>
              </a:path>
              <a:path w="1440180" h="1188085">
                <a:moveTo>
                  <a:pt x="18034" y="683895"/>
                </a:moveTo>
                <a:lnTo>
                  <a:pt x="360045" y="683895"/>
                </a:lnTo>
              </a:path>
              <a:path w="1440180" h="1188085">
                <a:moveTo>
                  <a:pt x="503936" y="683895"/>
                </a:moveTo>
                <a:lnTo>
                  <a:pt x="575945" y="683895"/>
                </a:lnTo>
              </a:path>
              <a:path w="1440180" h="1188085">
                <a:moveTo>
                  <a:pt x="719963" y="683895"/>
                </a:moveTo>
                <a:lnTo>
                  <a:pt x="1422018" y="683895"/>
                </a:lnTo>
              </a:path>
              <a:path w="1440180" h="1188085">
                <a:moveTo>
                  <a:pt x="18034" y="907160"/>
                </a:moveTo>
                <a:lnTo>
                  <a:pt x="144017" y="907160"/>
                </a:lnTo>
              </a:path>
              <a:path w="1440180" h="1188085">
                <a:moveTo>
                  <a:pt x="288036" y="907160"/>
                </a:moveTo>
                <a:lnTo>
                  <a:pt x="360045" y="907160"/>
                </a:lnTo>
              </a:path>
              <a:path w="1440180" h="1188085">
                <a:moveTo>
                  <a:pt x="503936" y="907160"/>
                </a:moveTo>
                <a:lnTo>
                  <a:pt x="575945" y="907160"/>
                </a:lnTo>
              </a:path>
              <a:path w="1440180" h="1188085">
                <a:moveTo>
                  <a:pt x="719963" y="907160"/>
                </a:moveTo>
                <a:lnTo>
                  <a:pt x="791972" y="907160"/>
                </a:lnTo>
              </a:path>
              <a:path w="1440180" h="1188085">
                <a:moveTo>
                  <a:pt x="935990" y="907160"/>
                </a:moveTo>
                <a:lnTo>
                  <a:pt x="1224026" y="907160"/>
                </a:lnTo>
              </a:path>
              <a:path w="1440180" h="1188085">
                <a:moveTo>
                  <a:pt x="1296035" y="907160"/>
                </a:moveTo>
                <a:lnTo>
                  <a:pt x="1422018" y="907160"/>
                </a:lnTo>
              </a:path>
              <a:path w="1440180" h="1188085">
                <a:moveTo>
                  <a:pt x="216026" y="1152016"/>
                </a:moveTo>
                <a:lnTo>
                  <a:pt x="216026" y="1187957"/>
                </a:lnTo>
              </a:path>
              <a:path w="1440180" h="1188085">
                <a:moveTo>
                  <a:pt x="431926" y="1152016"/>
                </a:moveTo>
                <a:lnTo>
                  <a:pt x="431926" y="1187957"/>
                </a:lnTo>
              </a:path>
              <a:path w="1440180" h="1188085">
                <a:moveTo>
                  <a:pt x="647953" y="1152016"/>
                </a:moveTo>
                <a:lnTo>
                  <a:pt x="647953" y="1187957"/>
                </a:lnTo>
              </a:path>
              <a:path w="1440180" h="1188085">
                <a:moveTo>
                  <a:pt x="863981" y="1152016"/>
                </a:moveTo>
                <a:lnTo>
                  <a:pt x="863981" y="1187957"/>
                </a:lnTo>
              </a:path>
              <a:path w="1440180" h="1188085">
                <a:moveTo>
                  <a:pt x="1043939" y="1152016"/>
                </a:moveTo>
                <a:lnTo>
                  <a:pt x="1043939" y="1187957"/>
                </a:lnTo>
              </a:path>
              <a:path w="1440180" h="1188085">
                <a:moveTo>
                  <a:pt x="1296035" y="1152016"/>
                </a:moveTo>
                <a:lnTo>
                  <a:pt x="1296035" y="1187957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147193" y="704087"/>
            <a:ext cx="72390" cy="447675"/>
          </a:xfrm>
          <a:custGeom>
            <a:avLst/>
            <a:gdLst/>
            <a:ahLst/>
            <a:cxnLst/>
            <a:rect l="0" t="0" r="0" b="0"/>
            <a:pathLst>
              <a:path w="72390" h="447675">
                <a:moveTo>
                  <a:pt x="72009" y="0"/>
                </a:moveTo>
                <a:lnTo>
                  <a:pt x="0" y="0"/>
                </a:lnTo>
                <a:lnTo>
                  <a:pt x="0" y="447421"/>
                </a:lnTo>
                <a:lnTo>
                  <a:pt x="72009" y="447421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19202" y="704087"/>
            <a:ext cx="72390" cy="447675"/>
          </a:xfrm>
          <a:custGeom>
            <a:avLst/>
            <a:gdLst/>
            <a:ahLst/>
            <a:cxnLst/>
            <a:rect l="0" t="0" r="0" b="0"/>
            <a:pathLst>
              <a:path w="72390" h="447675">
                <a:moveTo>
                  <a:pt x="72009" y="0"/>
                </a:moveTo>
                <a:lnTo>
                  <a:pt x="0" y="0"/>
                </a:lnTo>
                <a:lnTo>
                  <a:pt x="0" y="447421"/>
                </a:lnTo>
                <a:lnTo>
                  <a:pt x="72009" y="447421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363220" y="165227"/>
            <a:ext cx="72390" cy="986790"/>
          </a:xfrm>
          <a:custGeom>
            <a:avLst/>
            <a:gdLst/>
            <a:ahLst/>
            <a:cxnLst/>
            <a:rect l="0" t="0" r="0" b="0"/>
            <a:pathLst>
              <a:path w="72390" h="986790">
                <a:moveTo>
                  <a:pt x="72009" y="0"/>
                </a:moveTo>
                <a:lnTo>
                  <a:pt x="0" y="0"/>
                </a:lnTo>
                <a:lnTo>
                  <a:pt x="0" y="986281"/>
                </a:lnTo>
                <a:lnTo>
                  <a:pt x="72009" y="986281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435101" y="165227"/>
            <a:ext cx="72390" cy="986790"/>
          </a:xfrm>
          <a:custGeom>
            <a:avLst/>
            <a:gdLst/>
            <a:ahLst/>
            <a:cxnLst/>
            <a:rect l="0" t="0" r="0" b="0"/>
            <a:pathLst>
              <a:path w="72390" h="986790">
                <a:moveTo>
                  <a:pt x="72009" y="0"/>
                </a:moveTo>
                <a:lnTo>
                  <a:pt x="0" y="0"/>
                </a:lnTo>
                <a:lnTo>
                  <a:pt x="0" y="986281"/>
                </a:lnTo>
                <a:lnTo>
                  <a:pt x="72009" y="986281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579119" y="6730"/>
            <a:ext cx="72390" cy="1144905"/>
          </a:xfrm>
          <a:custGeom>
            <a:avLst/>
            <a:gdLst/>
            <a:ahLst/>
            <a:cxnLst/>
            <a:rect l="0" t="0" r="0" b="0"/>
            <a:pathLst>
              <a:path w="72390" h="1144905">
                <a:moveTo>
                  <a:pt x="72009" y="0"/>
                </a:moveTo>
                <a:lnTo>
                  <a:pt x="0" y="0"/>
                </a:lnTo>
                <a:lnTo>
                  <a:pt x="0" y="1144777"/>
                </a:lnTo>
                <a:lnTo>
                  <a:pt x="72009" y="1144777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51129" y="6730"/>
            <a:ext cx="72390" cy="1144905"/>
          </a:xfrm>
          <a:custGeom>
            <a:avLst/>
            <a:gdLst/>
            <a:ahLst/>
            <a:cxnLst/>
            <a:rect l="0" t="0" r="0" b="0"/>
            <a:pathLst>
              <a:path w="72390" h="1144905">
                <a:moveTo>
                  <a:pt x="72009" y="0"/>
                </a:moveTo>
                <a:lnTo>
                  <a:pt x="0" y="0"/>
                </a:lnTo>
                <a:lnTo>
                  <a:pt x="0" y="1144777"/>
                </a:lnTo>
                <a:lnTo>
                  <a:pt x="72009" y="1144777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795147" y="703326"/>
            <a:ext cx="72390" cy="448309"/>
          </a:xfrm>
          <a:custGeom>
            <a:avLst/>
            <a:gdLst/>
            <a:ahLst/>
            <a:cxnLst/>
            <a:rect l="0" t="0" r="0" b="0"/>
            <a:pathLst>
              <a:path w="72390" h="448309">
                <a:moveTo>
                  <a:pt x="72009" y="0"/>
                </a:moveTo>
                <a:lnTo>
                  <a:pt x="0" y="0"/>
                </a:lnTo>
                <a:lnTo>
                  <a:pt x="0" y="448182"/>
                </a:lnTo>
                <a:lnTo>
                  <a:pt x="72009" y="448182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867155" y="703326"/>
            <a:ext cx="72390" cy="448309"/>
          </a:xfrm>
          <a:custGeom>
            <a:avLst/>
            <a:gdLst/>
            <a:ahLst/>
            <a:cxnLst/>
            <a:rect l="0" t="0" r="0" b="0"/>
            <a:pathLst>
              <a:path w="72390" h="448309">
                <a:moveTo>
                  <a:pt x="72009" y="0"/>
                </a:moveTo>
                <a:lnTo>
                  <a:pt x="0" y="0"/>
                </a:lnTo>
                <a:lnTo>
                  <a:pt x="0" y="448182"/>
                </a:lnTo>
                <a:lnTo>
                  <a:pt x="72009" y="448182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011174" y="1135761"/>
            <a:ext cx="72390" cy="15875"/>
          </a:xfrm>
          <a:custGeom>
            <a:avLst/>
            <a:gdLst/>
            <a:ahLst/>
            <a:cxnLst/>
            <a:rect l="0" t="0" r="0" b="0"/>
            <a:pathLst>
              <a:path w="72390" h="15875">
                <a:moveTo>
                  <a:pt x="72009" y="0"/>
                </a:moveTo>
                <a:lnTo>
                  <a:pt x="0" y="0"/>
                </a:lnTo>
                <a:lnTo>
                  <a:pt x="0" y="15748"/>
                </a:lnTo>
                <a:lnTo>
                  <a:pt x="72009" y="15748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1083183" y="1135761"/>
            <a:ext cx="72390" cy="15875"/>
          </a:xfrm>
          <a:custGeom>
            <a:avLst/>
            <a:gdLst/>
            <a:ahLst/>
            <a:cxnLst/>
            <a:rect l="0" t="0" r="0" b="0"/>
            <a:pathLst>
              <a:path w="72390" h="15875">
                <a:moveTo>
                  <a:pt x="72009" y="0"/>
                </a:moveTo>
                <a:lnTo>
                  <a:pt x="0" y="0"/>
                </a:lnTo>
                <a:lnTo>
                  <a:pt x="0" y="15748"/>
                </a:lnTo>
                <a:lnTo>
                  <a:pt x="72009" y="15748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227200" y="878966"/>
            <a:ext cx="72390" cy="273050"/>
          </a:xfrm>
          <a:custGeom>
            <a:avLst/>
            <a:gdLst/>
            <a:ahLst/>
            <a:cxnLst/>
            <a:rect l="0" t="0" r="0" b="0"/>
            <a:pathLst>
              <a:path w="72390" h="273050">
                <a:moveTo>
                  <a:pt x="72009" y="0"/>
                </a:moveTo>
                <a:lnTo>
                  <a:pt x="0" y="0"/>
                </a:lnTo>
                <a:lnTo>
                  <a:pt x="0" y="272542"/>
                </a:lnTo>
                <a:lnTo>
                  <a:pt x="72009" y="272542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299210" y="1151508"/>
            <a:ext cx="72390" cy="0"/>
          </a:xfrm>
          <a:custGeom>
            <a:avLst/>
            <a:gdLst/>
            <a:ahLst/>
            <a:cxnLst/>
            <a:rect l="0" t="0" r="0" b="0"/>
            <a:pathLst>
              <a:path w="72390">
                <a:moveTo>
                  <a:pt x="72008" y="0"/>
                </a:moveTo>
                <a:lnTo>
                  <a:pt x="0" y="0"/>
                </a:lnTo>
                <a:lnTo>
                  <a:pt x="72008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</xdr:grpSp>
    <xdr:clientData/>
  </xdr:oneCellAnchor>
  <xdr:oneCellAnchor>
    <xdr:from>
      <xdr:col>0</xdr:col>
      <xdr:colOff>32765</xdr:colOff>
      <xdr:row>64</xdr:row>
      <xdr:rowOff>68833</xdr:rowOff>
    </xdr:from>
    <xdr:ext cx="78740" cy="78740"/>
    <xdr:grpSp>
      <xdr:nvGrpSpPr>
        <xdr:cNvPr id="44" name="Group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32765" y="12260833"/>
          <a:ext cx="78740" cy="78740"/>
          <a:chOff x="0" y="0"/>
          <a:chExt cx="78740" cy="78740"/>
        </a:xfrm>
      </xdr:grpSpPr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72008" y="0"/>
                </a:moveTo>
                <a:lnTo>
                  <a:pt x="0" y="0"/>
                </a:lnTo>
                <a:lnTo>
                  <a:pt x="0" y="72008"/>
                </a:lnTo>
                <a:lnTo>
                  <a:pt x="72008" y="72008"/>
                </a:lnTo>
                <a:lnTo>
                  <a:pt x="72008" y="0"/>
                </a:lnTo>
                <a:close/>
              </a:path>
            </a:pathLst>
          </a:custGeom>
          <a:solidFill>
            <a:srgbClr val="435466"/>
          </a:solidFill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0" y="0"/>
                </a:moveTo>
                <a:lnTo>
                  <a:pt x="72008" y="0"/>
                </a:lnTo>
                <a:lnTo>
                  <a:pt x="72008" y="72008"/>
                </a:lnTo>
                <a:lnTo>
                  <a:pt x="0" y="7200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32765</xdr:colOff>
      <xdr:row>64</xdr:row>
      <xdr:rowOff>212852</xdr:rowOff>
    </xdr:from>
    <xdr:ext cx="78740" cy="78740"/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32765" y="12404852"/>
          <a:ext cx="78740" cy="78740"/>
          <a:chOff x="0" y="0"/>
          <a:chExt cx="78740" cy="78740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72008" y="0"/>
                </a:moveTo>
                <a:lnTo>
                  <a:pt x="0" y="0"/>
                </a:lnTo>
                <a:lnTo>
                  <a:pt x="0" y="72008"/>
                </a:lnTo>
                <a:lnTo>
                  <a:pt x="72008" y="72008"/>
                </a:lnTo>
                <a:lnTo>
                  <a:pt x="72008" y="0"/>
                </a:lnTo>
                <a:close/>
              </a:path>
            </a:pathLst>
          </a:custGeom>
          <a:solidFill>
            <a:srgbClr val="85AACD"/>
          </a:solidFill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0" y="0"/>
                </a:moveTo>
                <a:lnTo>
                  <a:pt x="72008" y="0"/>
                </a:lnTo>
                <a:lnTo>
                  <a:pt x="72008" y="72008"/>
                </a:lnTo>
                <a:lnTo>
                  <a:pt x="0" y="72008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95504</xdr:colOff>
      <xdr:row>79</xdr:row>
      <xdr:rowOff>0</xdr:rowOff>
    </xdr:from>
    <xdr:ext cx="3960495" cy="32512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3960495" cy="325120"/>
        </a:xfrm>
        <a:custGeom>
          <a:avLst/>
          <a:gdLst/>
          <a:ahLst/>
          <a:cxnLst/>
          <a:rect l="0" t="0" r="0" b="0"/>
          <a:pathLst>
            <a:path w="3960495" h="325120">
              <a:moveTo>
                <a:pt x="2375916" y="0"/>
              </a:moveTo>
              <a:lnTo>
                <a:pt x="1583944" y="0"/>
              </a:lnTo>
              <a:lnTo>
                <a:pt x="791972" y="0"/>
              </a:lnTo>
              <a:lnTo>
                <a:pt x="0" y="0"/>
              </a:lnTo>
              <a:lnTo>
                <a:pt x="0" y="144018"/>
              </a:lnTo>
              <a:lnTo>
                <a:pt x="0" y="181102"/>
              </a:lnTo>
              <a:lnTo>
                <a:pt x="0" y="325120"/>
              </a:lnTo>
              <a:lnTo>
                <a:pt x="791972" y="325120"/>
              </a:lnTo>
              <a:lnTo>
                <a:pt x="1583944" y="325120"/>
              </a:lnTo>
              <a:lnTo>
                <a:pt x="2375916" y="325120"/>
              </a:lnTo>
              <a:lnTo>
                <a:pt x="2375916" y="181102"/>
              </a:lnTo>
              <a:lnTo>
                <a:pt x="2375916" y="144018"/>
              </a:lnTo>
              <a:lnTo>
                <a:pt x="2375916" y="0"/>
              </a:lnTo>
              <a:close/>
            </a:path>
            <a:path w="3960495" h="325120">
              <a:moveTo>
                <a:pt x="3959987" y="0"/>
              </a:moveTo>
              <a:lnTo>
                <a:pt x="3168015" y="0"/>
              </a:lnTo>
              <a:lnTo>
                <a:pt x="2376043" y="0"/>
              </a:lnTo>
              <a:lnTo>
                <a:pt x="2376043" y="144018"/>
              </a:lnTo>
              <a:lnTo>
                <a:pt x="2376043" y="181102"/>
              </a:lnTo>
              <a:lnTo>
                <a:pt x="2376043" y="325120"/>
              </a:lnTo>
              <a:lnTo>
                <a:pt x="3168015" y="325120"/>
              </a:lnTo>
              <a:lnTo>
                <a:pt x="3959987" y="325120"/>
              </a:lnTo>
              <a:lnTo>
                <a:pt x="3959987" y="181102"/>
              </a:lnTo>
              <a:lnTo>
                <a:pt x="3959987" y="144018"/>
              </a:lnTo>
              <a:lnTo>
                <a:pt x="39599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37</xdr:col>
      <xdr:colOff>23495</xdr:colOff>
      <xdr:row>111</xdr:row>
      <xdr:rowOff>290194</xdr:rowOff>
    </xdr:from>
    <xdr:ext cx="719963" cy="719962"/>
    <xdr:pic>
      <xdr:nvPicPr>
        <xdr:cNvPr id="51" name="image3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9963" cy="71996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1993518</xdr:rowOff>
    </xdr:from>
    <xdr:ext cx="213995" cy="112522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213995" cy="1125220"/>
        </a:xfrm>
        <a:custGeom>
          <a:avLst/>
          <a:gdLst/>
          <a:ahLst/>
          <a:cxnLst/>
          <a:rect l="0" t="0" r="0" b="0"/>
          <a:pathLst>
            <a:path w="213995" h="1125220">
              <a:moveTo>
                <a:pt x="213372" y="1106424"/>
              </a:moveTo>
              <a:lnTo>
                <a:pt x="0" y="1106424"/>
              </a:lnTo>
              <a:lnTo>
                <a:pt x="0" y="1124712"/>
              </a:lnTo>
              <a:lnTo>
                <a:pt x="213372" y="1124712"/>
              </a:lnTo>
              <a:lnTo>
                <a:pt x="213372" y="1106424"/>
              </a:lnTo>
              <a:close/>
            </a:path>
            <a:path w="213995" h="1125220">
              <a:moveTo>
                <a:pt x="213372" y="1088136"/>
              </a:moveTo>
              <a:lnTo>
                <a:pt x="0" y="1088136"/>
              </a:lnTo>
              <a:lnTo>
                <a:pt x="0" y="1097280"/>
              </a:lnTo>
              <a:lnTo>
                <a:pt x="213372" y="1097280"/>
              </a:lnTo>
              <a:lnTo>
                <a:pt x="213372" y="1088136"/>
              </a:lnTo>
              <a:close/>
            </a:path>
            <a:path w="213995" h="1125220">
              <a:moveTo>
                <a:pt x="213372" y="1042416"/>
              </a:moveTo>
              <a:lnTo>
                <a:pt x="0" y="1042416"/>
              </a:lnTo>
              <a:lnTo>
                <a:pt x="0" y="1069848"/>
              </a:lnTo>
              <a:lnTo>
                <a:pt x="213372" y="1069848"/>
              </a:lnTo>
              <a:lnTo>
                <a:pt x="213372" y="1042416"/>
              </a:lnTo>
              <a:close/>
            </a:path>
            <a:path w="213995" h="1125220">
              <a:moveTo>
                <a:pt x="213372" y="996696"/>
              </a:moveTo>
              <a:lnTo>
                <a:pt x="0" y="996696"/>
              </a:lnTo>
              <a:lnTo>
                <a:pt x="0" y="1024128"/>
              </a:lnTo>
              <a:lnTo>
                <a:pt x="213372" y="1024128"/>
              </a:lnTo>
              <a:lnTo>
                <a:pt x="213372" y="996696"/>
              </a:lnTo>
              <a:close/>
            </a:path>
            <a:path w="213995" h="1125220">
              <a:moveTo>
                <a:pt x="213372" y="978408"/>
              </a:moveTo>
              <a:lnTo>
                <a:pt x="0" y="978408"/>
              </a:lnTo>
              <a:lnTo>
                <a:pt x="0" y="987552"/>
              </a:lnTo>
              <a:lnTo>
                <a:pt x="213372" y="987552"/>
              </a:lnTo>
              <a:lnTo>
                <a:pt x="213372" y="978408"/>
              </a:lnTo>
              <a:close/>
            </a:path>
            <a:path w="213995" h="1125220">
              <a:moveTo>
                <a:pt x="213372" y="932688"/>
              </a:moveTo>
              <a:lnTo>
                <a:pt x="0" y="932688"/>
              </a:lnTo>
              <a:lnTo>
                <a:pt x="0" y="950976"/>
              </a:lnTo>
              <a:lnTo>
                <a:pt x="213372" y="950976"/>
              </a:lnTo>
              <a:lnTo>
                <a:pt x="213372" y="932688"/>
              </a:lnTo>
              <a:close/>
            </a:path>
            <a:path w="213995" h="1125220">
              <a:moveTo>
                <a:pt x="213372" y="886968"/>
              </a:moveTo>
              <a:lnTo>
                <a:pt x="0" y="886968"/>
              </a:lnTo>
              <a:lnTo>
                <a:pt x="0" y="923544"/>
              </a:lnTo>
              <a:lnTo>
                <a:pt x="213372" y="923544"/>
              </a:lnTo>
              <a:lnTo>
                <a:pt x="213372" y="886968"/>
              </a:lnTo>
              <a:close/>
            </a:path>
            <a:path w="213995" h="1125220">
              <a:moveTo>
                <a:pt x="213372" y="868680"/>
              </a:moveTo>
              <a:lnTo>
                <a:pt x="0" y="868680"/>
              </a:lnTo>
              <a:lnTo>
                <a:pt x="0" y="877824"/>
              </a:lnTo>
              <a:lnTo>
                <a:pt x="213372" y="877824"/>
              </a:lnTo>
              <a:lnTo>
                <a:pt x="213372" y="868680"/>
              </a:lnTo>
              <a:close/>
            </a:path>
            <a:path w="213995" h="1125220">
              <a:moveTo>
                <a:pt x="213372" y="841248"/>
              </a:moveTo>
              <a:lnTo>
                <a:pt x="0" y="841248"/>
              </a:lnTo>
              <a:lnTo>
                <a:pt x="0" y="850392"/>
              </a:lnTo>
              <a:lnTo>
                <a:pt x="213372" y="850392"/>
              </a:lnTo>
              <a:lnTo>
                <a:pt x="213372" y="841248"/>
              </a:lnTo>
              <a:close/>
            </a:path>
            <a:path w="213995" h="1125220">
              <a:moveTo>
                <a:pt x="213372" y="813816"/>
              </a:moveTo>
              <a:lnTo>
                <a:pt x="0" y="813816"/>
              </a:lnTo>
              <a:lnTo>
                <a:pt x="0" y="822960"/>
              </a:lnTo>
              <a:lnTo>
                <a:pt x="213372" y="822960"/>
              </a:lnTo>
              <a:lnTo>
                <a:pt x="213372" y="813816"/>
              </a:lnTo>
              <a:close/>
            </a:path>
            <a:path w="213995" h="1125220">
              <a:moveTo>
                <a:pt x="213372" y="758952"/>
              </a:moveTo>
              <a:lnTo>
                <a:pt x="0" y="758952"/>
              </a:lnTo>
              <a:lnTo>
                <a:pt x="0" y="795528"/>
              </a:lnTo>
              <a:lnTo>
                <a:pt x="213372" y="795528"/>
              </a:lnTo>
              <a:lnTo>
                <a:pt x="213372" y="758952"/>
              </a:lnTo>
              <a:close/>
            </a:path>
            <a:path w="213995" h="1125220">
              <a:moveTo>
                <a:pt x="213372" y="731520"/>
              </a:moveTo>
              <a:lnTo>
                <a:pt x="0" y="731520"/>
              </a:lnTo>
              <a:lnTo>
                <a:pt x="0" y="740664"/>
              </a:lnTo>
              <a:lnTo>
                <a:pt x="213372" y="740664"/>
              </a:lnTo>
              <a:lnTo>
                <a:pt x="213372" y="731520"/>
              </a:lnTo>
              <a:close/>
            </a:path>
            <a:path w="213995" h="1125220">
              <a:moveTo>
                <a:pt x="213372" y="704088"/>
              </a:moveTo>
              <a:lnTo>
                <a:pt x="0" y="704088"/>
              </a:lnTo>
              <a:lnTo>
                <a:pt x="0" y="722376"/>
              </a:lnTo>
              <a:lnTo>
                <a:pt x="213372" y="722376"/>
              </a:lnTo>
              <a:lnTo>
                <a:pt x="213372" y="704088"/>
              </a:lnTo>
              <a:close/>
            </a:path>
            <a:path w="213995" h="1125220">
              <a:moveTo>
                <a:pt x="213372" y="676656"/>
              </a:moveTo>
              <a:lnTo>
                <a:pt x="0" y="676656"/>
              </a:lnTo>
              <a:lnTo>
                <a:pt x="0" y="685800"/>
              </a:lnTo>
              <a:lnTo>
                <a:pt x="213372" y="685800"/>
              </a:lnTo>
              <a:lnTo>
                <a:pt x="213372" y="676656"/>
              </a:lnTo>
              <a:close/>
            </a:path>
            <a:path w="213995" h="1125220">
              <a:moveTo>
                <a:pt x="213372" y="640080"/>
              </a:moveTo>
              <a:lnTo>
                <a:pt x="0" y="640080"/>
              </a:lnTo>
              <a:lnTo>
                <a:pt x="0" y="649224"/>
              </a:lnTo>
              <a:lnTo>
                <a:pt x="213372" y="649224"/>
              </a:lnTo>
              <a:lnTo>
                <a:pt x="213372" y="640080"/>
              </a:lnTo>
              <a:close/>
            </a:path>
            <a:path w="213995" h="1125220">
              <a:moveTo>
                <a:pt x="213372" y="603504"/>
              </a:moveTo>
              <a:lnTo>
                <a:pt x="0" y="603504"/>
              </a:lnTo>
              <a:lnTo>
                <a:pt x="0" y="621792"/>
              </a:lnTo>
              <a:lnTo>
                <a:pt x="213372" y="621792"/>
              </a:lnTo>
              <a:lnTo>
                <a:pt x="213372" y="603504"/>
              </a:lnTo>
              <a:close/>
            </a:path>
            <a:path w="213995" h="1125220">
              <a:moveTo>
                <a:pt x="213372" y="576072"/>
              </a:moveTo>
              <a:lnTo>
                <a:pt x="0" y="576072"/>
              </a:lnTo>
              <a:lnTo>
                <a:pt x="0" y="594360"/>
              </a:lnTo>
              <a:lnTo>
                <a:pt x="213372" y="594360"/>
              </a:lnTo>
              <a:lnTo>
                <a:pt x="213372" y="576072"/>
              </a:lnTo>
              <a:close/>
            </a:path>
            <a:path w="213995" h="1125220">
              <a:moveTo>
                <a:pt x="213372" y="539496"/>
              </a:moveTo>
              <a:lnTo>
                <a:pt x="0" y="539496"/>
              </a:lnTo>
              <a:lnTo>
                <a:pt x="0" y="557784"/>
              </a:lnTo>
              <a:lnTo>
                <a:pt x="213372" y="557784"/>
              </a:lnTo>
              <a:lnTo>
                <a:pt x="213372" y="539496"/>
              </a:lnTo>
              <a:close/>
            </a:path>
            <a:path w="213995" h="1125220">
              <a:moveTo>
                <a:pt x="213372" y="512064"/>
              </a:moveTo>
              <a:lnTo>
                <a:pt x="0" y="512064"/>
              </a:lnTo>
              <a:lnTo>
                <a:pt x="0" y="521208"/>
              </a:lnTo>
              <a:lnTo>
                <a:pt x="213372" y="521208"/>
              </a:lnTo>
              <a:lnTo>
                <a:pt x="213372" y="512064"/>
              </a:lnTo>
              <a:close/>
            </a:path>
            <a:path w="213995" h="1125220">
              <a:moveTo>
                <a:pt x="213372" y="484632"/>
              </a:moveTo>
              <a:lnTo>
                <a:pt x="0" y="484632"/>
              </a:lnTo>
              <a:lnTo>
                <a:pt x="0" y="493776"/>
              </a:lnTo>
              <a:lnTo>
                <a:pt x="213372" y="493776"/>
              </a:lnTo>
              <a:lnTo>
                <a:pt x="213372" y="484632"/>
              </a:lnTo>
              <a:close/>
            </a:path>
            <a:path w="213995" h="1125220">
              <a:moveTo>
                <a:pt x="213372" y="438912"/>
              </a:moveTo>
              <a:lnTo>
                <a:pt x="0" y="438912"/>
              </a:lnTo>
              <a:lnTo>
                <a:pt x="0" y="457200"/>
              </a:lnTo>
              <a:lnTo>
                <a:pt x="213372" y="457200"/>
              </a:lnTo>
              <a:lnTo>
                <a:pt x="213372" y="438912"/>
              </a:lnTo>
              <a:close/>
            </a:path>
            <a:path w="213995" h="1125220">
              <a:moveTo>
                <a:pt x="213372" y="411480"/>
              </a:moveTo>
              <a:lnTo>
                <a:pt x="0" y="411480"/>
              </a:lnTo>
              <a:lnTo>
                <a:pt x="0" y="420624"/>
              </a:lnTo>
              <a:lnTo>
                <a:pt x="213372" y="420624"/>
              </a:lnTo>
              <a:lnTo>
                <a:pt x="213372" y="411480"/>
              </a:lnTo>
              <a:close/>
            </a:path>
            <a:path w="213995" h="1125220">
              <a:moveTo>
                <a:pt x="213372" y="384048"/>
              </a:moveTo>
              <a:lnTo>
                <a:pt x="0" y="384048"/>
              </a:lnTo>
              <a:lnTo>
                <a:pt x="0" y="402336"/>
              </a:lnTo>
              <a:lnTo>
                <a:pt x="213372" y="402336"/>
              </a:lnTo>
              <a:lnTo>
                <a:pt x="213372" y="384048"/>
              </a:lnTo>
              <a:close/>
            </a:path>
            <a:path w="213995" h="1125220">
              <a:moveTo>
                <a:pt x="213372" y="338328"/>
              </a:moveTo>
              <a:lnTo>
                <a:pt x="0" y="338328"/>
              </a:lnTo>
              <a:lnTo>
                <a:pt x="0" y="365760"/>
              </a:lnTo>
              <a:lnTo>
                <a:pt x="213372" y="365760"/>
              </a:lnTo>
              <a:lnTo>
                <a:pt x="213372" y="338328"/>
              </a:lnTo>
              <a:close/>
            </a:path>
            <a:path w="213995" h="1125220">
              <a:moveTo>
                <a:pt x="213372" y="310896"/>
              </a:moveTo>
              <a:lnTo>
                <a:pt x="0" y="310896"/>
              </a:lnTo>
              <a:lnTo>
                <a:pt x="0" y="320040"/>
              </a:lnTo>
              <a:lnTo>
                <a:pt x="213372" y="320040"/>
              </a:lnTo>
              <a:lnTo>
                <a:pt x="213372" y="310896"/>
              </a:lnTo>
              <a:close/>
            </a:path>
            <a:path w="213995" h="1125220">
              <a:moveTo>
                <a:pt x="213372" y="283464"/>
              </a:moveTo>
              <a:lnTo>
                <a:pt x="0" y="283464"/>
              </a:lnTo>
              <a:lnTo>
                <a:pt x="0" y="292608"/>
              </a:lnTo>
              <a:lnTo>
                <a:pt x="213372" y="292608"/>
              </a:lnTo>
              <a:lnTo>
                <a:pt x="213372" y="283464"/>
              </a:lnTo>
              <a:close/>
            </a:path>
            <a:path w="213995" h="1125220">
              <a:moveTo>
                <a:pt x="213372" y="228600"/>
              </a:moveTo>
              <a:lnTo>
                <a:pt x="0" y="228600"/>
              </a:lnTo>
              <a:lnTo>
                <a:pt x="0" y="246888"/>
              </a:lnTo>
              <a:lnTo>
                <a:pt x="213372" y="246888"/>
              </a:lnTo>
              <a:lnTo>
                <a:pt x="213372" y="228600"/>
              </a:lnTo>
              <a:close/>
            </a:path>
            <a:path w="213995" h="1125220">
              <a:moveTo>
                <a:pt x="213372" y="192024"/>
              </a:moveTo>
              <a:lnTo>
                <a:pt x="0" y="192024"/>
              </a:lnTo>
              <a:lnTo>
                <a:pt x="0" y="219456"/>
              </a:lnTo>
              <a:lnTo>
                <a:pt x="213372" y="219456"/>
              </a:lnTo>
              <a:lnTo>
                <a:pt x="213372" y="192024"/>
              </a:lnTo>
              <a:close/>
            </a:path>
            <a:path w="213995" h="1125220">
              <a:moveTo>
                <a:pt x="213372" y="164592"/>
              </a:moveTo>
              <a:lnTo>
                <a:pt x="0" y="164592"/>
              </a:lnTo>
              <a:lnTo>
                <a:pt x="0" y="182880"/>
              </a:lnTo>
              <a:lnTo>
                <a:pt x="213372" y="182880"/>
              </a:lnTo>
              <a:lnTo>
                <a:pt x="213372" y="164592"/>
              </a:lnTo>
              <a:close/>
            </a:path>
            <a:path w="213995" h="1125220">
              <a:moveTo>
                <a:pt x="213372" y="137160"/>
              </a:moveTo>
              <a:lnTo>
                <a:pt x="0" y="137160"/>
              </a:lnTo>
              <a:lnTo>
                <a:pt x="0" y="146304"/>
              </a:lnTo>
              <a:lnTo>
                <a:pt x="213372" y="146304"/>
              </a:lnTo>
              <a:lnTo>
                <a:pt x="213372" y="137160"/>
              </a:lnTo>
              <a:close/>
            </a:path>
            <a:path w="213995" h="1125220">
              <a:moveTo>
                <a:pt x="213372" y="100584"/>
              </a:moveTo>
              <a:lnTo>
                <a:pt x="0" y="100584"/>
              </a:lnTo>
              <a:lnTo>
                <a:pt x="0" y="118872"/>
              </a:lnTo>
              <a:lnTo>
                <a:pt x="213372" y="118872"/>
              </a:lnTo>
              <a:lnTo>
                <a:pt x="213372" y="100584"/>
              </a:lnTo>
              <a:close/>
            </a:path>
            <a:path w="213995" h="1125220">
              <a:moveTo>
                <a:pt x="213372" y="45720"/>
              </a:moveTo>
              <a:lnTo>
                <a:pt x="0" y="45720"/>
              </a:lnTo>
              <a:lnTo>
                <a:pt x="0" y="73152"/>
              </a:lnTo>
              <a:lnTo>
                <a:pt x="213372" y="73152"/>
              </a:lnTo>
              <a:lnTo>
                <a:pt x="213372" y="45720"/>
              </a:lnTo>
              <a:close/>
            </a:path>
            <a:path w="213995" h="1125220">
              <a:moveTo>
                <a:pt x="213372" y="27432"/>
              </a:moveTo>
              <a:lnTo>
                <a:pt x="0" y="27432"/>
              </a:lnTo>
              <a:lnTo>
                <a:pt x="0" y="36576"/>
              </a:lnTo>
              <a:lnTo>
                <a:pt x="213372" y="36576"/>
              </a:lnTo>
              <a:lnTo>
                <a:pt x="213372" y="27432"/>
              </a:lnTo>
              <a:close/>
            </a:path>
            <a:path w="213995" h="1125220">
              <a:moveTo>
                <a:pt x="213372" y="0"/>
              </a:moveTo>
              <a:lnTo>
                <a:pt x="0" y="0"/>
              </a:lnTo>
              <a:lnTo>
                <a:pt x="0" y="18288"/>
              </a:lnTo>
              <a:lnTo>
                <a:pt x="213372" y="18288"/>
              </a:lnTo>
              <a:lnTo>
                <a:pt x="2133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116585</xdr:colOff>
      <xdr:row>84</xdr:row>
      <xdr:rowOff>55752</xdr:rowOff>
    </xdr:from>
    <xdr:ext cx="2162175" cy="304800"/>
    <xdr:grpSp>
      <xdr:nvGrpSpPr>
        <xdr:cNvPr id="53" name="Group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4821935" y="17781777"/>
          <a:ext cx="2162175" cy="304800"/>
          <a:chOff x="0" y="0"/>
          <a:chExt cx="2162175" cy="304800"/>
        </a:xfrm>
      </xdr:grpSpPr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0" y="0"/>
            <a:ext cx="2121535" cy="304800"/>
          </a:xfrm>
          <a:custGeom>
            <a:avLst/>
            <a:gdLst/>
            <a:ahLst/>
            <a:cxnLst/>
            <a:rect l="0" t="0" r="0" b="0"/>
            <a:pathLst>
              <a:path w="2121535" h="304800">
                <a:moveTo>
                  <a:pt x="16256" y="0"/>
                </a:moveTo>
                <a:lnTo>
                  <a:pt x="0" y="0"/>
                </a:lnTo>
                <a:lnTo>
                  <a:pt x="0" y="304800"/>
                </a:lnTo>
                <a:lnTo>
                  <a:pt x="16256" y="304800"/>
                </a:lnTo>
                <a:lnTo>
                  <a:pt x="16256" y="0"/>
                </a:lnTo>
                <a:close/>
              </a:path>
              <a:path w="2121535" h="304800">
                <a:moveTo>
                  <a:pt x="32512" y="0"/>
                </a:moveTo>
                <a:lnTo>
                  <a:pt x="24384" y="0"/>
                </a:lnTo>
                <a:lnTo>
                  <a:pt x="24384" y="304800"/>
                </a:lnTo>
                <a:lnTo>
                  <a:pt x="32512" y="304800"/>
                </a:lnTo>
                <a:lnTo>
                  <a:pt x="32512" y="0"/>
                </a:lnTo>
                <a:close/>
              </a:path>
              <a:path w="2121535" h="304800">
                <a:moveTo>
                  <a:pt x="73152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73152" y="304800"/>
                </a:lnTo>
                <a:lnTo>
                  <a:pt x="73152" y="0"/>
                </a:lnTo>
                <a:close/>
              </a:path>
              <a:path w="2121535" h="304800">
                <a:moveTo>
                  <a:pt x="105664" y="0"/>
                </a:moveTo>
                <a:lnTo>
                  <a:pt x="89408" y="0"/>
                </a:lnTo>
                <a:lnTo>
                  <a:pt x="89408" y="304800"/>
                </a:lnTo>
                <a:lnTo>
                  <a:pt x="105664" y="304800"/>
                </a:lnTo>
                <a:lnTo>
                  <a:pt x="105664" y="0"/>
                </a:lnTo>
                <a:close/>
              </a:path>
              <a:path w="2121535" h="304800">
                <a:moveTo>
                  <a:pt x="130048" y="0"/>
                </a:moveTo>
                <a:lnTo>
                  <a:pt x="121920" y="0"/>
                </a:lnTo>
                <a:lnTo>
                  <a:pt x="121920" y="304800"/>
                </a:lnTo>
                <a:lnTo>
                  <a:pt x="130048" y="304800"/>
                </a:lnTo>
                <a:lnTo>
                  <a:pt x="130048" y="0"/>
                </a:lnTo>
                <a:close/>
              </a:path>
              <a:path w="2121535" h="304800">
                <a:moveTo>
                  <a:pt x="170688" y="0"/>
                </a:moveTo>
                <a:lnTo>
                  <a:pt x="146304" y="0"/>
                </a:lnTo>
                <a:lnTo>
                  <a:pt x="146304" y="304800"/>
                </a:lnTo>
                <a:lnTo>
                  <a:pt x="170688" y="304800"/>
                </a:lnTo>
                <a:lnTo>
                  <a:pt x="170688" y="0"/>
                </a:lnTo>
                <a:close/>
              </a:path>
              <a:path w="2121535" h="304800">
                <a:moveTo>
                  <a:pt x="203200" y="0"/>
                </a:moveTo>
                <a:lnTo>
                  <a:pt x="178816" y="0"/>
                </a:lnTo>
                <a:lnTo>
                  <a:pt x="178816" y="304800"/>
                </a:lnTo>
                <a:lnTo>
                  <a:pt x="203200" y="304800"/>
                </a:lnTo>
                <a:lnTo>
                  <a:pt x="203200" y="0"/>
                </a:lnTo>
                <a:close/>
              </a:path>
              <a:path w="2121535" h="304800">
                <a:moveTo>
                  <a:pt x="227584" y="0"/>
                </a:moveTo>
                <a:lnTo>
                  <a:pt x="219456" y="0"/>
                </a:lnTo>
                <a:lnTo>
                  <a:pt x="219456" y="304800"/>
                </a:lnTo>
                <a:lnTo>
                  <a:pt x="227584" y="304800"/>
                </a:lnTo>
                <a:lnTo>
                  <a:pt x="227584" y="0"/>
                </a:lnTo>
                <a:close/>
              </a:path>
              <a:path w="2121535" h="304800">
                <a:moveTo>
                  <a:pt x="251968" y="0"/>
                </a:moveTo>
                <a:lnTo>
                  <a:pt x="235712" y="0"/>
                </a:lnTo>
                <a:lnTo>
                  <a:pt x="235712" y="304800"/>
                </a:lnTo>
                <a:lnTo>
                  <a:pt x="251968" y="304800"/>
                </a:lnTo>
                <a:lnTo>
                  <a:pt x="251968" y="0"/>
                </a:lnTo>
                <a:close/>
              </a:path>
              <a:path w="2121535" h="304800">
                <a:moveTo>
                  <a:pt x="276352" y="0"/>
                </a:moveTo>
                <a:lnTo>
                  <a:pt x="268224" y="0"/>
                </a:lnTo>
                <a:lnTo>
                  <a:pt x="268224" y="304800"/>
                </a:lnTo>
                <a:lnTo>
                  <a:pt x="276352" y="304800"/>
                </a:lnTo>
                <a:lnTo>
                  <a:pt x="276352" y="0"/>
                </a:lnTo>
                <a:close/>
              </a:path>
              <a:path w="2121535" h="304800">
                <a:moveTo>
                  <a:pt x="300736" y="0"/>
                </a:moveTo>
                <a:lnTo>
                  <a:pt x="292608" y="0"/>
                </a:lnTo>
                <a:lnTo>
                  <a:pt x="292608" y="304800"/>
                </a:lnTo>
                <a:lnTo>
                  <a:pt x="300736" y="304800"/>
                </a:lnTo>
                <a:lnTo>
                  <a:pt x="300736" y="0"/>
                </a:lnTo>
                <a:close/>
              </a:path>
              <a:path w="2121535" h="304800">
                <a:moveTo>
                  <a:pt x="341376" y="0"/>
                </a:moveTo>
                <a:lnTo>
                  <a:pt x="325120" y="0"/>
                </a:lnTo>
                <a:lnTo>
                  <a:pt x="325120" y="304800"/>
                </a:lnTo>
                <a:lnTo>
                  <a:pt x="341376" y="304800"/>
                </a:lnTo>
                <a:lnTo>
                  <a:pt x="341376" y="0"/>
                </a:lnTo>
                <a:close/>
              </a:path>
              <a:path w="2121535" h="304800">
                <a:moveTo>
                  <a:pt x="382016" y="0"/>
                </a:moveTo>
                <a:lnTo>
                  <a:pt x="357632" y="0"/>
                </a:lnTo>
                <a:lnTo>
                  <a:pt x="357632" y="304800"/>
                </a:lnTo>
                <a:lnTo>
                  <a:pt x="382016" y="304800"/>
                </a:lnTo>
                <a:lnTo>
                  <a:pt x="382016" y="0"/>
                </a:lnTo>
                <a:close/>
              </a:path>
              <a:path w="2121535" h="304800">
                <a:moveTo>
                  <a:pt x="406400" y="0"/>
                </a:moveTo>
                <a:lnTo>
                  <a:pt x="398272" y="0"/>
                </a:lnTo>
                <a:lnTo>
                  <a:pt x="398272" y="304800"/>
                </a:lnTo>
                <a:lnTo>
                  <a:pt x="406400" y="304800"/>
                </a:lnTo>
                <a:lnTo>
                  <a:pt x="406400" y="0"/>
                </a:lnTo>
                <a:close/>
              </a:path>
              <a:path w="2121535" h="304800">
                <a:moveTo>
                  <a:pt x="430784" y="0"/>
                </a:moveTo>
                <a:lnTo>
                  <a:pt x="414528" y="0"/>
                </a:lnTo>
                <a:lnTo>
                  <a:pt x="414528" y="304800"/>
                </a:lnTo>
                <a:lnTo>
                  <a:pt x="430784" y="304800"/>
                </a:lnTo>
                <a:lnTo>
                  <a:pt x="430784" y="0"/>
                </a:lnTo>
                <a:close/>
              </a:path>
              <a:path w="2121535" h="304800">
                <a:moveTo>
                  <a:pt x="471424" y="0"/>
                </a:moveTo>
                <a:lnTo>
                  <a:pt x="447040" y="0"/>
                </a:lnTo>
                <a:lnTo>
                  <a:pt x="447040" y="304800"/>
                </a:lnTo>
                <a:lnTo>
                  <a:pt x="471424" y="304800"/>
                </a:lnTo>
                <a:lnTo>
                  <a:pt x="471424" y="0"/>
                </a:lnTo>
                <a:close/>
              </a:path>
              <a:path w="2121535" h="304800">
                <a:moveTo>
                  <a:pt x="487680" y="0"/>
                </a:moveTo>
                <a:lnTo>
                  <a:pt x="479552" y="0"/>
                </a:lnTo>
                <a:lnTo>
                  <a:pt x="479552" y="304800"/>
                </a:lnTo>
                <a:lnTo>
                  <a:pt x="487680" y="304800"/>
                </a:lnTo>
                <a:lnTo>
                  <a:pt x="487680" y="0"/>
                </a:lnTo>
                <a:close/>
              </a:path>
              <a:path w="2121535" h="304800">
                <a:moveTo>
                  <a:pt x="528320" y="0"/>
                </a:moveTo>
                <a:lnTo>
                  <a:pt x="512064" y="0"/>
                </a:lnTo>
                <a:lnTo>
                  <a:pt x="512064" y="304800"/>
                </a:lnTo>
                <a:lnTo>
                  <a:pt x="528320" y="304800"/>
                </a:lnTo>
                <a:lnTo>
                  <a:pt x="528320" y="0"/>
                </a:lnTo>
                <a:close/>
              </a:path>
              <a:path w="2121535" h="304800">
                <a:moveTo>
                  <a:pt x="544576" y="0"/>
                </a:moveTo>
                <a:lnTo>
                  <a:pt x="536448" y="0"/>
                </a:lnTo>
                <a:lnTo>
                  <a:pt x="536448" y="304800"/>
                </a:lnTo>
                <a:lnTo>
                  <a:pt x="544576" y="304800"/>
                </a:lnTo>
                <a:lnTo>
                  <a:pt x="544576" y="0"/>
                </a:lnTo>
                <a:close/>
              </a:path>
              <a:path w="2121535" h="304800">
                <a:moveTo>
                  <a:pt x="560832" y="0"/>
                </a:moveTo>
                <a:lnTo>
                  <a:pt x="552704" y="0"/>
                </a:lnTo>
                <a:lnTo>
                  <a:pt x="552704" y="304800"/>
                </a:lnTo>
                <a:lnTo>
                  <a:pt x="560832" y="304800"/>
                </a:lnTo>
                <a:lnTo>
                  <a:pt x="560832" y="0"/>
                </a:lnTo>
                <a:close/>
              </a:path>
              <a:path w="2121535" h="304800">
                <a:moveTo>
                  <a:pt x="609600" y="0"/>
                </a:moveTo>
                <a:lnTo>
                  <a:pt x="577088" y="0"/>
                </a:lnTo>
                <a:lnTo>
                  <a:pt x="577088" y="304800"/>
                </a:lnTo>
                <a:lnTo>
                  <a:pt x="609600" y="304800"/>
                </a:lnTo>
                <a:lnTo>
                  <a:pt x="609600" y="0"/>
                </a:lnTo>
                <a:close/>
              </a:path>
              <a:path w="2121535" h="304800">
                <a:moveTo>
                  <a:pt x="633984" y="0"/>
                </a:moveTo>
                <a:lnTo>
                  <a:pt x="625856" y="0"/>
                </a:lnTo>
                <a:lnTo>
                  <a:pt x="625856" y="304800"/>
                </a:lnTo>
                <a:lnTo>
                  <a:pt x="633984" y="304800"/>
                </a:lnTo>
                <a:lnTo>
                  <a:pt x="633984" y="0"/>
                </a:lnTo>
                <a:close/>
              </a:path>
              <a:path w="2121535" h="304800">
                <a:moveTo>
                  <a:pt x="658368" y="0"/>
                </a:moveTo>
                <a:lnTo>
                  <a:pt x="650240" y="0"/>
                </a:lnTo>
                <a:lnTo>
                  <a:pt x="650240" y="304800"/>
                </a:lnTo>
                <a:lnTo>
                  <a:pt x="658368" y="304800"/>
                </a:lnTo>
                <a:lnTo>
                  <a:pt x="658368" y="0"/>
                </a:lnTo>
                <a:close/>
              </a:path>
              <a:path w="2121535" h="304800">
                <a:moveTo>
                  <a:pt x="699008" y="0"/>
                </a:moveTo>
                <a:lnTo>
                  <a:pt x="682752" y="0"/>
                </a:lnTo>
                <a:lnTo>
                  <a:pt x="682752" y="304800"/>
                </a:lnTo>
                <a:lnTo>
                  <a:pt x="699008" y="304800"/>
                </a:lnTo>
                <a:lnTo>
                  <a:pt x="699008" y="0"/>
                </a:lnTo>
                <a:close/>
              </a:path>
              <a:path w="2121535" h="304800">
                <a:moveTo>
                  <a:pt x="723392" y="0"/>
                </a:moveTo>
                <a:lnTo>
                  <a:pt x="715264" y="0"/>
                </a:lnTo>
                <a:lnTo>
                  <a:pt x="715264" y="304800"/>
                </a:lnTo>
                <a:lnTo>
                  <a:pt x="723392" y="304800"/>
                </a:lnTo>
                <a:lnTo>
                  <a:pt x="723392" y="0"/>
                </a:lnTo>
                <a:close/>
              </a:path>
              <a:path w="2121535" h="304800">
                <a:moveTo>
                  <a:pt x="747776" y="0"/>
                </a:moveTo>
                <a:lnTo>
                  <a:pt x="731520" y="0"/>
                </a:lnTo>
                <a:lnTo>
                  <a:pt x="731520" y="304800"/>
                </a:lnTo>
                <a:lnTo>
                  <a:pt x="747776" y="304800"/>
                </a:lnTo>
                <a:lnTo>
                  <a:pt x="747776" y="0"/>
                </a:lnTo>
                <a:close/>
              </a:path>
              <a:path w="2121535" h="304800">
                <a:moveTo>
                  <a:pt x="788416" y="0"/>
                </a:moveTo>
                <a:lnTo>
                  <a:pt x="764032" y="0"/>
                </a:lnTo>
                <a:lnTo>
                  <a:pt x="764032" y="304800"/>
                </a:lnTo>
                <a:lnTo>
                  <a:pt x="788416" y="304800"/>
                </a:lnTo>
                <a:lnTo>
                  <a:pt x="788416" y="0"/>
                </a:lnTo>
                <a:close/>
              </a:path>
              <a:path w="2121535" h="304800">
                <a:moveTo>
                  <a:pt x="812800" y="0"/>
                </a:moveTo>
                <a:lnTo>
                  <a:pt x="804672" y="0"/>
                </a:lnTo>
                <a:lnTo>
                  <a:pt x="804672" y="304800"/>
                </a:lnTo>
                <a:lnTo>
                  <a:pt x="812800" y="304800"/>
                </a:lnTo>
                <a:lnTo>
                  <a:pt x="812800" y="0"/>
                </a:lnTo>
                <a:close/>
              </a:path>
              <a:path w="2121535" h="304800">
                <a:moveTo>
                  <a:pt x="837184" y="0"/>
                </a:moveTo>
                <a:lnTo>
                  <a:pt x="829056" y="0"/>
                </a:lnTo>
                <a:lnTo>
                  <a:pt x="829056" y="304800"/>
                </a:lnTo>
                <a:lnTo>
                  <a:pt x="837184" y="304800"/>
                </a:lnTo>
                <a:lnTo>
                  <a:pt x="837184" y="0"/>
                </a:lnTo>
                <a:close/>
              </a:path>
              <a:path w="2121535" h="304800">
                <a:moveTo>
                  <a:pt x="885952" y="0"/>
                </a:moveTo>
                <a:lnTo>
                  <a:pt x="869696" y="0"/>
                </a:lnTo>
                <a:lnTo>
                  <a:pt x="869696" y="304800"/>
                </a:lnTo>
                <a:lnTo>
                  <a:pt x="885952" y="304800"/>
                </a:lnTo>
                <a:lnTo>
                  <a:pt x="885952" y="0"/>
                </a:lnTo>
                <a:close/>
              </a:path>
              <a:path w="2121535" h="304800">
                <a:moveTo>
                  <a:pt x="902208" y="0"/>
                </a:moveTo>
                <a:lnTo>
                  <a:pt x="894080" y="0"/>
                </a:lnTo>
                <a:lnTo>
                  <a:pt x="894080" y="304800"/>
                </a:lnTo>
                <a:lnTo>
                  <a:pt x="902208" y="304800"/>
                </a:lnTo>
                <a:lnTo>
                  <a:pt x="902208" y="0"/>
                </a:lnTo>
                <a:close/>
              </a:path>
              <a:path w="2121535" h="304800">
                <a:moveTo>
                  <a:pt x="942848" y="0"/>
                </a:moveTo>
                <a:lnTo>
                  <a:pt x="910336" y="0"/>
                </a:lnTo>
                <a:lnTo>
                  <a:pt x="910336" y="304800"/>
                </a:lnTo>
                <a:lnTo>
                  <a:pt x="942848" y="304800"/>
                </a:lnTo>
                <a:lnTo>
                  <a:pt x="942848" y="0"/>
                </a:lnTo>
                <a:close/>
              </a:path>
              <a:path w="2121535" h="304800">
                <a:moveTo>
                  <a:pt x="975360" y="0"/>
                </a:moveTo>
                <a:lnTo>
                  <a:pt x="950976" y="0"/>
                </a:lnTo>
                <a:lnTo>
                  <a:pt x="950976" y="304800"/>
                </a:lnTo>
                <a:lnTo>
                  <a:pt x="975360" y="304800"/>
                </a:lnTo>
                <a:lnTo>
                  <a:pt x="975360" y="0"/>
                </a:lnTo>
                <a:close/>
              </a:path>
              <a:path w="2121535" h="304800">
                <a:moveTo>
                  <a:pt x="991616" y="0"/>
                </a:moveTo>
                <a:lnTo>
                  <a:pt x="983488" y="0"/>
                </a:lnTo>
                <a:lnTo>
                  <a:pt x="983488" y="304800"/>
                </a:lnTo>
                <a:lnTo>
                  <a:pt x="991616" y="304800"/>
                </a:lnTo>
                <a:lnTo>
                  <a:pt x="991616" y="0"/>
                </a:lnTo>
                <a:close/>
              </a:path>
              <a:path w="2121535" h="304800">
                <a:moveTo>
                  <a:pt x="1032256" y="0"/>
                </a:moveTo>
                <a:lnTo>
                  <a:pt x="1016000" y="0"/>
                </a:lnTo>
                <a:lnTo>
                  <a:pt x="1016000" y="304800"/>
                </a:lnTo>
                <a:lnTo>
                  <a:pt x="1032256" y="304800"/>
                </a:lnTo>
                <a:lnTo>
                  <a:pt x="1032256" y="0"/>
                </a:lnTo>
                <a:close/>
              </a:path>
              <a:path w="2121535" h="304800">
                <a:moveTo>
                  <a:pt x="1064768" y="0"/>
                </a:moveTo>
                <a:lnTo>
                  <a:pt x="1056640" y="0"/>
                </a:lnTo>
                <a:lnTo>
                  <a:pt x="1056640" y="304800"/>
                </a:lnTo>
                <a:lnTo>
                  <a:pt x="1064768" y="304800"/>
                </a:lnTo>
                <a:lnTo>
                  <a:pt x="1064768" y="0"/>
                </a:lnTo>
                <a:close/>
              </a:path>
              <a:path w="2121535" h="304800">
                <a:moveTo>
                  <a:pt x="1081024" y="0"/>
                </a:moveTo>
                <a:lnTo>
                  <a:pt x="1072896" y="0"/>
                </a:lnTo>
                <a:lnTo>
                  <a:pt x="1072896" y="304800"/>
                </a:lnTo>
                <a:lnTo>
                  <a:pt x="1081024" y="304800"/>
                </a:lnTo>
                <a:lnTo>
                  <a:pt x="1081024" y="0"/>
                </a:lnTo>
                <a:close/>
              </a:path>
              <a:path w="2121535" h="304800">
                <a:moveTo>
                  <a:pt x="1113536" y="0"/>
                </a:moveTo>
                <a:lnTo>
                  <a:pt x="1089152" y="0"/>
                </a:lnTo>
                <a:lnTo>
                  <a:pt x="1089152" y="304800"/>
                </a:lnTo>
                <a:lnTo>
                  <a:pt x="1113536" y="304800"/>
                </a:lnTo>
                <a:lnTo>
                  <a:pt x="1113536" y="0"/>
                </a:lnTo>
                <a:close/>
              </a:path>
              <a:path w="2121535" h="304800">
                <a:moveTo>
                  <a:pt x="1137920" y="0"/>
                </a:moveTo>
                <a:lnTo>
                  <a:pt x="1121664" y="0"/>
                </a:lnTo>
                <a:lnTo>
                  <a:pt x="1121664" y="304800"/>
                </a:lnTo>
                <a:lnTo>
                  <a:pt x="1137920" y="304800"/>
                </a:lnTo>
                <a:lnTo>
                  <a:pt x="1137920" y="0"/>
                </a:lnTo>
                <a:close/>
              </a:path>
              <a:path w="2121535" h="304800">
                <a:moveTo>
                  <a:pt x="1170432" y="0"/>
                </a:moveTo>
                <a:lnTo>
                  <a:pt x="1162304" y="0"/>
                </a:lnTo>
                <a:lnTo>
                  <a:pt x="1162304" y="304800"/>
                </a:lnTo>
                <a:lnTo>
                  <a:pt x="1170432" y="304800"/>
                </a:lnTo>
                <a:lnTo>
                  <a:pt x="1170432" y="0"/>
                </a:lnTo>
                <a:close/>
              </a:path>
              <a:path w="2121535" h="304800">
                <a:moveTo>
                  <a:pt x="1202944" y="0"/>
                </a:moveTo>
                <a:lnTo>
                  <a:pt x="1194816" y="0"/>
                </a:lnTo>
                <a:lnTo>
                  <a:pt x="1194816" y="304800"/>
                </a:lnTo>
                <a:lnTo>
                  <a:pt x="1202944" y="304800"/>
                </a:lnTo>
                <a:lnTo>
                  <a:pt x="1202944" y="0"/>
                </a:lnTo>
                <a:close/>
              </a:path>
              <a:path w="2121535" h="304800">
                <a:moveTo>
                  <a:pt x="1243584" y="0"/>
                </a:moveTo>
                <a:lnTo>
                  <a:pt x="1227328" y="0"/>
                </a:lnTo>
                <a:lnTo>
                  <a:pt x="1227328" y="304800"/>
                </a:lnTo>
                <a:lnTo>
                  <a:pt x="1243584" y="304800"/>
                </a:lnTo>
                <a:lnTo>
                  <a:pt x="1243584" y="0"/>
                </a:lnTo>
                <a:close/>
              </a:path>
              <a:path w="2121535" h="304800">
                <a:moveTo>
                  <a:pt x="1267968" y="0"/>
                </a:moveTo>
                <a:lnTo>
                  <a:pt x="1251712" y="0"/>
                </a:lnTo>
                <a:lnTo>
                  <a:pt x="1251712" y="304800"/>
                </a:lnTo>
                <a:lnTo>
                  <a:pt x="1267968" y="304800"/>
                </a:lnTo>
                <a:lnTo>
                  <a:pt x="1267968" y="0"/>
                </a:lnTo>
                <a:close/>
              </a:path>
              <a:path w="2121535" h="304800">
                <a:moveTo>
                  <a:pt x="1300480" y="0"/>
                </a:moveTo>
                <a:lnTo>
                  <a:pt x="1276096" y="0"/>
                </a:lnTo>
                <a:lnTo>
                  <a:pt x="1276096" y="304800"/>
                </a:lnTo>
                <a:lnTo>
                  <a:pt x="1300480" y="304800"/>
                </a:lnTo>
                <a:lnTo>
                  <a:pt x="1300480" y="0"/>
                </a:lnTo>
                <a:close/>
              </a:path>
              <a:path w="2121535" h="304800">
                <a:moveTo>
                  <a:pt x="1332992" y="0"/>
                </a:moveTo>
                <a:lnTo>
                  <a:pt x="1324864" y="0"/>
                </a:lnTo>
                <a:lnTo>
                  <a:pt x="1324864" y="304800"/>
                </a:lnTo>
                <a:lnTo>
                  <a:pt x="1332992" y="304800"/>
                </a:lnTo>
                <a:lnTo>
                  <a:pt x="1332992" y="0"/>
                </a:lnTo>
                <a:close/>
              </a:path>
              <a:path w="2121535" h="304800">
                <a:moveTo>
                  <a:pt x="1349248" y="0"/>
                </a:moveTo>
                <a:lnTo>
                  <a:pt x="1341120" y="0"/>
                </a:lnTo>
                <a:lnTo>
                  <a:pt x="1341120" y="304800"/>
                </a:lnTo>
                <a:lnTo>
                  <a:pt x="1349248" y="304800"/>
                </a:lnTo>
                <a:lnTo>
                  <a:pt x="1349248" y="0"/>
                </a:lnTo>
                <a:close/>
              </a:path>
              <a:path w="2121535" h="304800">
                <a:moveTo>
                  <a:pt x="1381760" y="0"/>
                </a:moveTo>
                <a:lnTo>
                  <a:pt x="1373632" y="0"/>
                </a:lnTo>
                <a:lnTo>
                  <a:pt x="1373632" y="304800"/>
                </a:lnTo>
                <a:lnTo>
                  <a:pt x="1381760" y="304800"/>
                </a:lnTo>
                <a:lnTo>
                  <a:pt x="1381760" y="0"/>
                </a:lnTo>
                <a:close/>
              </a:path>
              <a:path w="2121535" h="304800">
                <a:moveTo>
                  <a:pt x="1422400" y="0"/>
                </a:moveTo>
                <a:lnTo>
                  <a:pt x="1406144" y="0"/>
                </a:lnTo>
                <a:lnTo>
                  <a:pt x="1406144" y="304800"/>
                </a:lnTo>
                <a:lnTo>
                  <a:pt x="1422400" y="304800"/>
                </a:lnTo>
                <a:lnTo>
                  <a:pt x="1422400" y="0"/>
                </a:lnTo>
                <a:close/>
              </a:path>
              <a:path w="2121535" h="304800">
                <a:moveTo>
                  <a:pt x="1438656" y="0"/>
                </a:moveTo>
                <a:lnTo>
                  <a:pt x="1430528" y="0"/>
                </a:lnTo>
                <a:lnTo>
                  <a:pt x="1430528" y="304800"/>
                </a:lnTo>
                <a:lnTo>
                  <a:pt x="1438656" y="304800"/>
                </a:lnTo>
                <a:lnTo>
                  <a:pt x="1438656" y="0"/>
                </a:lnTo>
                <a:close/>
              </a:path>
              <a:path w="2121535" h="304800">
                <a:moveTo>
                  <a:pt x="1471168" y="0"/>
                </a:moveTo>
                <a:lnTo>
                  <a:pt x="1446784" y="0"/>
                </a:lnTo>
                <a:lnTo>
                  <a:pt x="1446784" y="304800"/>
                </a:lnTo>
                <a:lnTo>
                  <a:pt x="1471168" y="304800"/>
                </a:lnTo>
                <a:lnTo>
                  <a:pt x="1471168" y="0"/>
                </a:lnTo>
                <a:close/>
              </a:path>
              <a:path w="2121535" h="304800">
                <a:moveTo>
                  <a:pt x="1511808" y="0"/>
                </a:moveTo>
                <a:lnTo>
                  <a:pt x="1479296" y="0"/>
                </a:lnTo>
                <a:lnTo>
                  <a:pt x="1479296" y="304800"/>
                </a:lnTo>
                <a:lnTo>
                  <a:pt x="1511808" y="304800"/>
                </a:lnTo>
                <a:lnTo>
                  <a:pt x="1511808" y="0"/>
                </a:lnTo>
                <a:close/>
              </a:path>
              <a:path w="2121535" h="304800">
                <a:moveTo>
                  <a:pt x="1536192" y="0"/>
                </a:moveTo>
                <a:lnTo>
                  <a:pt x="1519936" y="0"/>
                </a:lnTo>
                <a:lnTo>
                  <a:pt x="1519936" y="304800"/>
                </a:lnTo>
                <a:lnTo>
                  <a:pt x="1536192" y="304800"/>
                </a:lnTo>
                <a:lnTo>
                  <a:pt x="1536192" y="0"/>
                </a:lnTo>
                <a:close/>
              </a:path>
              <a:path w="2121535" h="304800">
                <a:moveTo>
                  <a:pt x="1560576" y="0"/>
                </a:moveTo>
                <a:lnTo>
                  <a:pt x="1544320" y="0"/>
                </a:lnTo>
                <a:lnTo>
                  <a:pt x="1544320" y="304800"/>
                </a:lnTo>
                <a:lnTo>
                  <a:pt x="1560576" y="304800"/>
                </a:lnTo>
                <a:lnTo>
                  <a:pt x="1560576" y="0"/>
                </a:lnTo>
                <a:close/>
              </a:path>
              <a:path w="2121535" h="304800">
                <a:moveTo>
                  <a:pt x="1593088" y="0"/>
                </a:moveTo>
                <a:lnTo>
                  <a:pt x="1576832" y="0"/>
                </a:lnTo>
                <a:lnTo>
                  <a:pt x="1576832" y="304800"/>
                </a:lnTo>
                <a:lnTo>
                  <a:pt x="1593088" y="304800"/>
                </a:lnTo>
                <a:lnTo>
                  <a:pt x="1593088" y="0"/>
                </a:lnTo>
                <a:close/>
              </a:path>
              <a:path w="2121535" h="304800">
                <a:moveTo>
                  <a:pt x="1625600" y="0"/>
                </a:moveTo>
                <a:lnTo>
                  <a:pt x="1609344" y="0"/>
                </a:lnTo>
                <a:lnTo>
                  <a:pt x="1609344" y="304800"/>
                </a:lnTo>
                <a:lnTo>
                  <a:pt x="1625600" y="304800"/>
                </a:lnTo>
                <a:lnTo>
                  <a:pt x="1625600" y="0"/>
                </a:lnTo>
                <a:close/>
              </a:path>
              <a:path w="2121535" h="304800">
                <a:moveTo>
                  <a:pt x="1649984" y="0"/>
                </a:moveTo>
                <a:lnTo>
                  <a:pt x="1633728" y="0"/>
                </a:lnTo>
                <a:lnTo>
                  <a:pt x="1633728" y="304800"/>
                </a:lnTo>
                <a:lnTo>
                  <a:pt x="1649984" y="304800"/>
                </a:lnTo>
                <a:lnTo>
                  <a:pt x="1649984" y="0"/>
                </a:lnTo>
                <a:close/>
              </a:path>
              <a:path w="2121535" h="304800">
                <a:moveTo>
                  <a:pt x="1682496" y="0"/>
                </a:moveTo>
                <a:lnTo>
                  <a:pt x="1666240" y="0"/>
                </a:lnTo>
                <a:lnTo>
                  <a:pt x="1666240" y="304800"/>
                </a:lnTo>
                <a:lnTo>
                  <a:pt x="1682496" y="304800"/>
                </a:lnTo>
                <a:lnTo>
                  <a:pt x="1682496" y="0"/>
                </a:lnTo>
                <a:close/>
              </a:path>
              <a:path w="2121535" h="304800">
                <a:moveTo>
                  <a:pt x="1715008" y="0"/>
                </a:moveTo>
                <a:lnTo>
                  <a:pt x="1698752" y="0"/>
                </a:lnTo>
                <a:lnTo>
                  <a:pt x="1698752" y="304800"/>
                </a:lnTo>
                <a:lnTo>
                  <a:pt x="1715008" y="304800"/>
                </a:lnTo>
                <a:lnTo>
                  <a:pt x="1715008" y="0"/>
                </a:lnTo>
                <a:close/>
              </a:path>
              <a:path w="2121535" h="304800">
                <a:moveTo>
                  <a:pt x="1747520" y="0"/>
                </a:moveTo>
                <a:lnTo>
                  <a:pt x="1731264" y="0"/>
                </a:lnTo>
                <a:lnTo>
                  <a:pt x="1731264" y="304800"/>
                </a:lnTo>
                <a:lnTo>
                  <a:pt x="1747520" y="304800"/>
                </a:lnTo>
                <a:lnTo>
                  <a:pt x="1747520" y="0"/>
                </a:lnTo>
                <a:close/>
              </a:path>
              <a:path w="2121535" h="304800">
                <a:moveTo>
                  <a:pt x="1771904" y="0"/>
                </a:moveTo>
                <a:lnTo>
                  <a:pt x="1755648" y="0"/>
                </a:lnTo>
                <a:lnTo>
                  <a:pt x="1755648" y="304800"/>
                </a:lnTo>
                <a:lnTo>
                  <a:pt x="1771904" y="304800"/>
                </a:lnTo>
                <a:lnTo>
                  <a:pt x="1771904" y="0"/>
                </a:lnTo>
                <a:close/>
              </a:path>
              <a:path w="2121535" h="304800">
                <a:moveTo>
                  <a:pt x="1796288" y="0"/>
                </a:moveTo>
                <a:lnTo>
                  <a:pt x="1788160" y="0"/>
                </a:lnTo>
                <a:lnTo>
                  <a:pt x="1788160" y="304800"/>
                </a:lnTo>
                <a:lnTo>
                  <a:pt x="1796288" y="304800"/>
                </a:lnTo>
                <a:lnTo>
                  <a:pt x="1796288" y="0"/>
                </a:lnTo>
                <a:close/>
              </a:path>
              <a:path w="2121535" h="304800">
                <a:moveTo>
                  <a:pt x="1836928" y="0"/>
                </a:moveTo>
                <a:lnTo>
                  <a:pt x="1812544" y="0"/>
                </a:lnTo>
                <a:lnTo>
                  <a:pt x="1812544" y="304800"/>
                </a:lnTo>
                <a:lnTo>
                  <a:pt x="1836928" y="304800"/>
                </a:lnTo>
                <a:lnTo>
                  <a:pt x="1836928" y="0"/>
                </a:lnTo>
                <a:close/>
              </a:path>
              <a:path w="2121535" h="304800">
                <a:moveTo>
                  <a:pt x="1869440" y="0"/>
                </a:moveTo>
                <a:lnTo>
                  <a:pt x="1853184" y="0"/>
                </a:lnTo>
                <a:lnTo>
                  <a:pt x="1853184" y="304800"/>
                </a:lnTo>
                <a:lnTo>
                  <a:pt x="1869440" y="304800"/>
                </a:lnTo>
                <a:lnTo>
                  <a:pt x="1869440" y="0"/>
                </a:lnTo>
                <a:close/>
              </a:path>
              <a:path w="2121535" h="304800">
                <a:moveTo>
                  <a:pt x="1885696" y="0"/>
                </a:moveTo>
                <a:lnTo>
                  <a:pt x="1877568" y="0"/>
                </a:lnTo>
                <a:lnTo>
                  <a:pt x="1877568" y="304800"/>
                </a:lnTo>
                <a:lnTo>
                  <a:pt x="1885696" y="304800"/>
                </a:lnTo>
                <a:lnTo>
                  <a:pt x="1885696" y="0"/>
                </a:lnTo>
                <a:close/>
              </a:path>
              <a:path w="2121535" h="304800">
                <a:moveTo>
                  <a:pt x="1910080" y="0"/>
                </a:moveTo>
                <a:lnTo>
                  <a:pt x="1901952" y="0"/>
                </a:lnTo>
                <a:lnTo>
                  <a:pt x="1901952" y="304800"/>
                </a:lnTo>
                <a:lnTo>
                  <a:pt x="1910080" y="304800"/>
                </a:lnTo>
                <a:lnTo>
                  <a:pt x="1910080" y="0"/>
                </a:lnTo>
                <a:close/>
              </a:path>
              <a:path w="2121535" h="304800">
                <a:moveTo>
                  <a:pt x="1934464" y="0"/>
                </a:moveTo>
                <a:lnTo>
                  <a:pt x="1918208" y="0"/>
                </a:lnTo>
                <a:lnTo>
                  <a:pt x="1918208" y="304800"/>
                </a:lnTo>
                <a:lnTo>
                  <a:pt x="1934464" y="304800"/>
                </a:lnTo>
                <a:lnTo>
                  <a:pt x="1934464" y="0"/>
                </a:lnTo>
                <a:close/>
              </a:path>
              <a:path w="2121535" h="304800">
                <a:moveTo>
                  <a:pt x="1975104" y="0"/>
                </a:moveTo>
                <a:lnTo>
                  <a:pt x="1966976" y="0"/>
                </a:lnTo>
                <a:lnTo>
                  <a:pt x="1966976" y="304800"/>
                </a:lnTo>
                <a:lnTo>
                  <a:pt x="1975104" y="304800"/>
                </a:lnTo>
                <a:lnTo>
                  <a:pt x="1975104" y="0"/>
                </a:lnTo>
                <a:close/>
              </a:path>
              <a:path w="2121535" h="304800">
                <a:moveTo>
                  <a:pt x="1999488" y="0"/>
                </a:moveTo>
                <a:lnTo>
                  <a:pt x="1991360" y="0"/>
                </a:lnTo>
                <a:lnTo>
                  <a:pt x="1991360" y="304800"/>
                </a:lnTo>
                <a:lnTo>
                  <a:pt x="1999488" y="304800"/>
                </a:lnTo>
                <a:lnTo>
                  <a:pt x="1999488" y="0"/>
                </a:lnTo>
                <a:close/>
              </a:path>
              <a:path w="2121535" h="304800">
                <a:moveTo>
                  <a:pt x="2048256" y="0"/>
                </a:moveTo>
                <a:lnTo>
                  <a:pt x="2015744" y="0"/>
                </a:lnTo>
                <a:lnTo>
                  <a:pt x="2015744" y="304800"/>
                </a:lnTo>
                <a:lnTo>
                  <a:pt x="2048256" y="304800"/>
                </a:lnTo>
                <a:lnTo>
                  <a:pt x="2048256" y="0"/>
                </a:lnTo>
                <a:close/>
              </a:path>
              <a:path w="2121535" h="304800">
                <a:moveTo>
                  <a:pt x="2072640" y="0"/>
                </a:moveTo>
                <a:lnTo>
                  <a:pt x="2056384" y="0"/>
                </a:lnTo>
                <a:lnTo>
                  <a:pt x="2056384" y="304800"/>
                </a:lnTo>
                <a:lnTo>
                  <a:pt x="2072640" y="304800"/>
                </a:lnTo>
                <a:lnTo>
                  <a:pt x="2072640" y="0"/>
                </a:lnTo>
                <a:close/>
              </a:path>
              <a:path w="2121535" h="304800">
                <a:moveTo>
                  <a:pt x="2121408" y="0"/>
                </a:moveTo>
                <a:lnTo>
                  <a:pt x="2097024" y="0"/>
                </a:lnTo>
                <a:lnTo>
                  <a:pt x="2097024" y="304800"/>
                </a:lnTo>
                <a:lnTo>
                  <a:pt x="2121408" y="304800"/>
                </a:lnTo>
                <a:lnTo>
                  <a:pt x="212140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2097024" y="0"/>
            <a:ext cx="65405" cy="304800"/>
          </a:xfrm>
          <a:custGeom>
            <a:avLst/>
            <a:gdLst/>
            <a:ahLst/>
            <a:cxnLst/>
            <a:rect l="0" t="0" r="0" b="0"/>
            <a:pathLst>
              <a:path w="65405" h="304800">
                <a:moveTo>
                  <a:pt x="24384" y="0"/>
                </a:moveTo>
                <a:lnTo>
                  <a:pt x="0" y="0"/>
                </a:lnTo>
                <a:lnTo>
                  <a:pt x="0" y="304800"/>
                </a:lnTo>
                <a:lnTo>
                  <a:pt x="24384" y="304800"/>
                </a:lnTo>
                <a:lnTo>
                  <a:pt x="24384" y="0"/>
                </a:lnTo>
                <a:close/>
              </a:path>
              <a:path w="65405" h="304800">
                <a:moveTo>
                  <a:pt x="40640" y="0"/>
                </a:moveTo>
                <a:lnTo>
                  <a:pt x="32512" y="0"/>
                </a:lnTo>
                <a:lnTo>
                  <a:pt x="32512" y="304800"/>
                </a:lnTo>
                <a:lnTo>
                  <a:pt x="40640" y="304800"/>
                </a:lnTo>
                <a:lnTo>
                  <a:pt x="40640" y="0"/>
                </a:lnTo>
                <a:close/>
              </a:path>
              <a:path w="65405" h="304800">
                <a:moveTo>
                  <a:pt x="65024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65024" y="304800"/>
                </a:lnTo>
                <a:lnTo>
                  <a:pt x="6502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31</xdr:col>
      <xdr:colOff>129135</xdr:colOff>
      <xdr:row>106</xdr:row>
      <xdr:rowOff>1473965</xdr:rowOff>
    </xdr:from>
    <xdr:ext cx="844469" cy="166743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4469" cy="166743"/>
        </a:xfrm>
        <a:prstGeom prst="rect">
          <a:avLst/>
        </a:prstGeom>
      </xdr:spPr>
    </xdr:pic>
    <xdr:clientData/>
  </xdr:oneCellAnchor>
  <xdr:oneCellAnchor>
    <xdr:from>
      <xdr:col>19</xdr:col>
      <xdr:colOff>32004</xdr:colOff>
      <xdr:row>111</xdr:row>
      <xdr:rowOff>31751</xdr:rowOff>
    </xdr:from>
    <xdr:ext cx="107950" cy="7239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107950" cy="72390"/>
        </a:xfrm>
        <a:custGeom>
          <a:avLst/>
          <a:gdLst/>
          <a:ahLst/>
          <a:cxnLst/>
          <a:rect l="0" t="0" r="0" b="0"/>
          <a:pathLst>
            <a:path w="107950" h="72390">
              <a:moveTo>
                <a:pt x="0" y="0"/>
              </a:moveTo>
              <a:lnTo>
                <a:pt x="107950" y="0"/>
              </a:lnTo>
              <a:lnTo>
                <a:pt x="107950" y="72009"/>
              </a:lnTo>
              <a:lnTo>
                <a:pt x="0" y="72009"/>
              </a:lnTo>
              <a:lnTo>
                <a:pt x="0" y="0"/>
              </a:lnTo>
              <a:close/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19</xdr:col>
      <xdr:colOff>32004</xdr:colOff>
      <xdr:row>111</xdr:row>
      <xdr:rowOff>175767</xdr:rowOff>
    </xdr:from>
    <xdr:ext cx="107950" cy="7239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107950" cy="72390"/>
        </a:xfrm>
        <a:custGeom>
          <a:avLst/>
          <a:gdLst/>
          <a:ahLst/>
          <a:cxnLst/>
          <a:rect l="0" t="0" r="0" b="0"/>
          <a:pathLst>
            <a:path w="107950" h="72390">
              <a:moveTo>
                <a:pt x="0" y="0"/>
              </a:moveTo>
              <a:lnTo>
                <a:pt x="107950" y="0"/>
              </a:lnTo>
              <a:lnTo>
                <a:pt x="107950" y="72008"/>
              </a:lnTo>
              <a:lnTo>
                <a:pt x="0" y="72008"/>
              </a:lnTo>
              <a:lnTo>
                <a:pt x="0" y="0"/>
              </a:lnTo>
              <a:close/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42</xdr:col>
      <xdr:colOff>32003</xdr:colOff>
      <xdr:row>111</xdr:row>
      <xdr:rowOff>31751</xdr:rowOff>
    </xdr:from>
    <xdr:ext cx="107950" cy="7239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107950" cy="72390"/>
        </a:xfrm>
        <a:custGeom>
          <a:avLst/>
          <a:gdLst/>
          <a:ahLst/>
          <a:cxnLst/>
          <a:rect l="0" t="0" r="0" b="0"/>
          <a:pathLst>
            <a:path w="107950" h="72390">
              <a:moveTo>
                <a:pt x="0" y="0"/>
              </a:moveTo>
              <a:lnTo>
                <a:pt x="107950" y="0"/>
              </a:lnTo>
              <a:lnTo>
                <a:pt x="107950" y="72009"/>
              </a:lnTo>
              <a:lnTo>
                <a:pt x="0" y="72009"/>
              </a:lnTo>
              <a:lnTo>
                <a:pt x="0" y="0"/>
              </a:lnTo>
              <a:close/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42</xdr:col>
      <xdr:colOff>32003</xdr:colOff>
      <xdr:row>111</xdr:row>
      <xdr:rowOff>175767</xdr:rowOff>
    </xdr:from>
    <xdr:ext cx="107950" cy="7239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107950" cy="72390"/>
        </a:xfrm>
        <a:custGeom>
          <a:avLst/>
          <a:gdLst/>
          <a:ahLst/>
          <a:cxnLst/>
          <a:rect l="0" t="0" r="0" b="0"/>
          <a:pathLst>
            <a:path w="107950" h="72390">
              <a:moveTo>
                <a:pt x="0" y="0"/>
              </a:moveTo>
              <a:lnTo>
                <a:pt x="107950" y="0"/>
              </a:lnTo>
              <a:lnTo>
                <a:pt x="107950" y="72008"/>
              </a:lnTo>
              <a:lnTo>
                <a:pt x="0" y="72008"/>
              </a:lnTo>
              <a:lnTo>
                <a:pt x="0" y="0"/>
              </a:lnTo>
              <a:close/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twoCellAnchor editAs="oneCell">
    <xdr:from>
      <xdr:col>52</xdr:col>
      <xdr:colOff>19050</xdr:colOff>
      <xdr:row>54</xdr:row>
      <xdr:rowOff>0</xdr:rowOff>
    </xdr:from>
    <xdr:to>
      <xdr:col>68</xdr:col>
      <xdr:colOff>96504</xdr:colOff>
      <xdr:row>75</xdr:row>
      <xdr:rowOff>467556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E7AAF6E-5B0E-AEC6-6F12-622C5BA18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8125" y="9324975"/>
          <a:ext cx="8983329" cy="5953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OUNTS.CHILE@DESWIK.COM" TargetMode="External"/><Relationship Id="rId2" Type="http://schemas.openxmlformats.org/officeDocument/2006/relationships/hyperlink" Target="http://www.cmfchile.cl/" TargetMode="External"/><Relationship Id="rId1" Type="http://schemas.openxmlformats.org/officeDocument/2006/relationships/hyperlink" Target="mailto:ACCOUNTS.CHILE@DESWIK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www.cmfchile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33"/>
  <sheetViews>
    <sheetView tabSelected="1" topLeftCell="A47" workbookViewId="0">
      <selection activeCell="BN50" sqref="BN50"/>
    </sheetView>
  </sheetViews>
  <sheetFormatPr baseColWidth="10" defaultColWidth="9.33203125" defaultRowHeight="12.75"/>
  <cols>
    <col min="1" max="1" width="6.83203125" customWidth="1"/>
    <col min="2" max="2" width="1.1640625" customWidth="1"/>
    <col min="3" max="3" width="4.6640625" customWidth="1"/>
    <col min="4" max="4" width="1.1640625" customWidth="1"/>
    <col min="5" max="5" width="2.1640625" customWidth="1"/>
    <col min="6" max="8" width="3.33203125" customWidth="1"/>
    <col min="9" max="9" width="2.1640625" customWidth="1"/>
    <col min="10" max="10" width="3.33203125" customWidth="1"/>
    <col min="11" max="15" width="1.1640625" customWidth="1"/>
    <col min="16" max="18" width="2.1640625" customWidth="1"/>
    <col min="19" max="19" width="1.1640625" customWidth="1"/>
    <col min="20" max="21" width="2.1640625" customWidth="1"/>
    <col min="22" max="23" width="1.1640625" customWidth="1"/>
    <col min="24" max="24" width="2.1640625" customWidth="1"/>
    <col min="25" max="27" width="1.1640625" customWidth="1"/>
    <col min="28" max="30" width="3.33203125" customWidth="1"/>
    <col min="31" max="31" width="2.1640625" customWidth="1"/>
    <col min="32" max="32" width="5.83203125" customWidth="1"/>
    <col min="33" max="33" width="1.1640625" customWidth="1"/>
    <col min="34" max="34" width="4.6640625" customWidth="1"/>
    <col min="35" max="35" width="1.1640625" customWidth="1"/>
    <col min="36" max="36" width="2.1640625" customWidth="1"/>
    <col min="37" max="37" width="4.6640625" customWidth="1"/>
    <col min="38" max="38" width="8" customWidth="1"/>
    <col min="39" max="39" width="1.1640625" customWidth="1"/>
    <col min="40" max="40" width="3.33203125" customWidth="1"/>
    <col min="41" max="41" width="2.1640625" customWidth="1"/>
    <col min="42" max="42" width="3.33203125" customWidth="1"/>
    <col min="43" max="47" width="1.1640625" customWidth="1"/>
    <col min="48" max="48" width="4.6640625" customWidth="1"/>
    <col min="49" max="49" width="6.83203125" customWidth="1"/>
    <col min="50" max="50" width="7.1640625" bestFit="1" customWidth="1"/>
    <col min="51" max="51" width="3.33203125" customWidth="1"/>
    <col min="52" max="52" width="2.1640625" customWidth="1"/>
    <col min="53" max="53" width="1.1640625" customWidth="1"/>
    <col min="59" max="59" width="22" bestFit="1" customWidth="1"/>
    <col min="62" max="62" width="11.33203125" bestFit="1" customWidth="1"/>
  </cols>
  <sheetData>
    <row r="1" spans="1:52" ht="12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8"/>
    </row>
    <row r="2" spans="1:52" ht="12" customHeight="1">
      <c r="A2" s="9" t="s">
        <v>1</v>
      </c>
      <c r="B2" s="10"/>
      <c r="C2" s="10"/>
      <c r="D2" s="10"/>
      <c r="E2" s="10"/>
      <c r="F2" s="10"/>
      <c r="G2" s="10"/>
      <c r="H2" s="10"/>
      <c r="I2" s="11"/>
      <c r="J2" s="9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1"/>
    </row>
    <row r="3" spans="1:52" ht="12" customHeight="1">
      <c r="A3" s="12" t="s">
        <v>3</v>
      </c>
      <c r="B3" s="13"/>
      <c r="C3" s="13"/>
      <c r="D3" s="13"/>
      <c r="E3" s="13"/>
      <c r="F3" s="13"/>
      <c r="G3" s="13"/>
      <c r="H3" s="13"/>
      <c r="I3" s="14"/>
      <c r="J3" s="12" t="s">
        <v>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4"/>
    </row>
    <row r="4" spans="1:52" ht="15" customHeight="1">
      <c r="A4" s="15" t="s">
        <v>5</v>
      </c>
      <c r="B4" s="16"/>
      <c r="C4" s="16"/>
      <c r="D4" s="16"/>
      <c r="E4" s="16"/>
      <c r="F4" s="16"/>
      <c r="G4" s="16"/>
      <c r="H4" s="16"/>
      <c r="I4" s="17"/>
      <c r="J4" s="18">
        <v>45772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20"/>
    </row>
    <row r="5" spans="1:52" ht="12" customHeight="1">
      <c r="A5" s="21">
        <v>558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</row>
    <row r="6" spans="1:52" ht="20.45" customHeight="1">
      <c r="A6" s="22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</row>
    <row r="7" spans="1:52" ht="12" customHeight="1">
      <c r="A7" s="23" t="s">
        <v>7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5"/>
    </row>
    <row r="8" spans="1:52" ht="12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28" t="s">
        <v>8</v>
      </c>
      <c r="Q8" s="29"/>
      <c r="R8" s="29"/>
      <c r="S8" s="29"/>
      <c r="T8" s="29"/>
      <c r="U8" s="29"/>
      <c r="V8" s="29"/>
      <c r="W8" s="29"/>
      <c r="X8" s="29"/>
      <c r="Y8" s="29"/>
      <c r="Z8" s="30"/>
      <c r="AA8" s="28" t="s">
        <v>9</v>
      </c>
      <c r="AB8" s="29"/>
      <c r="AC8" s="29"/>
      <c r="AD8" s="29"/>
      <c r="AE8" s="29"/>
      <c r="AF8" s="29"/>
      <c r="AG8" s="30"/>
      <c r="AH8" s="28" t="s">
        <v>10</v>
      </c>
      <c r="AI8" s="29"/>
      <c r="AJ8" s="29"/>
      <c r="AK8" s="29"/>
      <c r="AL8" s="30"/>
    </row>
    <row r="9" spans="1:52" ht="12" customHeight="1">
      <c r="A9" s="31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  <c r="P9" s="34">
        <v>5000000</v>
      </c>
      <c r="Q9" s="35"/>
      <c r="R9" s="35"/>
      <c r="S9" s="35"/>
      <c r="T9" s="35"/>
      <c r="U9" s="35"/>
      <c r="V9" s="35"/>
      <c r="W9" s="35"/>
      <c r="X9" s="35"/>
      <c r="Y9" s="35"/>
      <c r="Z9" s="36"/>
      <c r="AA9" s="34">
        <v>806870</v>
      </c>
      <c r="AB9" s="35"/>
      <c r="AC9" s="35"/>
      <c r="AD9" s="35"/>
      <c r="AE9" s="35"/>
      <c r="AF9" s="35"/>
      <c r="AG9" s="36"/>
      <c r="AH9" s="34">
        <v>4193130</v>
      </c>
      <c r="AI9" s="35"/>
      <c r="AJ9" s="35"/>
      <c r="AK9" s="35"/>
      <c r="AL9" s="36"/>
    </row>
    <row r="10" spans="1:52" ht="12" customHeight="1">
      <c r="A10" s="31" t="s">
        <v>12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3"/>
      <c r="P10" s="34">
        <v>4750000</v>
      </c>
      <c r="Q10" s="35"/>
      <c r="R10" s="35"/>
      <c r="S10" s="35"/>
      <c r="T10" s="35"/>
      <c r="U10" s="35"/>
      <c r="V10" s="35"/>
      <c r="W10" s="35"/>
      <c r="X10" s="35"/>
      <c r="Y10" s="35"/>
      <c r="Z10" s="36"/>
      <c r="AA10" s="37">
        <v>0</v>
      </c>
      <c r="AB10" s="38"/>
      <c r="AC10" s="38"/>
      <c r="AD10" s="38"/>
      <c r="AE10" s="38"/>
      <c r="AF10" s="38"/>
      <c r="AG10" s="39"/>
      <c r="AH10" s="34">
        <v>4193130</v>
      </c>
      <c r="AI10" s="35"/>
      <c r="AJ10" s="35"/>
      <c r="AK10" s="35"/>
      <c r="AL10" s="36"/>
    </row>
    <row r="11" spans="1:52" ht="18" customHeight="1">
      <c r="A11" s="40" t="s">
        <v>13</v>
      </c>
      <c r="B11" s="41"/>
      <c r="C11" s="41"/>
      <c r="D11" s="41"/>
      <c r="E11" s="41"/>
      <c r="F11" s="42"/>
    </row>
    <row r="12" spans="1:52" ht="22.7" customHeight="1">
      <c r="A12" s="43">
        <v>0</v>
      </c>
      <c r="B12" s="44"/>
      <c r="C12" s="44"/>
      <c r="D12" s="44"/>
      <c r="E12" s="44"/>
      <c r="F12" s="45"/>
    </row>
    <row r="13" spans="1:52" ht="28.35" customHeight="1">
      <c r="A13" s="46" t="s">
        <v>14</v>
      </c>
      <c r="B13" s="47"/>
      <c r="C13" s="47"/>
      <c r="D13" s="47"/>
      <c r="E13" s="47"/>
      <c r="F13" s="48"/>
    </row>
    <row r="14" spans="1:52" ht="12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49" t="s">
        <v>15</v>
      </c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52" t="s">
        <v>16</v>
      </c>
      <c r="AB14" s="53"/>
      <c r="AC14" s="53"/>
      <c r="AD14" s="53"/>
      <c r="AE14" s="53"/>
      <c r="AF14" s="53"/>
      <c r="AG14" s="54"/>
      <c r="AH14" s="55" t="s">
        <v>17</v>
      </c>
      <c r="AI14" s="56"/>
      <c r="AJ14" s="56"/>
      <c r="AK14" s="56"/>
      <c r="AL14" s="57"/>
    </row>
    <row r="15" spans="1:52" ht="12" customHeight="1">
      <c r="A15" s="31" t="s">
        <v>18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3"/>
      <c r="P15" s="58">
        <v>2.5999999999999999E-2</v>
      </c>
      <c r="Q15" s="59"/>
      <c r="R15" s="59"/>
      <c r="S15" s="59"/>
      <c r="T15" s="59"/>
      <c r="U15" s="59"/>
      <c r="V15" s="59"/>
      <c r="W15" s="59"/>
      <c r="X15" s="59"/>
      <c r="Y15" s="59"/>
      <c r="Z15" s="60"/>
      <c r="AA15" s="58">
        <v>2.5999999999999999E-2</v>
      </c>
      <c r="AB15" s="59"/>
      <c r="AC15" s="59"/>
      <c r="AD15" s="59"/>
      <c r="AE15" s="59"/>
      <c r="AF15" s="59"/>
      <c r="AG15" s="60"/>
      <c r="AH15" s="58">
        <v>2.5999999999999999E-2</v>
      </c>
      <c r="AI15" s="59"/>
      <c r="AJ15" s="59"/>
      <c r="AK15" s="59"/>
      <c r="AL15" s="60"/>
    </row>
    <row r="16" spans="1:52" ht="12" customHeight="1">
      <c r="A16" s="31" t="s">
        <v>19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3"/>
      <c r="P16" s="58">
        <v>0.4168</v>
      </c>
      <c r="Q16" s="59"/>
      <c r="R16" s="59"/>
      <c r="S16" s="59"/>
      <c r="T16" s="59"/>
      <c r="U16" s="59"/>
      <c r="V16" s="59"/>
      <c r="W16" s="59"/>
      <c r="X16" s="59"/>
      <c r="Y16" s="59"/>
      <c r="Z16" s="60"/>
      <c r="AA16" s="58">
        <v>0.44219999999999998</v>
      </c>
      <c r="AB16" s="59"/>
      <c r="AC16" s="59"/>
      <c r="AD16" s="59"/>
      <c r="AE16" s="59"/>
      <c r="AF16" s="59"/>
      <c r="AG16" s="60"/>
      <c r="AH16" s="58">
        <v>0.44219999999999998</v>
      </c>
      <c r="AI16" s="59"/>
      <c r="AJ16" s="59"/>
      <c r="AK16" s="59"/>
      <c r="AL16" s="60"/>
    </row>
    <row r="17" spans="1:52" ht="12" customHeight="1">
      <c r="A17" s="26"/>
      <c r="B17" s="26"/>
      <c r="C17" s="26"/>
      <c r="D17" s="26"/>
      <c r="E17" s="26"/>
      <c r="F17" s="26"/>
      <c r="G17" s="27"/>
      <c r="H17" s="61" t="s">
        <v>20</v>
      </c>
      <c r="I17" s="62"/>
      <c r="J17" s="63"/>
      <c r="K17" s="61" t="s">
        <v>21</v>
      </c>
      <c r="L17" s="62"/>
      <c r="M17" s="62"/>
      <c r="N17" s="62"/>
      <c r="O17" s="62"/>
      <c r="P17" s="62"/>
      <c r="Q17" s="63"/>
    </row>
    <row r="18" spans="1:52" ht="12" customHeight="1">
      <c r="A18" s="31" t="s">
        <v>22</v>
      </c>
      <c r="B18" s="32"/>
      <c r="C18" s="32"/>
      <c r="D18" s="32"/>
      <c r="E18" s="32"/>
      <c r="F18" s="32"/>
      <c r="G18" s="33"/>
      <c r="H18" s="64">
        <v>45744</v>
      </c>
      <c r="I18" s="65"/>
      <c r="J18" s="66"/>
      <c r="K18" s="64">
        <v>45772</v>
      </c>
      <c r="L18" s="65"/>
      <c r="M18" s="65"/>
      <c r="N18" s="65"/>
      <c r="O18" s="65"/>
      <c r="P18" s="65"/>
      <c r="Q18" s="66"/>
    </row>
    <row r="19" spans="1:52" ht="12" customHeight="1">
      <c r="A19" s="31" t="s">
        <v>23</v>
      </c>
      <c r="B19" s="32"/>
      <c r="C19" s="32"/>
      <c r="D19" s="32"/>
      <c r="E19" s="32"/>
      <c r="F19" s="32"/>
      <c r="G19" s="33"/>
      <c r="H19" s="67">
        <v>45792</v>
      </c>
      <c r="I19" s="68"/>
      <c r="J19" s="68"/>
      <c r="K19" s="68"/>
      <c r="L19" s="68"/>
      <c r="M19" s="68"/>
      <c r="N19" s="68"/>
      <c r="O19" s="68"/>
      <c r="P19" s="68"/>
      <c r="Q19" s="69"/>
    </row>
    <row r="20" spans="1:52" ht="28.7" customHeight="1">
      <c r="A20" s="70" t="s">
        <v>24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</row>
    <row r="21" spans="1:52" ht="12" customHeight="1">
      <c r="A21" s="23" t="s">
        <v>25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5"/>
    </row>
    <row r="22" spans="1:52" ht="12" customHeight="1">
      <c r="A22" s="71" t="s">
        <v>26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3"/>
      <c r="X22" s="28" t="s">
        <v>27</v>
      </c>
      <c r="Y22" s="29"/>
      <c r="Z22" s="29"/>
      <c r="AA22" s="29"/>
      <c r="AB22" s="29"/>
      <c r="AC22" s="29"/>
      <c r="AD22" s="30"/>
      <c r="AE22" s="28" t="s">
        <v>28</v>
      </c>
      <c r="AF22" s="29"/>
      <c r="AG22" s="29"/>
      <c r="AH22" s="29"/>
      <c r="AI22" s="30"/>
    </row>
    <row r="23" spans="1:52" ht="12" customHeight="1">
      <c r="A23" s="31" t="s">
        <v>29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/>
      <c r="X23" s="64">
        <v>45715</v>
      </c>
      <c r="Y23" s="65"/>
      <c r="Z23" s="65"/>
      <c r="AA23" s="65"/>
      <c r="AB23" s="65"/>
      <c r="AC23" s="65"/>
      <c r="AD23" s="66"/>
      <c r="AE23" s="64">
        <v>45743</v>
      </c>
      <c r="AF23" s="65"/>
      <c r="AG23" s="65"/>
      <c r="AH23" s="65"/>
      <c r="AI23" s="66"/>
    </row>
    <row r="24" spans="1:52" ht="12" customHeight="1">
      <c r="A24" s="74" t="s">
        <v>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6"/>
      <c r="U24" s="76"/>
      <c r="V24" s="76"/>
      <c r="W24" s="77"/>
      <c r="X24" s="78">
        <v>0</v>
      </c>
      <c r="Y24" s="79"/>
      <c r="Z24" s="79"/>
      <c r="AA24" s="79"/>
      <c r="AB24" s="79"/>
      <c r="AC24" s="79"/>
      <c r="AD24" s="80"/>
      <c r="AE24" s="81"/>
      <c r="AF24" s="82"/>
      <c r="AG24" s="82"/>
      <c r="AH24" s="82"/>
      <c r="AI24" s="82"/>
    </row>
    <row r="25" spans="1:52" ht="12" customHeight="1">
      <c r="A25" s="85" t="s">
        <v>31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 t="s">
        <v>32</v>
      </c>
      <c r="U25" s="87"/>
      <c r="V25" s="87"/>
      <c r="W25" s="88"/>
      <c r="X25" s="89">
        <v>46444</v>
      </c>
      <c r="Y25" s="90"/>
      <c r="Z25" s="90"/>
      <c r="AA25" s="90"/>
      <c r="AB25" s="90"/>
      <c r="AC25" s="90"/>
      <c r="AD25" s="91"/>
      <c r="AE25" s="83"/>
      <c r="AF25" s="84"/>
      <c r="AG25" s="84"/>
      <c r="AH25" s="84"/>
      <c r="AI25" s="84"/>
    </row>
    <row r="26" spans="1:52" ht="12" customHeight="1">
      <c r="A26" s="85" t="s">
        <v>33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92"/>
      <c r="U26" s="92"/>
      <c r="V26" s="92"/>
      <c r="W26" s="93"/>
      <c r="X26" s="89">
        <v>-46444</v>
      </c>
      <c r="Y26" s="90"/>
      <c r="Z26" s="90"/>
      <c r="AA26" s="90"/>
      <c r="AB26" s="90"/>
      <c r="AC26" s="90"/>
      <c r="AD26" s="91"/>
      <c r="AE26" s="83"/>
      <c r="AF26" s="84"/>
      <c r="AG26" s="84"/>
      <c r="AH26" s="84"/>
      <c r="AI26" s="84"/>
    </row>
    <row r="27" spans="1:52" ht="12" customHeight="1">
      <c r="A27" s="94" t="s">
        <v>34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26"/>
      <c r="U27" s="26"/>
      <c r="V27" s="26"/>
      <c r="W27" s="27"/>
      <c r="X27" s="96">
        <v>0</v>
      </c>
      <c r="Y27" s="97"/>
      <c r="Z27" s="97"/>
      <c r="AA27" s="97"/>
      <c r="AB27" s="97"/>
      <c r="AC27" s="97"/>
      <c r="AD27" s="98"/>
      <c r="AE27" s="83"/>
      <c r="AF27" s="84"/>
      <c r="AG27" s="84"/>
      <c r="AH27" s="84"/>
      <c r="AI27" s="84"/>
    </row>
    <row r="28" spans="1:52" ht="12" customHeight="1">
      <c r="A28" s="71" t="s">
        <v>35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3"/>
    </row>
    <row r="29" spans="1:52" ht="12" customHeight="1">
      <c r="A29" s="9" t="s">
        <v>36</v>
      </c>
      <c r="B29" s="10"/>
      <c r="C29" s="11"/>
      <c r="D29" s="9" t="s">
        <v>37</v>
      </c>
      <c r="E29" s="10"/>
      <c r="F29" s="10"/>
      <c r="G29" s="11"/>
      <c r="H29" s="9" t="s">
        <v>38</v>
      </c>
      <c r="I29" s="10"/>
      <c r="J29" s="10"/>
      <c r="K29" s="10"/>
      <c r="L29" s="11"/>
      <c r="M29" s="9" t="s">
        <v>39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1"/>
      <c r="AG29" s="81" t="s">
        <v>40</v>
      </c>
      <c r="AH29" s="82"/>
      <c r="AI29" s="82"/>
      <c r="AJ29" s="82"/>
      <c r="AK29" s="99"/>
      <c r="AL29" s="81" t="s">
        <v>41</v>
      </c>
      <c r="AM29" s="82"/>
      <c r="AN29" s="82"/>
      <c r="AO29" s="99"/>
      <c r="AP29" s="103" t="s">
        <v>42</v>
      </c>
      <c r="AQ29" s="104"/>
      <c r="AR29" s="104"/>
      <c r="AS29" s="104"/>
      <c r="AT29" s="104"/>
      <c r="AU29" s="104"/>
      <c r="AV29" s="104"/>
      <c r="AW29" s="105"/>
    </row>
    <row r="30" spans="1:52" ht="24" customHeight="1">
      <c r="A30" s="15"/>
      <c r="B30" s="16"/>
      <c r="C30" s="17"/>
      <c r="D30" s="15"/>
      <c r="E30" s="16"/>
      <c r="F30" s="16"/>
      <c r="G30" s="17"/>
      <c r="H30" s="15"/>
      <c r="I30" s="16"/>
      <c r="J30" s="16"/>
      <c r="K30" s="16"/>
      <c r="L30" s="17"/>
      <c r="M30" s="15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7"/>
      <c r="AG30" s="100"/>
      <c r="AH30" s="101"/>
      <c r="AI30" s="101"/>
      <c r="AJ30" s="101"/>
      <c r="AK30" s="102"/>
      <c r="AL30" s="100"/>
      <c r="AM30" s="101"/>
      <c r="AN30" s="101"/>
      <c r="AO30" s="102"/>
      <c r="AP30" s="106" t="s">
        <v>43</v>
      </c>
      <c r="AQ30" s="107"/>
      <c r="AR30" s="107"/>
      <c r="AS30" s="108"/>
      <c r="AT30" s="109" t="s">
        <v>44</v>
      </c>
      <c r="AU30" s="110"/>
      <c r="AV30" s="110"/>
      <c r="AW30" s="111"/>
    </row>
    <row r="31" spans="1:52" ht="12" customHeight="1">
      <c r="A31" s="112" t="s">
        <v>45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4"/>
    </row>
    <row r="32" spans="1:52" ht="12" customHeight="1">
      <c r="A32" s="115"/>
      <c r="B32" s="116"/>
      <c r="C32" s="117"/>
      <c r="D32" s="64">
        <v>45762</v>
      </c>
      <c r="E32" s="65"/>
      <c r="F32" s="65"/>
      <c r="G32" s="66"/>
      <c r="H32" s="118">
        <v>150400000000</v>
      </c>
      <c r="I32" s="119"/>
      <c r="J32" s="119"/>
      <c r="K32" s="119"/>
      <c r="L32" s="120"/>
      <c r="M32" s="106" t="s">
        <v>46</v>
      </c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8"/>
      <c r="AG32" s="34">
        <v>-46444</v>
      </c>
      <c r="AH32" s="35"/>
      <c r="AI32" s="35"/>
      <c r="AJ32" s="35"/>
      <c r="AK32" s="36"/>
      <c r="AL32" s="34">
        <v>-46444</v>
      </c>
      <c r="AM32" s="35"/>
      <c r="AN32" s="35"/>
      <c r="AO32" s="36"/>
      <c r="AP32" s="31" t="s">
        <v>47</v>
      </c>
      <c r="AQ32" s="32"/>
      <c r="AR32" s="32"/>
      <c r="AS32" s="33"/>
      <c r="AT32" s="34">
        <v>-46444</v>
      </c>
      <c r="AU32" s="35"/>
      <c r="AV32" s="35"/>
      <c r="AW32" s="36"/>
    </row>
    <row r="33" spans="1:61" ht="12" customHeight="1">
      <c r="A33" s="121" t="s">
        <v>48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3" t="s">
        <v>49</v>
      </c>
      <c r="AS33" s="123"/>
      <c r="AT33" s="124" t="s">
        <v>50</v>
      </c>
      <c r="AU33" s="124"/>
      <c r="AV33" s="124"/>
      <c r="AW33" s="125"/>
    </row>
    <row r="34" spans="1:61" ht="12" customHeight="1">
      <c r="A34" s="115"/>
      <c r="B34" s="116"/>
      <c r="C34" s="117"/>
      <c r="D34" s="115"/>
      <c r="E34" s="116"/>
      <c r="F34" s="116"/>
      <c r="G34" s="117"/>
      <c r="H34" s="115"/>
      <c r="I34" s="116"/>
      <c r="J34" s="116"/>
      <c r="K34" s="116"/>
      <c r="L34" s="117"/>
      <c r="M34" s="106" t="s">
        <v>51</v>
      </c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8"/>
      <c r="AG34" s="115"/>
      <c r="AH34" s="116"/>
      <c r="AI34" s="116"/>
      <c r="AJ34" s="116"/>
      <c r="AK34" s="117"/>
      <c r="AL34" s="115"/>
      <c r="AM34" s="116"/>
      <c r="AN34" s="116"/>
      <c r="AO34" s="117"/>
      <c r="AP34" s="115"/>
      <c r="AQ34" s="116"/>
      <c r="AR34" s="116"/>
      <c r="AS34" s="117"/>
      <c r="AT34" s="115"/>
      <c r="AU34" s="116"/>
      <c r="AV34" s="116"/>
      <c r="AW34" s="117"/>
    </row>
    <row r="35" spans="1:61" ht="12" customHeight="1">
      <c r="A35" s="126" t="s">
        <v>52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3" t="s">
        <v>53</v>
      </c>
      <c r="AS35" s="123"/>
      <c r="AT35" s="124" t="s">
        <v>54</v>
      </c>
      <c r="AU35" s="124"/>
      <c r="AV35" s="124"/>
      <c r="AW35" s="125"/>
      <c r="BB35" s="250" t="s">
        <v>150</v>
      </c>
      <c r="BC35" s="250" t="s">
        <v>151</v>
      </c>
      <c r="BD35" s="250" t="s">
        <v>152</v>
      </c>
      <c r="BE35" s="250" t="s">
        <v>153</v>
      </c>
      <c r="BF35" s="251"/>
      <c r="BG35" s="251"/>
      <c r="BH35" s="251"/>
      <c r="BI35" s="251"/>
    </row>
    <row r="36" spans="1:61" ht="12" customHeight="1">
      <c r="A36" s="106" t="s">
        <v>55</v>
      </c>
      <c r="B36" s="107"/>
      <c r="C36" s="108"/>
      <c r="D36" s="64">
        <v>45770</v>
      </c>
      <c r="E36" s="65"/>
      <c r="F36" s="65"/>
      <c r="G36" s="66"/>
      <c r="H36" s="118">
        <v>240411169798</v>
      </c>
      <c r="I36" s="119"/>
      <c r="J36" s="119"/>
      <c r="K36" s="119"/>
      <c r="L36" s="120"/>
      <c r="M36" s="106" t="s">
        <v>56</v>
      </c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8"/>
      <c r="AG36" s="34">
        <v>84444</v>
      </c>
      <c r="AH36" s="35"/>
      <c r="AI36" s="35"/>
      <c r="AJ36" s="35"/>
      <c r="AK36" s="36"/>
      <c r="AL36" s="34">
        <v>84444</v>
      </c>
      <c r="AM36" s="35"/>
      <c r="AN36" s="35"/>
      <c r="AO36" s="36"/>
      <c r="AP36" s="31" t="s">
        <v>47</v>
      </c>
      <c r="AQ36" s="32"/>
      <c r="AR36" s="32"/>
      <c r="AS36" s="33"/>
      <c r="AT36" s="34">
        <v>84444</v>
      </c>
      <c r="AU36" s="35"/>
      <c r="AV36" s="35"/>
      <c r="AW36" s="36"/>
      <c r="AX36">
        <v>84444</v>
      </c>
      <c r="BB36" s="251" t="s">
        <v>159</v>
      </c>
      <c r="BC36" s="251"/>
      <c r="BD36" s="251"/>
      <c r="BE36" s="251">
        <f t="shared" ref="BE36:BE51" si="0">VLOOKUP(BB36,BG:BH,2,0)</f>
        <v>8051416</v>
      </c>
      <c r="BF36" s="252"/>
      <c r="BG36" s="251"/>
      <c r="BH36" s="251"/>
      <c r="BI36" s="251"/>
    </row>
    <row r="37" spans="1:61" ht="12" customHeight="1">
      <c r="A37" s="128" t="s">
        <v>57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30"/>
      <c r="BB37" s="253"/>
      <c r="BC37" s="251"/>
      <c r="BD37" s="251"/>
      <c r="BE37" s="251"/>
      <c r="BF37" s="251"/>
      <c r="BG37" s="251"/>
      <c r="BH37" s="251"/>
      <c r="BI37" s="251"/>
    </row>
    <row r="38" spans="1:61" ht="12" customHeight="1">
      <c r="A38" s="131" t="s">
        <v>58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23" t="s">
        <v>59</v>
      </c>
      <c r="AS38" s="123"/>
      <c r="AT38" s="124" t="s">
        <v>60</v>
      </c>
      <c r="AU38" s="124"/>
      <c r="AV38" s="124"/>
      <c r="AW38" s="125"/>
      <c r="BB38" s="253"/>
      <c r="BC38" s="252"/>
      <c r="BD38" s="251"/>
      <c r="BE38" s="251"/>
      <c r="BF38" s="251"/>
      <c r="BG38" s="252" t="s">
        <v>154</v>
      </c>
      <c r="BH38" s="251">
        <v>8040708</v>
      </c>
      <c r="BI38" s="254">
        <f t="shared" ref="BI38:BI47" si="1">SUMIF(BE:BE,BH38,AX:AX)</f>
        <v>0</v>
      </c>
    </row>
    <row r="39" spans="1:61" ht="12" customHeight="1">
      <c r="A39" s="71" t="s">
        <v>35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3"/>
      <c r="BB39" s="252"/>
      <c r="BC39" s="251"/>
      <c r="BD39" s="251"/>
      <c r="BE39" s="251"/>
      <c r="BF39" s="251"/>
      <c r="BG39" s="251" t="s">
        <v>156</v>
      </c>
      <c r="BH39" s="251">
        <v>8050701</v>
      </c>
      <c r="BI39" s="254">
        <f t="shared" si="1"/>
        <v>0</v>
      </c>
    </row>
    <row r="40" spans="1:61" ht="12" customHeight="1">
      <c r="A40" s="9" t="s">
        <v>36</v>
      </c>
      <c r="B40" s="10"/>
      <c r="C40" s="11"/>
      <c r="D40" s="9" t="s">
        <v>37</v>
      </c>
      <c r="E40" s="10"/>
      <c r="F40" s="10"/>
      <c r="G40" s="11"/>
      <c r="H40" s="9" t="s">
        <v>38</v>
      </c>
      <c r="I40" s="10"/>
      <c r="J40" s="10"/>
      <c r="K40" s="10"/>
      <c r="L40" s="11"/>
      <c r="M40" s="9" t="s">
        <v>39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1"/>
      <c r="AG40" s="81" t="s">
        <v>71</v>
      </c>
      <c r="AH40" s="82"/>
      <c r="AI40" s="82"/>
      <c r="AJ40" s="82"/>
      <c r="AK40" s="99"/>
      <c r="AL40" s="81" t="s">
        <v>72</v>
      </c>
      <c r="AM40" s="82"/>
      <c r="AN40" s="82"/>
      <c r="AO40" s="99"/>
      <c r="AP40" s="103" t="s">
        <v>42</v>
      </c>
      <c r="AQ40" s="104"/>
      <c r="AR40" s="104"/>
      <c r="AS40" s="104"/>
      <c r="AT40" s="104"/>
      <c r="AU40" s="104"/>
      <c r="AV40" s="104"/>
      <c r="AW40" s="105"/>
      <c r="BB40" s="251"/>
      <c r="BC40" s="251"/>
      <c r="BD40" s="251"/>
      <c r="BE40" s="251"/>
      <c r="BF40" s="251"/>
      <c r="BG40" s="251" t="s">
        <v>155</v>
      </c>
      <c r="BH40" s="251">
        <v>8040706</v>
      </c>
      <c r="BI40" s="254">
        <f t="shared" si="1"/>
        <v>0</v>
      </c>
    </row>
    <row r="41" spans="1:61" ht="24" customHeight="1">
      <c r="A41" s="15"/>
      <c r="B41" s="16"/>
      <c r="C41" s="17"/>
      <c r="D41" s="15"/>
      <c r="E41" s="16"/>
      <c r="F41" s="16"/>
      <c r="G41" s="17"/>
      <c r="H41" s="15"/>
      <c r="I41" s="16"/>
      <c r="J41" s="16"/>
      <c r="K41" s="16"/>
      <c r="L41" s="17"/>
      <c r="M41" s="15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7"/>
      <c r="AG41" s="100"/>
      <c r="AH41" s="101"/>
      <c r="AI41" s="101"/>
      <c r="AJ41" s="101"/>
      <c r="AK41" s="102"/>
      <c r="AL41" s="100"/>
      <c r="AM41" s="101"/>
      <c r="AN41" s="101"/>
      <c r="AO41" s="102"/>
      <c r="AP41" s="106" t="s">
        <v>43</v>
      </c>
      <c r="AQ41" s="107"/>
      <c r="AR41" s="107"/>
      <c r="AS41" s="108"/>
      <c r="AT41" s="109" t="s">
        <v>44</v>
      </c>
      <c r="AU41" s="110"/>
      <c r="AV41" s="110"/>
      <c r="AW41" s="111"/>
      <c r="BB41" s="252"/>
      <c r="BC41" s="251"/>
      <c r="BD41" s="251"/>
      <c r="BE41" s="251"/>
      <c r="BF41" s="252"/>
      <c r="BG41" s="251" t="s">
        <v>157</v>
      </c>
      <c r="BH41" s="251">
        <v>8051420</v>
      </c>
      <c r="BI41" s="254">
        <f t="shared" si="1"/>
        <v>0</v>
      </c>
    </row>
    <row r="42" spans="1:61" ht="12" customHeight="1">
      <c r="A42" s="115"/>
      <c r="B42" s="116"/>
      <c r="C42" s="117"/>
      <c r="D42" s="115"/>
      <c r="E42" s="116"/>
      <c r="F42" s="116"/>
      <c r="G42" s="117"/>
      <c r="H42" s="115"/>
      <c r="I42" s="116"/>
      <c r="J42" s="116"/>
      <c r="K42" s="116"/>
      <c r="L42" s="117"/>
      <c r="M42" s="106" t="s">
        <v>51</v>
      </c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8"/>
      <c r="AG42" s="115"/>
      <c r="AH42" s="116"/>
      <c r="AI42" s="116"/>
      <c r="AJ42" s="116"/>
      <c r="AK42" s="117"/>
      <c r="AL42" s="115"/>
      <c r="AM42" s="116"/>
      <c r="AN42" s="116"/>
      <c r="AO42" s="117"/>
      <c r="AP42" s="115"/>
      <c r="AQ42" s="116"/>
      <c r="AR42" s="116"/>
      <c r="AS42" s="117"/>
      <c r="AT42" s="115"/>
      <c r="AU42" s="116"/>
      <c r="AV42" s="116"/>
      <c r="AW42" s="117"/>
      <c r="BB42" s="253"/>
      <c r="BC42" s="251"/>
      <c r="BD42" s="251"/>
      <c r="BE42" s="251"/>
      <c r="BF42" s="252"/>
      <c r="BG42" s="251" t="s">
        <v>159</v>
      </c>
      <c r="BH42" s="251">
        <v>8051416</v>
      </c>
      <c r="BI42" s="254">
        <f t="shared" si="1"/>
        <v>783740</v>
      </c>
    </row>
    <row r="43" spans="1:61" ht="12" customHeight="1">
      <c r="A43" s="145" t="s">
        <v>73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7" t="s">
        <v>74</v>
      </c>
      <c r="AS43" s="147"/>
      <c r="AT43" s="124" t="s">
        <v>54</v>
      </c>
      <c r="AU43" s="124"/>
      <c r="AV43" s="124"/>
      <c r="AW43" s="125"/>
      <c r="BB43" s="253"/>
      <c r="BC43" s="251"/>
      <c r="BD43" s="251"/>
      <c r="BE43" s="251"/>
      <c r="BF43" s="251"/>
      <c r="BG43" s="251" t="s">
        <v>160</v>
      </c>
      <c r="BH43" s="251">
        <v>8050901</v>
      </c>
      <c r="BI43" s="254">
        <f t="shared" si="1"/>
        <v>0</v>
      </c>
    </row>
    <row r="44" spans="1:61" ht="12" customHeight="1">
      <c r="A44" s="112" t="s">
        <v>75</v>
      </c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4"/>
      <c r="BB44" s="253"/>
      <c r="BC44" s="251"/>
      <c r="BD44" s="251"/>
      <c r="BE44" s="251"/>
      <c r="BF44" s="251"/>
      <c r="BG44" s="251" t="s">
        <v>161</v>
      </c>
      <c r="BH44" s="251">
        <v>8051301</v>
      </c>
      <c r="BI44" s="254">
        <f t="shared" si="1"/>
        <v>23130</v>
      </c>
    </row>
    <row r="45" spans="1:61" ht="12" customHeight="1">
      <c r="A45" s="115"/>
      <c r="B45" s="116"/>
      <c r="C45" s="117"/>
      <c r="D45" s="115"/>
      <c r="E45" s="116"/>
      <c r="F45" s="116"/>
      <c r="G45" s="117"/>
      <c r="H45" s="115"/>
      <c r="I45" s="116"/>
      <c r="J45" s="116"/>
      <c r="K45" s="116"/>
      <c r="L45" s="117"/>
      <c r="M45" s="106" t="s">
        <v>51</v>
      </c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8"/>
      <c r="AG45" s="115"/>
      <c r="AH45" s="116"/>
      <c r="AI45" s="116"/>
      <c r="AJ45" s="116"/>
      <c r="AK45" s="117"/>
      <c r="AL45" s="115"/>
      <c r="AM45" s="116"/>
      <c r="AN45" s="116"/>
      <c r="AO45" s="117"/>
      <c r="AP45" s="115"/>
      <c r="AQ45" s="116"/>
      <c r="AR45" s="116"/>
      <c r="AS45" s="117"/>
      <c r="AT45" s="115"/>
      <c r="AU45" s="116"/>
      <c r="AV45" s="116"/>
      <c r="AW45" s="117"/>
      <c r="BB45" s="251"/>
      <c r="BC45" s="251"/>
      <c r="BD45" s="251"/>
      <c r="BE45" s="251"/>
      <c r="BF45" s="252"/>
      <c r="BG45" s="251" t="s">
        <v>162</v>
      </c>
      <c r="BH45" s="251">
        <v>8040703</v>
      </c>
      <c r="BI45" s="254">
        <f t="shared" si="1"/>
        <v>0</v>
      </c>
    </row>
    <row r="46" spans="1:61" ht="12" customHeight="1">
      <c r="A46" s="148" t="s">
        <v>76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7" t="s">
        <v>77</v>
      </c>
      <c r="AS46" s="147"/>
      <c r="AT46" s="124" t="s">
        <v>54</v>
      </c>
      <c r="AU46" s="124"/>
      <c r="AV46" s="124"/>
      <c r="AW46" s="125"/>
      <c r="BB46" s="253"/>
      <c r="BC46" s="251"/>
      <c r="BD46" s="251"/>
      <c r="BE46" s="251"/>
      <c r="BF46" s="251"/>
      <c r="BG46" s="251" t="s">
        <v>163</v>
      </c>
      <c r="BH46" s="251">
        <v>8050708</v>
      </c>
      <c r="BI46" s="254">
        <f t="shared" si="1"/>
        <v>0</v>
      </c>
    </row>
    <row r="47" spans="1:61" ht="12" customHeight="1">
      <c r="A47" s="112" t="s">
        <v>78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4"/>
      <c r="BB47" s="253"/>
      <c r="BC47" s="251"/>
      <c r="BD47" s="251"/>
      <c r="BE47" s="251"/>
      <c r="BF47" s="251"/>
      <c r="BG47" s="251" t="s">
        <v>164</v>
      </c>
      <c r="BH47" s="251">
        <v>8040705</v>
      </c>
      <c r="BI47" s="254">
        <f t="shared" si="1"/>
        <v>0</v>
      </c>
    </row>
    <row r="48" spans="1:61" ht="12" customHeight="1">
      <c r="A48" s="81"/>
      <c r="B48" s="82"/>
      <c r="C48" s="99"/>
      <c r="D48" s="151">
        <v>45762</v>
      </c>
      <c r="E48" s="152"/>
      <c r="F48" s="152"/>
      <c r="G48" s="153"/>
      <c r="H48" s="154">
        <v>150400000000</v>
      </c>
      <c r="I48" s="155"/>
      <c r="J48" s="155"/>
      <c r="K48" s="155"/>
      <c r="L48" s="156"/>
      <c r="M48" s="9" t="s">
        <v>79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1"/>
      <c r="AG48" s="157">
        <v>699296</v>
      </c>
      <c r="AH48" s="158"/>
      <c r="AI48" s="158"/>
      <c r="AJ48" s="158"/>
      <c r="AK48" s="159"/>
      <c r="AL48" s="157">
        <v>699296</v>
      </c>
      <c r="AM48" s="158"/>
      <c r="AN48" s="158"/>
      <c r="AO48" s="159"/>
      <c r="AP48" s="74" t="s">
        <v>47</v>
      </c>
      <c r="AQ48" s="75"/>
      <c r="AR48" s="75"/>
      <c r="AS48" s="160"/>
      <c r="AT48" s="157">
        <v>699296</v>
      </c>
      <c r="AU48" s="158"/>
      <c r="AV48" s="158"/>
      <c r="AW48" s="159"/>
      <c r="AX48">
        <v>699296</v>
      </c>
      <c r="BB48" s="251" t="s">
        <v>159</v>
      </c>
      <c r="BC48" s="255"/>
      <c r="BD48" s="251"/>
      <c r="BE48" s="251">
        <f t="shared" si="0"/>
        <v>8051416</v>
      </c>
      <c r="BF48" s="251"/>
      <c r="BG48" s="255" t="s">
        <v>158</v>
      </c>
      <c r="BH48" s="251">
        <v>3030101</v>
      </c>
      <c r="BI48" s="254">
        <f>SUMIF(BE:BE,BH48,AX:AX)</f>
        <v>0</v>
      </c>
    </row>
    <row r="49" spans="1:63" ht="12" customHeight="1">
      <c r="A49" s="83"/>
      <c r="B49" s="84"/>
      <c r="C49" s="150"/>
      <c r="D49" s="161">
        <v>45772</v>
      </c>
      <c r="E49" s="162"/>
      <c r="F49" s="162"/>
      <c r="G49" s="163"/>
      <c r="H49" s="164">
        <v>250400000000</v>
      </c>
      <c r="I49" s="165"/>
      <c r="J49" s="165"/>
      <c r="K49" s="165"/>
      <c r="L49" s="166"/>
      <c r="M49" s="12" t="s">
        <v>80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4"/>
      <c r="AG49" s="167">
        <v>462</v>
      </c>
      <c r="AH49" s="168"/>
      <c r="AI49" s="168"/>
      <c r="AJ49" s="168"/>
      <c r="AK49" s="169"/>
      <c r="AL49" s="167">
        <v>462</v>
      </c>
      <c r="AM49" s="168"/>
      <c r="AN49" s="168"/>
      <c r="AO49" s="169"/>
      <c r="AP49" s="85" t="s">
        <v>47</v>
      </c>
      <c r="AQ49" s="86"/>
      <c r="AR49" s="86"/>
      <c r="AS49" s="170"/>
      <c r="AT49" s="167">
        <v>462</v>
      </c>
      <c r="AU49" s="168"/>
      <c r="AV49" s="168"/>
      <c r="AW49" s="169"/>
      <c r="AX49">
        <v>462</v>
      </c>
      <c r="BB49" s="251" t="s">
        <v>161</v>
      </c>
      <c r="BC49" s="251"/>
      <c r="BD49" s="251"/>
      <c r="BE49" s="251">
        <f t="shared" si="0"/>
        <v>8051301</v>
      </c>
      <c r="BF49" s="251"/>
      <c r="BG49" s="256" t="s">
        <v>165</v>
      </c>
      <c r="BH49" s="251">
        <v>3011302</v>
      </c>
      <c r="BI49" s="254"/>
      <c r="BJ49">
        <v>699296</v>
      </c>
    </row>
    <row r="50" spans="1:63" ht="12" customHeight="1">
      <c r="A50" s="83"/>
      <c r="B50" s="84"/>
      <c r="C50" s="150"/>
      <c r="D50" s="161">
        <v>45772</v>
      </c>
      <c r="E50" s="162"/>
      <c r="F50" s="162"/>
      <c r="G50" s="163"/>
      <c r="H50" s="164">
        <v>250400000000</v>
      </c>
      <c r="I50" s="165"/>
      <c r="J50" s="165"/>
      <c r="K50" s="165"/>
      <c r="L50" s="166"/>
      <c r="M50" s="12" t="s">
        <v>81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4"/>
      <c r="AG50" s="89">
        <v>3904</v>
      </c>
      <c r="AH50" s="90"/>
      <c r="AI50" s="90"/>
      <c r="AJ50" s="90"/>
      <c r="AK50" s="91"/>
      <c r="AL50" s="89">
        <v>3904</v>
      </c>
      <c r="AM50" s="90"/>
      <c r="AN50" s="90"/>
      <c r="AO50" s="91"/>
      <c r="AP50" s="85" t="s">
        <v>47</v>
      </c>
      <c r="AQ50" s="86"/>
      <c r="AR50" s="86"/>
      <c r="AS50" s="170"/>
      <c r="AT50" s="89">
        <v>3904</v>
      </c>
      <c r="AU50" s="90"/>
      <c r="AV50" s="90"/>
      <c r="AW50" s="91"/>
      <c r="AX50">
        <v>3904</v>
      </c>
      <c r="BB50" s="251" t="s">
        <v>161</v>
      </c>
      <c r="BC50" s="251"/>
      <c r="BD50" s="251"/>
      <c r="BE50" s="251">
        <f t="shared" si="0"/>
        <v>8051301</v>
      </c>
      <c r="BF50" s="251"/>
      <c r="BG50" s="255" t="s">
        <v>166</v>
      </c>
      <c r="BH50" s="251">
        <v>3011301</v>
      </c>
      <c r="BI50" s="254">
        <f t="shared" ref="BI49:BI50" si="2">SUMIF(BE:BE,BH50,AX:AX)</f>
        <v>0</v>
      </c>
      <c r="BJ50" s="257">
        <f>SUM(BI38:BI49)</f>
        <v>806870</v>
      </c>
    </row>
    <row r="51" spans="1:63" ht="12" customHeight="1">
      <c r="A51" s="100"/>
      <c r="B51" s="101"/>
      <c r="C51" s="102"/>
      <c r="D51" s="171">
        <v>45772</v>
      </c>
      <c r="E51" s="172"/>
      <c r="F51" s="172"/>
      <c r="G51" s="173"/>
      <c r="H51" s="174">
        <v>250400000000</v>
      </c>
      <c r="I51" s="175"/>
      <c r="J51" s="175"/>
      <c r="K51" s="175"/>
      <c r="L51" s="176"/>
      <c r="M51" s="15" t="s">
        <v>82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7"/>
      <c r="AG51" s="177">
        <v>18764</v>
      </c>
      <c r="AH51" s="178"/>
      <c r="AI51" s="178"/>
      <c r="AJ51" s="178"/>
      <c r="AK51" s="179"/>
      <c r="AL51" s="177">
        <v>18764</v>
      </c>
      <c r="AM51" s="178"/>
      <c r="AN51" s="178"/>
      <c r="AO51" s="179"/>
      <c r="AP51" s="94" t="s">
        <v>47</v>
      </c>
      <c r="AQ51" s="95"/>
      <c r="AR51" s="95"/>
      <c r="AS51" s="180"/>
      <c r="AT51" s="177">
        <v>18764</v>
      </c>
      <c r="AU51" s="178"/>
      <c r="AV51" s="178"/>
      <c r="AW51" s="179"/>
      <c r="AX51">
        <v>18764</v>
      </c>
      <c r="BB51" s="251" t="s">
        <v>161</v>
      </c>
      <c r="BC51" s="251"/>
      <c r="BD51" s="251"/>
      <c r="BE51" s="251">
        <f t="shared" si="0"/>
        <v>8051301</v>
      </c>
      <c r="BF51" s="251"/>
      <c r="BG51" s="251"/>
      <c r="BH51" s="251"/>
      <c r="BI51" s="255" t="s">
        <v>167</v>
      </c>
      <c r="BJ51" s="258">
        <f>BJ50-W54</f>
        <v>0</v>
      </c>
    </row>
    <row r="52" spans="1:63" ht="12" customHeight="1">
      <c r="A52" s="6" t="s">
        <v>83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147" t="s">
        <v>84</v>
      </c>
      <c r="AS52" s="147"/>
      <c r="AT52" s="124" t="s">
        <v>85</v>
      </c>
      <c r="AU52" s="124"/>
      <c r="AV52" s="124"/>
      <c r="AW52" s="125"/>
    </row>
    <row r="53" spans="1:63" ht="14.25" customHeight="1">
      <c r="A53" s="71" t="s">
        <v>86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3"/>
      <c r="BG53" s="256" t="s">
        <v>165</v>
      </c>
      <c r="BH53" s="251">
        <v>3011302</v>
      </c>
      <c r="BI53" s="254">
        <f t="shared" ref="BI53" si="3">SUMIF(BE:BE,BH53,AX:AX)</f>
        <v>0</v>
      </c>
      <c r="BJ53" s="259">
        <f>+AW106</f>
        <v>-706.36</v>
      </c>
      <c r="BK53">
        <f>AX48/BJ53</f>
        <v>-989.99943371651852</v>
      </c>
    </row>
    <row r="54" spans="1:63" ht="12" customHeight="1">
      <c r="A54" s="9" t="s">
        <v>87</v>
      </c>
      <c r="B54" s="10"/>
      <c r="C54" s="10"/>
      <c r="D54" s="10"/>
      <c r="E54" s="10"/>
      <c r="F54" s="10"/>
      <c r="G54" s="10"/>
      <c r="H54" s="10"/>
      <c r="I54" s="10"/>
      <c r="J54" s="10"/>
      <c r="K54" s="181"/>
      <c r="L54" s="183" t="s">
        <v>88</v>
      </c>
      <c r="M54" s="184"/>
      <c r="N54" s="187" t="s">
        <v>89</v>
      </c>
      <c r="O54" s="184"/>
      <c r="P54" s="189" t="s">
        <v>90</v>
      </c>
      <c r="Q54" s="189" t="s">
        <v>91</v>
      </c>
      <c r="R54" s="187" t="s">
        <v>92</v>
      </c>
      <c r="S54" s="184"/>
      <c r="T54" s="189" t="s">
        <v>93</v>
      </c>
      <c r="U54" s="191" t="s">
        <v>84</v>
      </c>
      <c r="V54" s="193" t="s">
        <v>94</v>
      </c>
      <c r="W54" s="157">
        <v>806870</v>
      </c>
      <c r="X54" s="158"/>
      <c r="Y54" s="158"/>
      <c r="Z54" s="158"/>
      <c r="AA54" s="158"/>
      <c r="AB54" s="158"/>
      <c r="AC54" s="158"/>
      <c r="AD54" s="158"/>
      <c r="AE54" s="159"/>
    </row>
    <row r="55" spans="1:63" ht="2.2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82"/>
      <c r="L55" s="185"/>
      <c r="M55" s="186"/>
      <c r="N55" s="188"/>
      <c r="O55" s="186"/>
      <c r="P55" s="190"/>
      <c r="Q55" s="190"/>
      <c r="R55" s="188"/>
      <c r="S55" s="186"/>
      <c r="T55" s="190"/>
      <c r="U55" s="192"/>
      <c r="V55" s="194"/>
      <c r="W55" s="195">
        <v>38352</v>
      </c>
      <c r="X55" s="196"/>
      <c r="Y55" s="196"/>
      <c r="Z55" s="196"/>
      <c r="AA55" s="196"/>
      <c r="AB55" s="196"/>
      <c r="AC55" s="196"/>
      <c r="AD55" s="196"/>
      <c r="AE55" s="197"/>
    </row>
    <row r="56" spans="1:63" ht="12" customHeight="1">
      <c r="A56" s="12" t="s">
        <v>95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4"/>
      <c r="W56" s="195"/>
      <c r="X56" s="196"/>
      <c r="Y56" s="196"/>
      <c r="Z56" s="196"/>
      <c r="AA56" s="196"/>
      <c r="AB56" s="196"/>
      <c r="AC56" s="196"/>
      <c r="AD56" s="196"/>
      <c r="AE56" s="197"/>
    </row>
    <row r="57" spans="1:63" ht="12" customHeight="1">
      <c r="A57" s="12" t="s">
        <v>96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4"/>
      <c r="W57" s="89">
        <v>806870</v>
      </c>
      <c r="X57" s="90"/>
      <c r="Y57" s="90"/>
      <c r="Z57" s="90"/>
      <c r="AA57" s="90"/>
      <c r="AB57" s="90"/>
      <c r="AC57" s="90"/>
      <c r="AD57" s="90"/>
      <c r="AE57" s="91"/>
    </row>
    <row r="58" spans="1:63" ht="13.7" customHeight="1">
      <c r="A58" s="15" t="s">
        <v>97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7"/>
      <c r="W58" s="96">
        <v>0</v>
      </c>
      <c r="X58" s="97"/>
      <c r="Y58" s="97"/>
      <c r="Z58" s="97"/>
      <c r="AA58" s="97"/>
      <c r="AB58" s="97"/>
      <c r="AC58" s="97"/>
      <c r="AD58" s="97"/>
      <c r="AE58" s="98"/>
    </row>
    <row r="59" spans="1:63" ht="14.25" customHeight="1">
      <c r="A59" s="49" t="s">
        <v>98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1"/>
    </row>
    <row r="60" spans="1:63" ht="121.5" customHeight="1">
      <c r="A60" s="198" t="s">
        <v>99</v>
      </c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200"/>
    </row>
    <row r="61" spans="1:63" ht="12" customHeight="1">
      <c r="A61" s="201" t="s">
        <v>100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  <c r="AU61" s="201"/>
      <c r="AV61" s="201"/>
      <c r="AW61" s="201"/>
      <c r="AX61" s="201"/>
      <c r="AY61" s="201"/>
      <c r="AZ61" s="201"/>
    </row>
    <row r="62" spans="1:63" ht="12" customHeight="1">
      <c r="A62" s="202" t="s">
        <v>101</v>
      </c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4"/>
    </row>
    <row r="63" spans="1:63" ht="12" customHeight="1">
      <c r="A63" s="61" t="s">
        <v>102</v>
      </c>
      <c r="B63" s="62"/>
      <c r="C63" s="62"/>
      <c r="D63" s="63"/>
      <c r="E63" s="61" t="s">
        <v>103</v>
      </c>
      <c r="F63" s="62"/>
      <c r="G63" s="62"/>
      <c r="H63" s="62"/>
      <c r="I63" s="63"/>
      <c r="J63" s="61" t="s">
        <v>104</v>
      </c>
      <c r="K63" s="62"/>
      <c r="L63" s="62"/>
      <c r="M63" s="62"/>
      <c r="N63" s="62"/>
      <c r="O63" s="62"/>
      <c r="P63" s="62"/>
      <c r="Q63" s="63"/>
      <c r="R63" s="61" t="s">
        <v>105</v>
      </c>
      <c r="S63" s="62"/>
      <c r="T63" s="62"/>
      <c r="U63" s="62"/>
      <c r="V63" s="62"/>
      <c r="W63" s="62"/>
      <c r="X63" s="62"/>
      <c r="Y63" s="62"/>
      <c r="Z63" s="63"/>
      <c r="AA63" s="61" t="s">
        <v>106</v>
      </c>
      <c r="AB63" s="62"/>
      <c r="AC63" s="62"/>
      <c r="AD63" s="62"/>
      <c r="AE63" s="63"/>
    </row>
    <row r="64" spans="1:63" ht="14.25" customHeight="1">
      <c r="A64" s="205">
        <v>0</v>
      </c>
      <c r="B64" s="206"/>
      <c r="C64" s="206"/>
      <c r="D64" s="207"/>
      <c r="E64" s="205">
        <v>0</v>
      </c>
      <c r="F64" s="206"/>
      <c r="G64" s="206"/>
      <c r="H64" s="206"/>
      <c r="I64" s="207"/>
      <c r="J64" s="205">
        <v>0</v>
      </c>
      <c r="K64" s="206"/>
      <c r="L64" s="206"/>
      <c r="M64" s="206"/>
      <c r="N64" s="206"/>
      <c r="O64" s="206"/>
      <c r="P64" s="206"/>
      <c r="Q64" s="207"/>
      <c r="R64" s="205">
        <v>0</v>
      </c>
      <c r="S64" s="206"/>
      <c r="T64" s="206"/>
      <c r="U64" s="206"/>
      <c r="V64" s="206"/>
      <c r="W64" s="206"/>
      <c r="X64" s="206"/>
      <c r="Y64" s="206"/>
      <c r="Z64" s="207"/>
      <c r="AA64" s="205">
        <v>0</v>
      </c>
      <c r="AB64" s="206"/>
      <c r="AC64" s="206"/>
      <c r="AD64" s="206"/>
      <c r="AE64" s="207"/>
    </row>
    <row r="65" spans="1:49" ht="28.35" customHeight="1">
      <c r="A65" s="208" t="s">
        <v>107</v>
      </c>
      <c r="B65" s="208"/>
      <c r="C65" s="208"/>
      <c r="D65" s="208"/>
      <c r="E65" s="209"/>
    </row>
    <row r="66" spans="1:49" ht="12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  <c r="R66" s="28" t="s">
        <v>27</v>
      </c>
      <c r="S66" s="29"/>
      <c r="T66" s="29"/>
      <c r="U66" s="29"/>
      <c r="V66" s="29"/>
      <c r="W66" s="29"/>
      <c r="X66" s="29"/>
      <c r="Y66" s="29"/>
      <c r="Z66" s="30"/>
      <c r="AA66" s="28" t="s">
        <v>28</v>
      </c>
      <c r="AB66" s="29"/>
      <c r="AC66" s="29"/>
      <c r="AD66" s="29"/>
      <c r="AE66" s="30"/>
    </row>
    <row r="67" spans="1:49" ht="14.25" customHeight="1">
      <c r="A67" s="106" t="s">
        <v>108</v>
      </c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8"/>
      <c r="R67" s="64">
        <v>45773</v>
      </c>
      <c r="S67" s="65"/>
      <c r="T67" s="65"/>
      <c r="U67" s="65"/>
      <c r="V67" s="65"/>
      <c r="W67" s="65"/>
      <c r="X67" s="65"/>
      <c r="Y67" s="65"/>
      <c r="Z67" s="66"/>
      <c r="AA67" s="64">
        <v>45805</v>
      </c>
      <c r="AB67" s="65"/>
      <c r="AC67" s="65"/>
      <c r="AD67" s="65"/>
      <c r="AE67" s="66"/>
    </row>
    <row r="68" spans="1:49" ht="14.25" customHeight="1">
      <c r="A68" s="71" t="s">
        <v>109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3"/>
    </row>
    <row r="69" spans="1:49" ht="14.25" customHeight="1">
      <c r="A69" s="106" t="s">
        <v>110</v>
      </c>
      <c r="B69" s="107"/>
      <c r="C69" s="107"/>
      <c r="D69" s="107"/>
      <c r="E69" s="107"/>
      <c r="F69" s="107"/>
      <c r="G69" s="107"/>
      <c r="H69" s="108"/>
      <c r="I69" s="210">
        <v>0.312</v>
      </c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2"/>
    </row>
    <row r="70" spans="1:49" ht="12" customHeight="1">
      <c r="A70" s="9" t="s">
        <v>111</v>
      </c>
      <c r="B70" s="10"/>
      <c r="C70" s="10"/>
      <c r="D70" s="10"/>
      <c r="E70" s="10"/>
      <c r="F70" s="10"/>
      <c r="G70" s="10"/>
      <c r="H70" s="11"/>
      <c r="I70" s="213" t="s">
        <v>112</v>
      </c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5"/>
      <c r="AB70" s="61" t="s">
        <v>113</v>
      </c>
      <c r="AC70" s="62"/>
      <c r="AD70" s="62"/>
      <c r="AE70" s="63"/>
    </row>
    <row r="71" spans="1:49" ht="14.25" customHeight="1">
      <c r="A71" s="12"/>
      <c r="B71" s="13"/>
      <c r="C71" s="13"/>
      <c r="D71" s="13"/>
      <c r="E71" s="13"/>
      <c r="F71" s="13"/>
      <c r="G71" s="13"/>
      <c r="H71" s="14"/>
      <c r="I71" s="106" t="s">
        <v>114</v>
      </c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8"/>
      <c r="AB71" s="216">
        <v>0.09</v>
      </c>
      <c r="AC71" s="217"/>
      <c r="AD71" s="217"/>
      <c r="AE71" s="218"/>
    </row>
    <row r="72" spans="1:49" ht="14.25" customHeight="1">
      <c r="A72" s="12"/>
      <c r="B72" s="13"/>
      <c r="C72" s="13"/>
      <c r="D72" s="13"/>
      <c r="E72" s="13"/>
      <c r="F72" s="13"/>
      <c r="G72" s="13"/>
      <c r="H72" s="14"/>
      <c r="I72" s="106" t="s">
        <v>115</v>
      </c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8"/>
      <c r="AB72" s="216">
        <v>0.06</v>
      </c>
      <c r="AC72" s="217"/>
      <c r="AD72" s="217"/>
      <c r="AE72" s="218"/>
    </row>
    <row r="73" spans="1:49" ht="14.25" customHeight="1">
      <c r="A73" s="15"/>
      <c r="B73" s="16"/>
      <c r="C73" s="16"/>
      <c r="D73" s="16"/>
      <c r="E73" s="16"/>
      <c r="F73" s="16"/>
      <c r="G73" s="16"/>
      <c r="H73" s="17"/>
      <c r="I73" s="106" t="s">
        <v>116</v>
      </c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8"/>
      <c r="AB73" s="216">
        <v>0.03</v>
      </c>
      <c r="AC73" s="217"/>
      <c r="AD73" s="217"/>
      <c r="AE73" s="218"/>
    </row>
    <row r="74" spans="1:49" ht="11.25" customHeight="1">
      <c r="A74" s="219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1"/>
    </row>
    <row r="75" spans="1:49" ht="57.75" customHeight="1">
      <c r="A75" s="222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4"/>
    </row>
    <row r="76" spans="1:49" ht="42.6" customHeight="1">
      <c r="A76" s="61" t="s">
        <v>117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3"/>
    </row>
    <row r="77" spans="1:49" ht="11.25" customHeight="1">
      <c r="A77" s="219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1"/>
    </row>
    <row r="78" spans="1:49" ht="57.75" customHeight="1">
      <c r="A78" s="222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4"/>
    </row>
    <row r="79" spans="1:49" ht="42.6" customHeight="1">
      <c r="A79" s="61" t="s">
        <v>118</v>
      </c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3"/>
    </row>
    <row r="80" spans="1:49" ht="26.1" customHeight="1"/>
    <row r="81" spans="1:53" ht="12" customHeight="1">
      <c r="A81" s="92"/>
      <c r="B81" s="92"/>
      <c r="C81" s="28" t="s">
        <v>119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30"/>
      <c r="AZ81" s="92"/>
      <c r="BA81" s="92"/>
    </row>
    <row r="82" spans="1:53" ht="12" customHeight="1">
      <c r="A82" s="92"/>
      <c r="B82" s="92"/>
      <c r="C82" s="9" t="s">
        <v>1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  <c r="O82" s="9" t="s">
        <v>2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1"/>
      <c r="AZ82" s="92"/>
      <c r="BA82" s="92"/>
    </row>
    <row r="83" spans="1:53" ht="12" customHeight="1">
      <c r="A83" s="92"/>
      <c r="B83" s="92"/>
      <c r="C83" s="12" t="s">
        <v>120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4"/>
      <c r="O83" s="12" t="s">
        <v>4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4"/>
      <c r="AZ83" s="92"/>
      <c r="BA83" s="92"/>
    </row>
    <row r="84" spans="1:53" ht="15.6" customHeight="1">
      <c r="A84" s="92"/>
      <c r="B84" s="92"/>
      <c r="C84" s="15" t="s">
        <v>5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7"/>
      <c r="O84" s="18">
        <v>45772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20"/>
      <c r="AZ84" s="92"/>
      <c r="BA84" s="92"/>
    </row>
    <row r="85" spans="1:53" ht="95.45" customHeight="1">
      <c r="A85" s="133" t="s">
        <v>121</v>
      </c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</row>
    <row r="86" spans="1:53" ht="12" customHeight="1">
      <c r="A86" s="92"/>
      <c r="B86" s="92"/>
      <c r="C86" s="23" t="s">
        <v>122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5"/>
      <c r="AZ86" s="92"/>
      <c r="BA86" s="92"/>
    </row>
    <row r="87" spans="1:53" ht="11.4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2"/>
      <c r="R87" s="2"/>
      <c r="S87" s="92"/>
      <c r="T87" s="92"/>
      <c r="U87" s="2"/>
      <c r="V87" s="92"/>
      <c r="W87" s="92"/>
      <c r="X87" s="92"/>
      <c r="Y87" s="92"/>
      <c r="Z87" s="92"/>
      <c r="AA87" s="92"/>
      <c r="AB87" s="92"/>
      <c r="AC87" s="2"/>
      <c r="AD87" s="2"/>
      <c r="AE87" s="2"/>
      <c r="AF87" s="92"/>
      <c r="AG87" s="92"/>
      <c r="AH87" s="92"/>
      <c r="AI87" s="2"/>
      <c r="AJ87" s="2"/>
      <c r="AK87" s="92"/>
      <c r="AL87" s="92"/>
      <c r="AM87" s="92"/>
      <c r="AN87" s="2"/>
      <c r="AO87" s="2"/>
      <c r="AP87" s="2"/>
      <c r="AQ87" s="92"/>
      <c r="AR87" s="92"/>
      <c r="AS87" s="92"/>
      <c r="AT87" s="92"/>
      <c r="AU87" s="2"/>
      <c r="AV87" s="2"/>
      <c r="AW87" s="2"/>
      <c r="AX87" s="2"/>
      <c r="AY87" s="2"/>
      <c r="AZ87" s="92"/>
      <c r="BA87" s="92"/>
    </row>
    <row r="88" spans="1:53" ht="12" customHeight="1">
      <c r="A88" s="92"/>
      <c r="B88" s="92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7"/>
      <c r="S88" s="49" t="s">
        <v>8</v>
      </c>
      <c r="T88" s="50"/>
      <c r="U88" s="50"/>
      <c r="V88" s="50"/>
      <c r="W88" s="50"/>
      <c r="X88" s="50"/>
      <c r="Y88" s="50"/>
      <c r="Z88" s="50"/>
      <c r="AA88" s="50"/>
      <c r="AB88" s="50"/>
      <c r="AC88" s="51"/>
      <c r="AD88" s="225" t="s">
        <v>9</v>
      </c>
      <c r="AE88" s="226"/>
      <c r="AF88" s="226"/>
      <c r="AG88" s="226"/>
      <c r="AH88" s="226"/>
      <c r="AI88" s="226"/>
      <c r="AJ88" s="227"/>
      <c r="AK88" s="23" t="s">
        <v>10</v>
      </c>
      <c r="AL88" s="24"/>
      <c r="AM88" s="24"/>
      <c r="AN88" s="24"/>
      <c r="AO88" s="25"/>
      <c r="AP88" s="2"/>
      <c r="AQ88" s="92"/>
      <c r="AR88" s="92"/>
      <c r="AS88" s="92"/>
      <c r="AT88" s="92"/>
      <c r="AU88" s="2"/>
      <c r="AV88" s="2"/>
      <c r="AW88" s="2"/>
      <c r="AX88" s="2"/>
      <c r="AY88" s="2"/>
      <c r="AZ88" s="92"/>
      <c r="BA88" s="92"/>
    </row>
    <row r="89" spans="1:53" ht="12" customHeight="1">
      <c r="A89" s="92"/>
      <c r="B89" s="92"/>
      <c r="C89" s="106" t="s">
        <v>11</v>
      </c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8"/>
      <c r="S89" s="106" t="s">
        <v>123</v>
      </c>
      <c r="T89" s="107"/>
      <c r="U89" s="107"/>
      <c r="V89" s="107"/>
      <c r="W89" s="107"/>
      <c r="X89" s="107"/>
      <c r="Y89" s="107"/>
      <c r="Z89" s="107"/>
      <c r="AA89" s="107"/>
      <c r="AB89" s="107"/>
      <c r="AC89" s="108"/>
      <c r="AD89" s="106" t="s">
        <v>124</v>
      </c>
      <c r="AE89" s="107"/>
      <c r="AF89" s="107"/>
      <c r="AG89" s="107"/>
      <c r="AH89" s="107"/>
      <c r="AI89" s="107"/>
      <c r="AJ89" s="108"/>
      <c r="AK89" s="106" t="s">
        <v>123</v>
      </c>
      <c r="AL89" s="107"/>
      <c r="AM89" s="107"/>
      <c r="AN89" s="107"/>
      <c r="AO89" s="108"/>
      <c r="AP89" s="2"/>
      <c r="AQ89" s="92"/>
      <c r="AR89" s="92"/>
      <c r="AS89" s="92"/>
      <c r="AT89" s="92"/>
      <c r="AU89" s="2"/>
      <c r="AV89" s="2"/>
      <c r="AW89" s="2"/>
      <c r="AX89" s="2"/>
      <c r="AY89" s="2"/>
      <c r="AZ89" s="92"/>
      <c r="BA89" s="92"/>
    </row>
    <row r="90" spans="1:53" ht="12" customHeight="1">
      <c r="A90" s="92"/>
      <c r="B90" s="92"/>
      <c r="C90" s="106" t="s">
        <v>12</v>
      </c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8"/>
      <c r="S90" s="106" t="s">
        <v>123</v>
      </c>
      <c r="T90" s="107"/>
      <c r="U90" s="107"/>
      <c r="V90" s="107"/>
      <c r="W90" s="107"/>
      <c r="X90" s="107"/>
      <c r="Y90" s="107"/>
      <c r="Z90" s="107"/>
      <c r="AA90" s="107"/>
      <c r="AB90" s="107"/>
      <c r="AC90" s="108"/>
      <c r="AD90" s="106" t="s">
        <v>124</v>
      </c>
      <c r="AE90" s="107"/>
      <c r="AF90" s="107"/>
      <c r="AG90" s="107"/>
      <c r="AH90" s="107"/>
      <c r="AI90" s="107"/>
      <c r="AJ90" s="108"/>
      <c r="AK90" s="106" t="s">
        <v>123</v>
      </c>
      <c r="AL90" s="107"/>
      <c r="AM90" s="107"/>
      <c r="AN90" s="107"/>
      <c r="AO90" s="108"/>
      <c r="AP90" s="2"/>
      <c r="AQ90" s="92"/>
      <c r="AR90" s="92"/>
      <c r="AS90" s="92"/>
      <c r="AT90" s="92"/>
      <c r="AU90" s="2"/>
      <c r="AV90" s="2"/>
      <c r="AW90" s="2"/>
      <c r="AX90" s="2"/>
      <c r="AY90" s="2"/>
      <c r="AZ90" s="92"/>
      <c r="BA90" s="92"/>
    </row>
    <row r="91" spans="1:53" ht="42.9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1"/>
      <c r="R91" s="1"/>
      <c r="S91" s="84"/>
      <c r="T91" s="84"/>
      <c r="U91" s="1"/>
      <c r="V91" s="84"/>
      <c r="W91" s="84"/>
      <c r="X91" s="84"/>
      <c r="Y91" s="84"/>
      <c r="Z91" s="84"/>
      <c r="AA91" s="84"/>
      <c r="AB91" s="84"/>
      <c r="AC91" s="1"/>
      <c r="AD91" s="1"/>
      <c r="AE91" s="1"/>
      <c r="AF91" s="84"/>
      <c r="AG91" s="84"/>
      <c r="AH91" s="84"/>
      <c r="AI91" s="1"/>
      <c r="AJ91" s="1"/>
      <c r="AK91" s="84"/>
      <c r="AL91" s="84"/>
      <c r="AM91" s="84"/>
      <c r="AN91" s="1"/>
      <c r="AO91" s="1"/>
      <c r="AP91" s="1"/>
      <c r="AQ91" s="84"/>
      <c r="AR91" s="84"/>
      <c r="AS91" s="84"/>
      <c r="AT91" s="84"/>
      <c r="AU91" s="1"/>
      <c r="AV91" s="1"/>
      <c r="AW91" s="1"/>
      <c r="AX91" s="1"/>
      <c r="AY91" s="1"/>
      <c r="AZ91" s="84"/>
      <c r="BA91" s="84"/>
    </row>
    <row r="92" spans="1:53" ht="12" customHeight="1">
      <c r="A92" s="92"/>
      <c r="B92" s="92"/>
      <c r="C92" s="23" t="s">
        <v>25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5"/>
      <c r="AZ92" s="92"/>
      <c r="BA92" s="92"/>
    </row>
    <row r="93" spans="1:53" ht="8.4499999999999993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2"/>
      <c r="R93" s="2"/>
      <c r="S93" s="92"/>
      <c r="T93" s="92"/>
      <c r="U93" s="2"/>
      <c r="V93" s="92"/>
      <c r="W93" s="92"/>
      <c r="X93" s="92"/>
      <c r="Y93" s="92"/>
      <c r="Z93" s="92"/>
      <c r="AA93" s="92"/>
      <c r="AB93" s="92"/>
      <c r="AC93" s="2"/>
      <c r="AD93" s="2"/>
      <c r="AE93" s="2"/>
      <c r="AF93" s="92"/>
      <c r="AG93" s="92"/>
      <c r="AH93" s="92"/>
      <c r="AI93" s="2"/>
      <c r="AJ93" s="2"/>
      <c r="AK93" s="92"/>
      <c r="AL93" s="92"/>
      <c r="AM93" s="92"/>
      <c r="AN93" s="2"/>
      <c r="AO93" s="2"/>
      <c r="AP93" s="2"/>
      <c r="AQ93" s="92"/>
      <c r="AR93" s="92"/>
      <c r="AS93" s="92"/>
      <c r="AT93" s="92"/>
      <c r="AU93" s="2"/>
      <c r="AV93" s="2"/>
      <c r="AW93" s="2"/>
      <c r="AX93" s="2"/>
      <c r="AY93" s="2"/>
      <c r="AZ93" s="92"/>
      <c r="BA93" s="92"/>
    </row>
    <row r="94" spans="1:53" ht="12" customHeight="1">
      <c r="A94" s="92"/>
      <c r="B94" s="92"/>
      <c r="C94" s="71" t="s">
        <v>125</v>
      </c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3"/>
      <c r="AZ94" s="92"/>
      <c r="BA94" s="92"/>
    </row>
    <row r="95" spans="1:53" ht="11.4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2"/>
      <c r="R95" s="2"/>
      <c r="S95" s="92"/>
      <c r="T95" s="92"/>
      <c r="U95" s="2"/>
      <c r="V95" s="92"/>
      <c r="W95" s="92"/>
      <c r="X95" s="92"/>
      <c r="Y95" s="92"/>
      <c r="Z95" s="92"/>
      <c r="AA95" s="92"/>
      <c r="AB95" s="92"/>
      <c r="AC95" s="2"/>
      <c r="AD95" s="2"/>
      <c r="AE95" s="2"/>
      <c r="AF95" s="92"/>
      <c r="AG95" s="92"/>
      <c r="AH95" s="92"/>
      <c r="AI95" s="2"/>
      <c r="AJ95" s="2"/>
      <c r="AK95" s="92"/>
      <c r="AL95" s="92"/>
      <c r="AM95" s="92"/>
      <c r="AN95" s="2"/>
      <c r="AO95" s="2"/>
      <c r="AP95" s="2"/>
      <c r="AQ95" s="92"/>
      <c r="AR95" s="92"/>
      <c r="AS95" s="92"/>
      <c r="AT95" s="92"/>
      <c r="AU95" s="2"/>
      <c r="AV95" s="2"/>
      <c r="AW95" s="2"/>
      <c r="AX95" s="2"/>
      <c r="AY95" s="2"/>
      <c r="AZ95" s="92"/>
      <c r="BA95" s="92"/>
    </row>
    <row r="96" spans="1:53" ht="12" customHeight="1">
      <c r="A96" s="92"/>
      <c r="B96" s="92"/>
      <c r="C96" s="81" t="s">
        <v>126</v>
      </c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99"/>
      <c r="S96" s="81" t="s">
        <v>127</v>
      </c>
      <c r="T96" s="82"/>
      <c r="U96" s="82"/>
      <c r="V96" s="82"/>
      <c r="W96" s="82"/>
      <c r="X96" s="82"/>
      <c r="Y96" s="82"/>
      <c r="Z96" s="82"/>
      <c r="AA96" s="82"/>
      <c r="AB96" s="82"/>
      <c r="AC96" s="99"/>
      <c r="AD96" s="2"/>
      <c r="AE96" s="2"/>
      <c r="AF96" s="92"/>
      <c r="AG96" s="92"/>
      <c r="AH96" s="92"/>
      <c r="AI96" s="9" t="s">
        <v>128</v>
      </c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1"/>
      <c r="AV96" s="228">
        <v>45744</v>
      </c>
      <c r="AW96" s="229"/>
      <c r="AX96" s="229"/>
      <c r="AY96" s="230"/>
      <c r="AZ96" s="92"/>
      <c r="BA96" s="92"/>
    </row>
    <row r="97" spans="1:53" ht="12" customHeight="1">
      <c r="A97" s="92"/>
      <c r="B97" s="92"/>
      <c r="C97" s="83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150"/>
      <c r="S97" s="83"/>
      <c r="T97" s="84"/>
      <c r="U97" s="84"/>
      <c r="V97" s="84"/>
      <c r="W97" s="84"/>
      <c r="X97" s="84"/>
      <c r="Y97" s="84"/>
      <c r="Z97" s="84"/>
      <c r="AA97" s="84"/>
      <c r="AB97" s="84"/>
      <c r="AC97" s="150"/>
      <c r="AD97" s="2"/>
      <c r="AE97" s="2"/>
      <c r="AF97" s="92"/>
      <c r="AG97" s="92"/>
      <c r="AH97" s="92"/>
      <c r="AI97" s="12" t="s">
        <v>129</v>
      </c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4"/>
      <c r="AV97" s="231">
        <v>45772</v>
      </c>
      <c r="AW97" s="232"/>
      <c r="AX97" s="232"/>
      <c r="AY97" s="233"/>
      <c r="AZ97" s="92"/>
      <c r="BA97" s="92"/>
    </row>
    <row r="98" spans="1:53" ht="12" customHeight="1">
      <c r="A98" s="92"/>
      <c r="B98" s="92"/>
      <c r="C98" s="83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150"/>
      <c r="S98" s="83"/>
      <c r="T98" s="84"/>
      <c r="U98" s="84"/>
      <c r="V98" s="84"/>
      <c r="W98" s="84"/>
      <c r="X98" s="84"/>
      <c r="Y98" s="84"/>
      <c r="Z98" s="84"/>
      <c r="AA98" s="84"/>
      <c r="AB98" s="84"/>
      <c r="AC98" s="150"/>
      <c r="AD98" s="2"/>
      <c r="AE98" s="2"/>
      <c r="AF98" s="92"/>
      <c r="AG98" s="92"/>
      <c r="AH98" s="92"/>
      <c r="AI98" s="15" t="s">
        <v>23</v>
      </c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7"/>
      <c r="AV98" s="234">
        <v>45792</v>
      </c>
      <c r="AW98" s="235"/>
      <c r="AX98" s="235"/>
      <c r="AY98" s="236"/>
      <c r="AZ98" s="92"/>
      <c r="BA98" s="92"/>
    </row>
    <row r="99" spans="1:53" ht="12.2" customHeight="1">
      <c r="A99" s="92"/>
      <c r="B99" s="92"/>
      <c r="C99" s="100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2"/>
      <c r="S99" s="100"/>
      <c r="T99" s="101"/>
      <c r="U99" s="101"/>
      <c r="V99" s="101"/>
      <c r="W99" s="101"/>
      <c r="X99" s="101"/>
      <c r="Y99" s="101"/>
      <c r="Z99" s="101"/>
      <c r="AA99" s="101"/>
      <c r="AB99" s="101"/>
      <c r="AC99" s="102"/>
      <c r="AD99" s="2"/>
      <c r="AE99" s="2"/>
      <c r="AF99" s="92"/>
      <c r="AG99" s="92"/>
      <c r="AH99" s="92"/>
      <c r="AI99" s="2"/>
      <c r="AJ99" s="2"/>
      <c r="AK99" s="92"/>
      <c r="AL99" s="92"/>
      <c r="AM99" s="92"/>
      <c r="AN99" s="2"/>
      <c r="AO99" s="2"/>
      <c r="AP99" s="2"/>
      <c r="AQ99" s="92"/>
      <c r="AR99" s="92"/>
      <c r="AS99" s="92"/>
      <c r="AT99" s="92"/>
      <c r="AU99" s="2"/>
      <c r="AV99" s="2"/>
      <c r="AW99" s="2"/>
      <c r="AX99" s="2"/>
      <c r="AY99" s="2"/>
      <c r="AZ99" s="92"/>
      <c r="BA99" s="92"/>
    </row>
    <row r="100" spans="1:53" ht="24.75" customHeight="1">
      <c r="A100" s="237" t="s">
        <v>130</v>
      </c>
      <c r="B100" s="237"/>
      <c r="C100" s="237"/>
      <c r="D100" s="237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  <c r="AA100" s="237"/>
      <c r="AB100" s="237"/>
      <c r="AC100" s="237"/>
      <c r="AD100" s="237"/>
      <c r="AE100" s="237"/>
      <c r="AF100" s="237"/>
      <c r="AG100" s="237"/>
      <c r="AH100" s="237"/>
      <c r="AI100" s="237"/>
      <c r="AJ100" s="237"/>
      <c r="AK100" s="237"/>
      <c r="AL100" s="237"/>
      <c r="AM100" s="237"/>
      <c r="AN100" s="237"/>
      <c r="AO100" s="237"/>
      <c r="AP100" s="237"/>
      <c r="AQ100" s="237"/>
      <c r="AR100" s="237"/>
      <c r="AS100" s="237"/>
      <c r="AT100" s="237"/>
      <c r="AU100" s="237"/>
      <c r="AV100" s="237"/>
      <c r="AW100" s="237"/>
      <c r="AX100" s="237"/>
      <c r="AY100" s="237"/>
      <c r="AZ100" s="237"/>
      <c r="BA100" s="237"/>
    </row>
    <row r="101" spans="1:53" ht="12" customHeight="1">
      <c r="A101" s="92"/>
      <c r="B101" s="92"/>
      <c r="C101" s="23" t="s">
        <v>131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5"/>
      <c r="AZ101" s="92"/>
      <c r="BA101" s="92"/>
    </row>
    <row r="102" spans="1:53" ht="33.950000000000003" customHeight="1">
      <c r="A102" s="84"/>
      <c r="B102" s="84"/>
      <c r="C102" s="106" t="s">
        <v>132</v>
      </c>
      <c r="D102" s="107"/>
      <c r="E102" s="107"/>
      <c r="F102" s="107"/>
      <c r="G102" s="107"/>
      <c r="H102" s="107"/>
      <c r="I102" s="107"/>
      <c r="J102" s="107"/>
      <c r="K102" s="107"/>
      <c r="L102" s="108"/>
      <c r="M102" s="106" t="s">
        <v>37</v>
      </c>
      <c r="N102" s="107"/>
      <c r="O102" s="107"/>
      <c r="P102" s="107"/>
      <c r="Q102" s="107"/>
      <c r="R102" s="108"/>
      <c r="S102" s="106" t="s">
        <v>39</v>
      </c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8"/>
      <c r="AJ102" s="106" t="s">
        <v>133</v>
      </c>
      <c r="AK102" s="107"/>
      <c r="AL102" s="107"/>
      <c r="AM102" s="108"/>
      <c r="AN102" s="106" t="s">
        <v>134</v>
      </c>
      <c r="AO102" s="108"/>
      <c r="AP102" s="106" t="s">
        <v>135</v>
      </c>
      <c r="AQ102" s="107"/>
      <c r="AR102" s="107"/>
      <c r="AS102" s="107"/>
      <c r="AT102" s="107"/>
      <c r="AU102" s="107"/>
      <c r="AV102" s="108"/>
      <c r="AW102" s="103" t="s">
        <v>136</v>
      </c>
      <c r="AX102" s="104"/>
      <c r="AY102" s="105"/>
      <c r="AZ102" s="84"/>
      <c r="BA102" s="84"/>
    </row>
    <row r="103" spans="1:53" ht="12" customHeight="1">
      <c r="A103" s="92"/>
      <c r="B103" s="92"/>
      <c r="C103" s="219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9" t="s">
        <v>137</v>
      </c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20"/>
      <c r="AO103" s="220"/>
      <c r="AP103" s="220"/>
      <c r="AQ103" s="220"/>
      <c r="AR103" s="220"/>
      <c r="AS103" s="220"/>
      <c r="AT103" s="220"/>
      <c r="AU103" s="220"/>
      <c r="AV103" s="220"/>
      <c r="AW103" s="72" t="s">
        <v>138</v>
      </c>
      <c r="AX103" s="72"/>
      <c r="AY103" s="73"/>
      <c r="AZ103" s="92"/>
      <c r="BA103" s="92"/>
    </row>
    <row r="104" spans="1:53" ht="12" customHeight="1">
      <c r="A104" s="92"/>
      <c r="B104" s="92"/>
      <c r="C104" s="219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9" t="s">
        <v>139</v>
      </c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20"/>
      <c r="AO104" s="220"/>
      <c r="AP104" s="220"/>
      <c r="AQ104" s="220"/>
      <c r="AR104" s="220"/>
      <c r="AS104" s="220"/>
      <c r="AT104" s="220"/>
      <c r="AU104" s="220"/>
      <c r="AV104" s="220"/>
      <c r="AW104" s="72" t="s">
        <v>138</v>
      </c>
      <c r="AX104" s="72"/>
      <c r="AY104" s="73"/>
      <c r="AZ104" s="92"/>
      <c r="BA104" s="92"/>
    </row>
    <row r="105" spans="1:53" ht="12" customHeight="1">
      <c r="A105" s="92"/>
      <c r="B105" s="92"/>
      <c r="C105" s="219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6" t="s">
        <v>140</v>
      </c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  <c r="AJ105" s="226"/>
      <c r="AK105" s="226"/>
      <c r="AL105" s="226"/>
      <c r="AM105" s="226"/>
      <c r="AN105" s="220"/>
      <c r="AO105" s="220"/>
      <c r="AP105" s="220"/>
      <c r="AQ105" s="220"/>
      <c r="AR105" s="220"/>
      <c r="AS105" s="220"/>
      <c r="AT105" s="220"/>
      <c r="AU105" s="220"/>
      <c r="AV105" s="220"/>
      <c r="AW105" s="72" t="s">
        <v>141</v>
      </c>
      <c r="AX105" s="72"/>
      <c r="AY105" s="73"/>
      <c r="AZ105" s="92"/>
      <c r="BA105" s="92"/>
    </row>
    <row r="106" spans="1:53" ht="12" customHeight="1">
      <c r="A106" s="92"/>
      <c r="B106" s="92"/>
      <c r="C106" s="238">
        <v>1504</v>
      </c>
      <c r="D106" s="239"/>
      <c r="E106" s="239"/>
      <c r="F106" s="239"/>
      <c r="G106" s="239"/>
      <c r="H106" s="239"/>
      <c r="I106" s="239"/>
      <c r="J106" s="239"/>
      <c r="K106" s="239"/>
      <c r="L106" s="240"/>
      <c r="M106" s="241">
        <v>45762</v>
      </c>
      <c r="N106" s="242"/>
      <c r="O106" s="242"/>
      <c r="P106" s="242"/>
      <c r="Q106" s="242"/>
      <c r="R106" s="243"/>
      <c r="S106" s="106" t="s">
        <v>142</v>
      </c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8"/>
      <c r="AJ106" s="115"/>
      <c r="AK106" s="116"/>
      <c r="AL106" s="116"/>
      <c r="AM106" s="117"/>
      <c r="AN106" s="115"/>
      <c r="AO106" s="117"/>
      <c r="AP106" s="115"/>
      <c r="AQ106" s="116"/>
      <c r="AR106" s="116"/>
      <c r="AS106" s="116"/>
      <c r="AT106" s="116"/>
      <c r="AU106" s="116"/>
      <c r="AV106" s="117"/>
      <c r="AW106" s="244">
        <v>-706.36</v>
      </c>
      <c r="AX106" s="245"/>
      <c r="AY106" s="246"/>
      <c r="AZ106" s="92"/>
      <c r="BA106" s="92"/>
    </row>
    <row r="107" spans="1:53" ht="164.4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1"/>
      <c r="R107" s="1"/>
      <c r="S107" s="84"/>
      <c r="T107" s="84"/>
      <c r="U107" s="1"/>
      <c r="V107" s="84"/>
      <c r="W107" s="84"/>
      <c r="X107" s="84"/>
      <c r="Y107" s="84"/>
      <c r="Z107" s="84"/>
      <c r="AA107" s="84"/>
      <c r="AB107" s="84"/>
      <c r="AC107" s="1"/>
      <c r="AD107" s="1"/>
      <c r="AE107" s="1"/>
      <c r="AF107" s="84"/>
      <c r="AG107" s="84"/>
      <c r="AH107" s="84"/>
      <c r="AI107" s="1"/>
      <c r="AJ107" s="1"/>
      <c r="AK107" s="84"/>
      <c r="AL107" s="84"/>
      <c r="AM107" s="84"/>
      <c r="AN107" s="1"/>
      <c r="AO107" s="1"/>
      <c r="AP107" s="1"/>
      <c r="AQ107" s="84"/>
      <c r="AR107" s="84"/>
      <c r="AS107" s="84"/>
      <c r="AT107" s="84"/>
      <c r="AU107" s="1"/>
      <c r="AV107" s="1"/>
      <c r="AW107" s="1"/>
      <c r="AX107" s="1"/>
      <c r="AY107" s="1"/>
      <c r="AZ107" s="84"/>
      <c r="BA107" s="84"/>
    </row>
    <row r="108" spans="1:53" ht="13.5" customHeight="1">
      <c r="A108" s="92"/>
      <c r="B108" s="92"/>
      <c r="C108" s="247" t="s">
        <v>61</v>
      </c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9"/>
      <c r="AE108" s="2"/>
      <c r="AF108" s="247" t="s">
        <v>61</v>
      </c>
      <c r="AG108" s="248"/>
      <c r="AH108" s="248"/>
      <c r="AI108" s="248"/>
      <c r="AJ108" s="248"/>
      <c r="AK108" s="248"/>
      <c r="AL108" s="248"/>
      <c r="AM108" s="248"/>
      <c r="AN108" s="248"/>
      <c r="AO108" s="248"/>
      <c r="AP108" s="248"/>
      <c r="AQ108" s="248"/>
      <c r="AR108" s="248"/>
      <c r="AS108" s="248"/>
      <c r="AT108" s="248"/>
      <c r="AU108" s="248"/>
      <c r="AV108" s="248"/>
      <c r="AW108" s="248"/>
      <c r="AX108" s="249"/>
      <c r="AY108" s="2"/>
      <c r="AZ108" s="92"/>
      <c r="BA108" s="92"/>
    </row>
    <row r="109" spans="1:53" ht="24" customHeight="1">
      <c r="A109" s="133"/>
      <c r="B109" s="133"/>
      <c r="C109" s="81" t="s">
        <v>143</v>
      </c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99"/>
      <c r="O109" s="81" t="s">
        <v>144</v>
      </c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99"/>
      <c r="AE109" s="4"/>
      <c r="AF109" s="81" t="s">
        <v>143</v>
      </c>
      <c r="AG109" s="82"/>
      <c r="AH109" s="82"/>
      <c r="AI109" s="82"/>
      <c r="AJ109" s="82"/>
      <c r="AK109" s="82"/>
      <c r="AL109" s="82"/>
      <c r="AM109" s="99"/>
      <c r="AN109" s="81" t="s">
        <v>144</v>
      </c>
      <c r="AO109" s="82"/>
      <c r="AP109" s="82"/>
      <c r="AQ109" s="82"/>
      <c r="AR109" s="82"/>
      <c r="AS109" s="82"/>
      <c r="AT109" s="82"/>
      <c r="AU109" s="82"/>
      <c r="AV109" s="82"/>
      <c r="AW109" s="82"/>
      <c r="AX109" s="99"/>
      <c r="AY109" s="4"/>
      <c r="AZ109" s="133"/>
      <c r="BA109" s="133"/>
    </row>
    <row r="110" spans="1:53" ht="9" customHeight="1">
      <c r="A110" s="92"/>
      <c r="B110" s="92"/>
      <c r="C110" s="100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2"/>
      <c r="O110" s="137"/>
      <c r="P110" s="27"/>
      <c r="Q110" s="5"/>
      <c r="R110" s="5"/>
      <c r="S110" s="137"/>
      <c r="T110" s="27"/>
      <c r="U110" s="5"/>
      <c r="V110" s="137"/>
      <c r="W110" s="26"/>
      <c r="X110" s="26"/>
      <c r="Y110" s="27"/>
      <c r="Z110" s="137"/>
      <c r="AA110" s="26"/>
      <c r="AB110" s="27"/>
      <c r="AC110" s="137"/>
      <c r="AD110" s="27"/>
      <c r="AE110" s="2"/>
      <c r="AF110" s="100"/>
      <c r="AG110" s="101"/>
      <c r="AH110" s="101"/>
      <c r="AI110" s="101"/>
      <c r="AJ110" s="101"/>
      <c r="AK110" s="101"/>
      <c r="AL110" s="101"/>
      <c r="AM110" s="102"/>
      <c r="AN110" s="5"/>
      <c r="AO110" s="5"/>
      <c r="AP110" s="5"/>
      <c r="AQ110" s="137"/>
      <c r="AR110" s="27"/>
      <c r="AS110" s="137"/>
      <c r="AT110" s="27"/>
      <c r="AU110" s="137"/>
      <c r="AV110" s="27"/>
      <c r="AW110" s="5"/>
      <c r="AX110" s="5"/>
      <c r="AY110" s="2"/>
      <c r="AZ110" s="92"/>
      <c r="BA110" s="92"/>
    </row>
    <row r="111" spans="1:53" ht="24" customHeight="1">
      <c r="A111" s="133"/>
      <c r="B111" s="133"/>
      <c r="C111" s="109" t="s">
        <v>145</v>
      </c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1"/>
      <c r="O111" s="109" t="s">
        <v>146</v>
      </c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1"/>
      <c r="AE111" s="4"/>
      <c r="AF111" s="109" t="s">
        <v>147</v>
      </c>
      <c r="AG111" s="110"/>
      <c r="AH111" s="110"/>
      <c r="AI111" s="110"/>
      <c r="AJ111" s="110"/>
      <c r="AK111" s="110"/>
      <c r="AL111" s="110"/>
      <c r="AM111" s="111"/>
      <c r="AN111" s="109" t="s">
        <v>146</v>
      </c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1"/>
      <c r="AY111" s="4"/>
      <c r="AZ111" s="133"/>
      <c r="BA111" s="133"/>
    </row>
    <row r="112" spans="1:53" ht="24" customHeight="1">
      <c r="A112" s="133"/>
      <c r="B112" s="133"/>
      <c r="C112" s="109" t="s">
        <v>148</v>
      </c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1"/>
      <c r="O112" s="109" t="s">
        <v>149</v>
      </c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1"/>
      <c r="AE112" s="4"/>
      <c r="AF112" s="109" t="s">
        <v>148</v>
      </c>
      <c r="AG112" s="110"/>
      <c r="AH112" s="110"/>
      <c r="AI112" s="110"/>
      <c r="AJ112" s="110"/>
      <c r="AK112" s="110"/>
      <c r="AL112" s="110"/>
      <c r="AM112" s="111"/>
      <c r="AN112" s="109" t="s">
        <v>149</v>
      </c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1"/>
      <c r="AY112" s="4"/>
      <c r="AZ112" s="133"/>
      <c r="BA112" s="133"/>
    </row>
    <row r="113" spans="1:52" ht="57" customHeight="1"/>
    <row r="114" spans="1:52" ht="14.25" customHeight="1">
      <c r="A114" s="134" t="s">
        <v>61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6"/>
    </row>
    <row r="115" spans="1:52" ht="24" customHeight="1">
      <c r="A115" s="81" t="s">
        <v>62</v>
      </c>
      <c r="B115" s="82"/>
      <c r="C115" s="82"/>
      <c r="D115" s="82"/>
      <c r="E115" s="82"/>
      <c r="F115" s="82"/>
      <c r="G115" s="82"/>
      <c r="H115" s="82"/>
      <c r="I115" s="99"/>
      <c r="J115" s="81" t="s">
        <v>63</v>
      </c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99"/>
    </row>
    <row r="116" spans="1:52" ht="8.4499999999999993" customHeight="1">
      <c r="A116" s="100"/>
      <c r="B116" s="101"/>
      <c r="C116" s="101"/>
      <c r="D116" s="101"/>
      <c r="E116" s="101"/>
      <c r="F116" s="101"/>
      <c r="G116" s="101"/>
      <c r="H116" s="101"/>
      <c r="I116" s="102"/>
      <c r="J116" s="5"/>
      <c r="K116" s="137"/>
      <c r="L116" s="27"/>
      <c r="M116" s="137"/>
      <c r="N116" s="26"/>
      <c r="O116" s="27"/>
      <c r="P116" s="5"/>
      <c r="Q116" s="5"/>
      <c r="R116" s="137"/>
      <c r="S116" s="26"/>
      <c r="T116" s="27"/>
      <c r="U116" s="137"/>
      <c r="V116" s="26"/>
      <c r="W116" s="26"/>
      <c r="X116" s="27"/>
      <c r="Y116" s="137"/>
      <c r="Z116" s="26"/>
      <c r="AA116" s="26"/>
      <c r="AB116" s="27"/>
    </row>
    <row r="117" spans="1:52" ht="24" customHeight="1">
      <c r="A117" s="109" t="s">
        <v>64</v>
      </c>
      <c r="B117" s="110"/>
      <c r="C117" s="110"/>
      <c r="D117" s="110"/>
      <c r="E117" s="110"/>
      <c r="F117" s="110"/>
      <c r="G117" s="110"/>
      <c r="H117" s="110"/>
      <c r="I117" s="111"/>
      <c r="J117" s="138" t="s">
        <v>65</v>
      </c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40"/>
    </row>
    <row r="118" spans="1:52" ht="24" customHeight="1">
      <c r="A118" s="109" t="s">
        <v>66</v>
      </c>
      <c r="B118" s="110"/>
      <c r="C118" s="110"/>
      <c r="D118" s="110"/>
      <c r="E118" s="110"/>
      <c r="F118" s="110"/>
      <c r="G118" s="110"/>
      <c r="H118" s="110"/>
      <c r="I118" s="111"/>
      <c r="J118" s="141" t="s">
        <v>67</v>
      </c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3"/>
    </row>
    <row r="119" spans="1:52" ht="14.25" customHeight="1">
      <c r="A119" s="134" t="s">
        <v>61</v>
      </c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6"/>
    </row>
    <row r="120" spans="1:52" ht="24" customHeight="1">
      <c r="A120" s="81" t="s">
        <v>68</v>
      </c>
      <c r="B120" s="82"/>
      <c r="C120" s="82"/>
      <c r="D120" s="82"/>
      <c r="E120" s="82"/>
      <c r="F120" s="82"/>
      <c r="G120" s="82"/>
      <c r="H120" s="82"/>
      <c r="I120" s="99"/>
      <c r="J120" s="81" t="s">
        <v>63</v>
      </c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99"/>
    </row>
    <row r="121" spans="1:52" ht="8.4499999999999993" customHeight="1">
      <c r="A121" s="100"/>
      <c r="B121" s="101"/>
      <c r="C121" s="101"/>
      <c r="D121" s="101"/>
      <c r="E121" s="101"/>
      <c r="F121" s="101"/>
      <c r="G121" s="101"/>
      <c r="H121" s="101"/>
      <c r="I121" s="102"/>
      <c r="J121" s="5"/>
      <c r="K121" s="137"/>
      <c r="L121" s="27"/>
      <c r="M121" s="137"/>
      <c r="N121" s="26"/>
      <c r="O121" s="27"/>
      <c r="P121" s="5"/>
      <c r="Q121" s="5"/>
      <c r="R121" s="137"/>
      <c r="S121" s="26"/>
      <c r="T121" s="27"/>
      <c r="U121" s="137"/>
      <c r="V121" s="26"/>
      <c r="W121" s="26"/>
      <c r="X121" s="27"/>
      <c r="Y121" s="137"/>
      <c r="Z121" s="26"/>
      <c r="AA121" s="26"/>
      <c r="AB121" s="27"/>
    </row>
    <row r="122" spans="1:52" ht="24" customHeight="1">
      <c r="A122" s="109" t="s">
        <v>69</v>
      </c>
      <c r="B122" s="110"/>
      <c r="C122" s="110"/>
      <c r="D122" s="110"/>
      <c r="E122" s="110"/>
      <c r="F122" s="110"/>
      <c r="G122" s="110"/>
      <c r="H122" s="110"/>
      <c r="I122" s="111"/>
      <c r="J122" s="138" t="s">
        <v>65</v>
      </c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40"/>
    </row>
    <row r="123" spans="1:52" ht="24" customHeight="1">
      <c r="A123" s="109" t="s">
        <v>66</v>
      </c>
      <c r="B123" s="110"/>
      <c r="C123" s="110"/>
      <c r="D123" s="110"/>
      <c r="E123" s="110"/>
      <c r="F123" s="110"/>
      <c r="G123" s="110"/>
      <c r="H123" s="110"/>
      <c r="I123" s="111"/>
      <c r="J123" s="141" t="s">
        <v>67</v>
      </c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3"/>
    </row>
    <row r="124" spans="1:52" ht="11.25" customHeight="1">
      <c r="A124" s="3"/>
    </row>
    <row r="125" spans="1:52" ht="11.25" customHeight="1">
      <c r="A125" s="3"/>
    </row>
    <row r="126" spans="1:52" ht="11.25" customHeight="1">
      <c r="A126" s="3"/>
    </row>
    <row r="127" spans="1:52" ht="11.25" customHeight="1">
      <c r="A127" s="3"/>
    </row>
    <row r="128" spans="1:52" ht="12" customHeight="1">
      <c r="A128" s="144" t="s">
        <v>70</v>
      </c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</row>
    <row r="129" ht="24" customHeight="1"/>
    <row r="130" ht="14.1" customHeight="1"/>
    <row r="131" ht="81" customHeight="1"/>
    <row r="132" ht="90.95" customHeight="1"/>
    <row r="133" ht="57" customHeight="1"/>
  </sheetData>
  <mergeCells count="468">
    <mergeCell ref="A111:B111"/>
    <mergeCell ref="C111:N111"/>
    <mergeCell ref="O111:AD111"/>
    <mergeCell ref="AF111:AM111"/>
    <mergeCell ref="AN111:AX111"/>
    <mergeCell ref="AZ111:BA111"/>
    <mergeCell ref="A112:B112"/>
    <mergeCell ref="C112:N112"/>
    <mergeCell ref="O112:AD112"/>
    <mergeCell ref="AF112:AM112"/>
    <mergeCell ref="AN112:AX112"/>
    <mergeCell ref="AZ112:BA112"/>
    <mergeCell ref="AQ107:AR107"/>
    <mergeCell ref="AS107:AT107"/>
    <mergeCell ref="AZ107:BA107"/>
    <mergeCell ref="A108:B108"/>
    <mergeCell ref="C108:AD108"/>
    <mergeCell ref="AF108:AX108"/>
    <mergeCell ref="AZ108:BA108"/>
    <mergeCell ref="A109:B109"/>
    <mergeCell ref="C109:N110"/>
    <mergeCell ref="O109:AD109"/>
    <mergeCell ref="AF109:AM110"/>
    <mergeCell ref="AN109:AX109"/>
    <mergeCell ref="AZ109:BA109"/>
    <mergeCell ref="A110:B110"/>
    <mergeCell ref="O110:P110"/>
    <mergeCell ref="S110:T110"/>
    <mergeCell ref="V110:Y110"/>
    <mergeCell ref="Z110:AB110"/>
    <mergeCell ref="AC110:AD110"/>
    <mergeCell ref="AQ110:AR110"/>
    <mergeCell ref="AS110:AT110"/>
    <mergeCell ref="AU110:AV110"/>
    <mergeCell ref="AZ110:BA110"/>
    <mergeCell ref="A107:B107"/>
    <mergeCell ref="C107:L107"/>
    <mergeCell ref="M107:N107"/>
    <mergeCell ref="O107:P107"/>
    <mergeCell ref="S107:T107"/>
    <mergeCell ref="V107:Y107"/>
    <mergeCell ref="Z107:AB107"/>
    <mergeCell ref="AF107:AH107"/>
    <mergeCell ref="AK107:AM107"/>
    <mergeCell ref="A105:B105"/>
    <mergeCell ref="C105:L105"/>
    <mergeCell ref="M105:R105"/>
    <mergeCell ref="S105:AM105"/>
    <mergeCell ref="AN105:AO105"/>
    <mergeCell ref="AP105:AV105"/>
    <mergeCell ref="AW105:AY105"/>
    <mergeCell ref="AZ105:BA105"/>
    <mergeCell ref="A106:B106"/>
    <mergeCell ref="C106:L106"/>
    <mergeCell ref="M106:R106"/>
    <mergeCell ref="S106:AI106"/>
    <mergeCell ref="AJ106:AM106"/>
    <mergeCell ref="AN106:AO106"/>
    <mergeCell ref="AP106:AV106"/>
    <mergeCell ref="AW106:AY106"/>
    <mergeCell ref="AZ106:BA106"/>
    <mergeCell ref="A103:B103"/>
    <mergeCell ref="C103:L103"/>
    <mergeCell ref="M103:R103"/>
    <mergeCell ref="S103:AM103"/>
    <mergeCell ref="AN103:AO103"/>
    <mergeCell ref="AP103:AV103"/>
    <mergeCell ref="AW103:AY103"/>
    <mergeCell ref="AZ103:BA103"/>
    <mergeCell ref="A104:B104"/>
    <mergeCell ref="C104:L104"/>
    <mergeCell ref="M104:R104"/>
    <mergeCell ref="S104:AM104"/>
    <mergeCell ref="AN104:AO104"/>
    <mergeCell ref="AP104:AV104"/>
    <mergeCell ref="AW104:AY104"/>
    <mergeCell ref="AZ104:BA104"/>
    <mergeCell ref="A100:BA100"/>
    <mergeCell ref="A101:B101"/>
    <mergeCell ref="C101:AY101"/>
    <mergeCell ref="AZ101:BA101"/>
    <mergeCell ref="A102:B102"/>
    <mergeCell ref="C102:L102"/>
    <mergeCell ref="M102:R102"/>
    <mergeCell ref="S102:AI102"/>
    <mergeCell ref="AJ102:AM102"/>
    <mergeCell ref="AN102:AO102"/>
    <mergeCell ref="AP102:AV102"/>
    <mergeCell ref="AW102:AY102"/>
    <mergeCell ref="AZ102:BA102"/>
    <mergeCell ref="A96:B96"/>
    <mergeCell ref="C96:R99"/>
    <mergeCell ref="S96:AC99"/>
    <mergeCell ref="AF96:AH96"/>
    <mergeCell ref="AI96:AU96"/>
    <mergeCell ref="AV96:AY96"/>
    <mergeCell ref="AZ96:BA96"/>
    <mergeCell ref="A97:B97"/>
    <mergeCell ref="AF97:AH97"/>
    <mergeCell ref="AI97:AU97"/>
    <mergeCell ref="AV97:AY97"/>
    <mergeCell ref="AZ97:BA97"/>
    <mergeCell ref="A98:B98"/>
    <mergeCell ref="AF98:AH98"/>
    <mergeCell ref="AI98:AU98"/>
    <mergeCell ref="AV98:AY98"/>
    <mergeCell ref="AZ98:BA98"/>
    <mergeCell ref="A99:B99"/>
    <mergeCell ref="AF99:AH99"/>
    <mergeCell ref="AK99:AM99"/>
    <mergeCell ref="AQ99:AR99"/>
    <mergeCell ref="AS99:AT99"/>
    <mergeCell ref="AZ99:BA99"/>
    <mergeCell ref="A94:B94"/>
    <mergeCell ref="C94:AY94"/>
    <mergeCell ref="AZ94:BA94"/>
    <mergeCell ref="A95:B95"/>
    <mergeCell ref="C95:L95"/>
    <mergeCell ref="M95:N95"/>
    <mergeCell ref="O95:P95"/>
    <mergeCell ref="S95:T95"/>
    <mergeCell ref="V95:Y95"/>
    <mergeCell ref="Z95:AB95"/>
    <mergeCell ref="AF95:AH95"/>
    <mergeCell ref="AK95:AM95"/>
    <mergeCell ref="AQ95:AR95"/>
    <mergeCell ref="AS95:AT95"/>
    <mergeCell ref="AZ95:BA95"/>
    <mergeCell ref="A92:B92"/>
    <mergeCell ref="C92:AY92"/>
    <mergeCell ref="AZ92:BA92"/>
    <mergeCell ref="A93:B93"/>
    <mergeCell ref="C93:L93"/>
    <mergeCell ref="M93:N93"/>
    <mergeCell ref="O93:P93"/>
    <mergeCell ref="S93:T93"/>
    <mergeCell ref="V93:Y93"/>
    <mergeCell ref="Z93:AB93"/>
    <mergeCell ref="AF93:AH93"/>
    <mergeCell ref="AK93:AM93"/>
    <mergeCell ref="AQ93:AR93"/>
    <mergeCell ref="AS93:AT93"/>
    <mergeCell ref="AZ93:BA93"/>
    <mergeCell ref="A90:B90"/>
    <mergeCell ref="C90:R90"/>
    <mergeCell ref="S90:AC90"/>
    <mergeCell ref="AD90:AJ90"/>
    <mergeCell ref="AK90:AO90"/>
    <mergeCell ref="AQ90:AR90"/>
    <mergeCell ref="AS90:AT90"/>
    <mergeCell ref="AZ90:BA90"/>
    <mergeCell ref="A91:B91"/>
    <mergeCell ref="C91:L91"/>
    <mergeCell ref="M91:N91"/>
    <mergeCell ref="O91:P91"/>
    <mergeCell ref="S91:T91"/>
    <mergeCell ref="V91:Y91"/>
    <mergeCell ref="Z91:AB91"/>
    <mergeCell ref="AF91:AH91"/>
    <mergeCell ref="AK91:AM91"/>
    <mergeCell ref="AQ91:AR91"/>
    <mergeCell ref="AS91:AT91"/>
    <mergeCell ref="AZ91:BA91"/>
    <mergeCell ref="A88:B88"/>
    <mergeCell ref="C88:R88"/>
    <mergeCell ref="S88:AC88"/>
    <mergeCell ref="AD88:AJ88"/>
    <mergeCell ref="AK88:AO88"/>
    <mergeCell ref="AQ88:AR88"/>
    <mergeCell ref="AS88:AT88"/>
    <mergeCell ref="AZ88:BA88"/>
    <mergeCell ref="A89:B89"/>
    <mergeCell ref="C89:R89"/>
    <mergeCell ref="S89:AC89"/>
    <mergeCell ref="AD89:AJ89"/>
    <mergeCell ref="AK89:AO89"/>
    <mergeCell ref="AQ89:AR89"/>
    <mergeCell ref="AS89:AT89"/>
    <mergeCell ref="AZ89:BA89"/>
    <mergeCell ref="A85:BA85"/>
    <mergeCell ref="A86:B86"/>
    <mergeCell ref="C86:AY86"/>
    <mergeCell ref="AZ86:BA86"/>
    <mergeCell ref="A87:B87"/>
    <mergeCell ref="C87:L87"/>
    <mergeCell ref="M87:N87"/>
    <mergeCell ref="O87:P87"/>
    <mergeCell ref="S87:T87"/>
    <mergeCell ref="V87:Y87"/>
    <mergeCell ref="Z87:AB87"/>
    <mergeCell ref="AF87:AH87"/>
    <mergeCell ref="AK87:AM87"/>
    <mergeCell ref="AQ87:AR87"/>
    <mergeCell ref="AS87:AT87"/>
    <mergeCell ref="AZ87:BA87"/>
    <mergeCell ref="A82:B82"/>
    <mergeCell ref="C82:N82"/>
    <mergeCell ref="O82:AY82"/>
    <mergeCell ref="AZ82:BA82"/>
    <mergeCell ref="A83:B83"/>
    <mergeCell ref="C83:N83"/>
    <mergeCell ref="O83:AY83"/>
    <mergeCell ref="AZ83:BA83"/>
    <mergeCell ref="A84:B84"/>
    <mergeCell ref="C84:N84"/>
    <mergeCell ref="O84:AY84"/>
    <mergeCell ref="AZ84:BA84"/>
    <mergeCell ref="A74:Y74"/>
    <mergeCell ref="A75:Y75"/>
    <mergeCell ref="A76:Y76"/>
    <mergeCell ref="A77:Y77"/>
    <mergeCell ref="A78:Y78"/>
    <mergeCell ref="A79:Y79"/>
    <mergeCell ref="A81:B81"/>
    <mergeCell ref="C81:AY81"/>
    <mergeCell ref="AZ81:BA81"/>
    <mergeCell ref="A67:Q67"/>
    <mergeCell ref="R67:Z67"/>
    <mergeCell ref="AA67:AE67"/>
    <mergeCell ref="A68:AW68"/>
    <mergeCell ref="A69:H69"/>
    <mergeCell ref="I69:AE69"/>
    <mergeCell ref="A70:H73"/>
    <mergeCell ref="I70:AA70"/>
    <mergeCell ref="AB70:AE70"/>
    <mergeCell ref="I71:AA71"/>
    <mergeCell ref="AB71:AE71"/>
    <mergeCell ref="I72:AA72"/>
    <mergeCell ref="AB72:AE72"/>
    <mergeCell ref="I73:AA73"/>
    <mergeCell ref="AB73:AE73"/>
    <mergeCell ref="A64:D64"/>
    <mergeCell ref="E64:I64"/>
    <mergeCell ref="J64:Q64"/>
    <mergeCell ref="R64:Z64"/>
    <mergeCell ref="AA64:AE64"/>
    <mergeCell ref="A65:E65"/>
    <mergeCell ref="A66:Q66"/>
    <mergeCell ref="R66:Z66"/>
    <mergeCell ref="AA66:AE66"/>
    <mergeCell ref="A57:V57"/>
    <mergeCell ref="W57:AE57"/>
    <mergeCell ref="A58:V58"/>
    <mergeCell ref="W58:AE58"/>
    <mergeCell ref="A59:V59"/>
    <mergeCell ref="A60:V60"/>
    <mergeCell ref="A61:AZ61"/>
    <mergeCell ref="A62:AE62"/>
    <mergeCell ref="A63:D63"/>
    <mergeCell ref="E63:I63"/>
    <mergeCell ref="J63:Q63"/>
    <mergeCell ref="R63:Z63"/>
    <mergeCell ref="AA63:AE63"/>
    <mergeCell ref="A52:AQ52"/>
    <mergeCell ref="AR52:AS52"/>
    <mergeCell ref="AT52:AW52"/>
    <mergeCell ref="A53:AW53"/>
    <mergeCell ref="A54:K55"/>
    <mergeCell ref="L54:M55"/>
    <mergeCell ref="N54:O55"/>
    <mergeCell ref="P54:P55"/>
    <mergeCell ref="Q54:Q55"/>
    <mergeCell ref="R54:S55"/>
    <mergeCell ref="T54:T55"/>
    <mergeCell ref="U54:U55"/>
    <mergeCell ref="V54:V55"/>
    <mergeCell ref="W54:AE54"/>
    <mergeCell ref="W55:AE56"/>
    <mergeCell ref="A56:V56"/>
    <mergeCell ref="AP50:AS50"/>
    <mergeCell ref="AT50:AW50"/>
    <mergeCell ref="D51:G51"/>
    <mergeCell ref="H51:L51"/>
    <mergeCell ref="M51:AF51"/>
    <mergeCell ref="AG51:AK51"/>
    <mergeCell ref="AL51:AO51"/>
    <mergeCell ref="AP51:AS51"/>
    <mergeCell ref="AT51:AW51"/>
    <mergeCell ref="A46:AQ46"/>
    <mergeCell ref="AR46:AS46"/>
    <mergeCell ref="AT46:AW46"/>
    <mergeCell ref="A47:AW47"/>
    <mergeCell ref="A48:C51"/>
    <mergeCell ref="D48:G48"/>
    <mergeCell ref="H48:L48"/>
    <mergeCell ref="M48:AF48"/>
    <mergeCell ref="AG48:AK48"/>
    <mergeCell ref="AL48:AO48"/>
    <mergeCell ref="AP48:AS48"/>
    <mergeCell ref="AT48:AW48"/>
    <mergeCell ref="D49:G49"/>
    <mergeCell ref="H49:L49"/>
    <mergeCell ref="M49:AF49"/>
    <mergeCell ref="AG49:AK49"/>
    <mergeCell ref="AL49:AO49"/>
    <mergeCell ref="AP49:AS49"/>
    <mergeCell ref="AT49:AW49"/>
    <mergeCell ref="D50:G50"/>
    <mergeCell ref="H50:L50"/>
    <mergeCell ref="M50:AF50"/>
    <mergeCell ref="AG50:AK50"/>
    <mergeCell ref="AL50:AO50"/>
    <mergeCell ref="A44:AW44"/>
    <mergeCell ref="A45:C45"/>
    <mergeCell ref="D45:G45"/>
    <mergeCell ref="H45:L45"/>
    <mergeCell ref="M45:AF45"/>
    <mergeCell ref="AG45:AK45"/>
    <mergeCell ref="AL45:AO45"/>
    <mergeCell ref="AP45:AS45"/>
    <mergeCell ref="AT45:AW45"/>
    <mergeCell ref="A42:C42"/>
    <mergeCell ref="D42:G42"/>
    <mergeCell ref="H42:L42"/>
    <mergeCell ref="M42:AF42"/>
    <mergeCell ref="AG42:AK42"/>
    <mergeCell ref="AL42:AO42"/>
    <mergeCell ref="AP42:AS42"/>
    <mergeCell ref="AT42:AW42"/>
    <mergeCell ref="A43:AQ43"/>
    <mergeCell ref="AR43:AS43"/>
    <mergeCell ref="AT43:AW43"/>
    <mergeCell ref="A122:I122"/>
    <mergeCell ref="J122:AB122"/>
    <mergeCell ref="A123:I123"/>
    <mergeCell ref="J123:AB123"/>
    <mergeCell ref="A128:AZ128"/>
    <mergeCell ref="A39:AW39"/>
    <mergeCell ref="A40:C41"/>
    <mergeCell ref="D40:G41"/>
    <mergeCell ref="H40:L41"/>
    <mergeCell ref="M40:AF41"/>
    <mergeCell ref="AG40:AK41"/>
    <mergeCell ref="AL40:AO41"/>
    <mergeCell ref="AP40:AW40"/>
    <mergeCell ref="AP41:AS41"/>
    <mergeCell ref="AT41:AW41"/>
    <mergeCell ref="A117:I117"/>
    <mergeCell ref="J117:AB117"/>
    <mergeCell ref="A118:I118"/>
    <mergeCell ref="J118:AB118"/>
    <mergeCell ref="A119:AB119"/>
    <mergeCell ref="A120:I121"/>
    <mergeCell ref="J120:AB120"/>
    <mergeCell ref="K121:L121"/>
    <mergeCell ref="M121:O121"/>
    <mergeCell ref="R121:T121"/>
    <mergeCell ref="U121:X121"/>
    <mergeCell ref="Y121:AB121"/>
    <mergeCell ref="A37:AW37"/>
    <mergeCell ref="A38:AQ38"/>
    <mergeCell ref="AR38:AS38"/>
    <mergeCell ref="AT38:AW38"/>
    <mergeCell ref="A114:AB114"/>
    <mergeCell ref="A115:I116"/>
    <mergeCell ref="J115:AB115"/>
    <mergeCell ref="K116:L116"/>
    <mergeCell ref="M116:O116"/>
    <mergeCell ref="R116:T116"/>
    <mergeCell ref="U116:X116"/>
    <mergeCell ref="Y116:AB116"/>
    <mergeCell ref="A35:AQ35"/>
    <mergeCell ref="AR35:AS35"/>
    <mergeCell ref="AT35:AW35"/>
    <mergeCell ref="A36:C36"/>
    <mergeCell ref="D36:G36"/>
    <mergeCell ref="H36:L36"/>
    <mergeCell ref="M36:AF36"/>
    <mergeCell ref="AG36:AK36"/>
    <mergeCell ref="AL36:AO36"/>
    <mergeCell ref="AP36:AS36"/>
    <mergeCell ref="AT36:AW36"/>
    <mergeCell ref="A33:AQ33"/>
    <mergeCell ref="AR33:AS33"/>
    <mergeCell ref="AT33:AW33"/>
    <mergeCell ref="A34:C34"/>
    <mergeCell ref="D34:G34"/>
    <mergeCell ref="H34:L34"/>
    <mergeCell ref="M34:AF34"/>
    <mergeCell ref="AG34:AK34"/>
    <mergeCell ref="AL34:AO34"/>
    <mergeCell ref="AP34:AS34"/>
    <mergeCell ref="AT34:AW34"/>
    <mergeCell ref="A31:AW31"/>
    <mergeCell ref="A32:C32"/>
    <mergeCell ref="D32:G32"/>
    <mergeCell ref="H32:L32"/>
    <mergeCell ref="M32:AF32"/>
    <mergeCell ref="AG32:AK32"/>
    <mergeCell ref="AL32:AO32"/>
    <mergeCell ref="AP32:AS32"/>
    <mergeCell ref="AT32:AW32"/>
    <mergeCell ref="A28:AW28"/>
    <mergeCell ref="A29:C30"/>
    <mergeCell ref="D29:G30"/>
    <mergeCell ref="H29:L30"/>
    <mergeCell ref="M29:AF30"/>
    <mergeCell ref="AG29:AK30"/>
    <mergeCell ref="AL29:AO30"/>
    <mergeCell ref="AP29:AW29"/>
    <mergeCell ref="AP30:AS30"/>
    <mergeCell ref="AT30:AW30"/>
    <mergeCell ref="A23:W23"/>
    <mergeCell ref="X23:AD23"/>
    <mergeCell ref="AE23:AI23"/>
    <mergeCell ref="A24:S24"/>
    <mergeCell ref="T24:W24"/>
    <mergeCell ref="X24:AD24"/>
    <mergeCell ref="AE24:AI27"/>
    <mergeCell ref="A25:S25"/>
    <mergeCell ref="T25:W25"/>
    <mergeCell ref="X25:AD25"/>
    <mergeCell ref="A26:S26"/>
    <mergeCell ref="T26:W26"/>
    <mergeCell ref="X26:AD26"/>
    <mergeCell ref="A27:S27"/>
    <mergeCell ref="T27:W27"/>
    <mergeCell ref="X27:AD27"/>
    <mergeCell ref="A18:G18"/>
    <mergeCell ref="H18:J18"/>
    <mergeCell ref="K18:Q18"/>
    <mergeCell ref="A19:G19"/>
    <mergeCell ref="H19:Q19"/>
    <mergeCell ref="A20:AZ20"/>
    <mergeCell ref="A21:AW21"/>
    <mergeCell ref="A22:W22"/>
    <mergeCell ref="X22:AD22"/>
    <mergeCell ref="AE22:AI22"/>
    <mergeCell ref="A15:O15"/>
    <mergeCell ref="P15:Z15"/>
    <mergeCell ref="AA15:AG15"/>
    <mergeCell ref="AH15:AL15"/>
    <mergeCell ref="A16:O16"/>
    <mergeCell ref="P16:Z16"/>
    <mergeCell ref="AA16:AG16"/>
    <mergeCell ref="AH16:AL16"/>
    <mergeCell ref="A17:G17"/>
    <mergeCell ref="H17:J17"/>
    <mergeCell ref="K17:Q17"/>
    <mergeCell ref="A10:O10"/>
    <mergeCell ref="P10:Z10"/>
    <mergeCell ref="AA10:AG10"/>
    <mergeCell ref="AH10:AL10"/>
    <mergeCell ref="A11:F11"/>
    <mergeCell ref="A12:F12"/>
    <mergeCell ref="A13:F13"/>
    <mergeCell ref="A14:O14"/>
    <mergeCell ref="P14:Z14"/>
    <mergeCell ref="AA14:AG14"/>
    <mergeCell ref="AH14:AL14"/>
    <mergeCell ref="A7:AW7"/>
    <mergeCell ref="A8:O8"/>
    <mergeCell ref="P8:Z8"/>
    <mergeCell ref="AA8:AG8"/>
    <mergeCell ref="AH8:AL8"/>
    <mergeCell ref="A9:O9"/>
    <mergeCell ref="P9:Z9"/>
    <mergeCell ref="AA9:AG9"/>
    <mergeCell ref="AH9:AL9"/>
    <mergeCell ref="A1:AW1"/>
    <mergeCell ref="A2:I2"/>
    <mergeCell ref="J2:AW2"/>
    <mergeCell ref="A3:I3"/>
    <mergeCell ref="J3:AW3"/>
    <mergeCell ref="A4:I4"/>
    <mergeCell ref="J4:AW4"/>
    <mergeCell ref="A5:AZ5"/>
    <mergeCell ref="A6:AZ6"/>
  </mergeCells>
  <hyperlinks>
    <hyperlink ref="A6" r:id="rId1" display="mailto:ACCOUNTS.CHILE@DESWIK.COM" xr:uid="{00000000-0004-0000-0000-000000000000}"/>
    <hyperlink ref="A20" r:id="rId2" display="http://www.cmfchile.cl/" xr:uid="{00000000-0004-0000-0000-000001000000}"/>
    <hyperlink ref="A85" r:id="rId3" display="mailto:ACCOUNTS.CHILE@DESWIK.COM" xr:uid="{00000000-0004-0000-0000-000002000000}"/>
    <hyperlink ref="A100" r:id="rId4" display="http://www.cmfchile.cl/" xr:uid="{00000000-0004-0000-0000-000003000000}"/>
  </hyperlinks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3A8A72-9AB3-46BA-8D79-FA5413773437}"/>
</file>

<file path=customXml/itemProps2.xml><?xml version="1.0" encoding="utf-8"?>
<ds:datastoreItem xmlns:ds="http://schemas.openxmlformats.org/officeDocument/2006/customXml" ds:itemID="{13362735-9895-40A7-A586-E9255300E518}"/>
</file>

<file path=customXml/itemProps3.xml><?xml version="1.0" encoding="utf-8"?>
<ds:datastoreItem xmlns:ds="http://schemas.openxmlformats.org/officeDocument/2006/customXml" ds:itemID="{F9A35796-28B6-4AAB-A7E9-37E49CE3CFFE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COLDview Document</dc:title>
  <dc:creator>COLDview</dc:creator>
  <cp:lastModifiedBy>Carolina Cabrera</cp:lastModifiedBy>
  <dcterms:created xsi:type="dcterms:W3CDTF">2025-05-30T23:47:20Z</dcterms:created>
  <dcterms:modified xsi:type="dcterms:W3CDTF">2025-05-31T00:09:03Z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VQT_CVDOCID">
    <vt:lpwstr>FMCTC0000011765</vt:lpwstr>
  </property>
  <property fmtid="{D5CDD505-2E9C-101B-9397-08002B2CF9AE}" pid="3" name="CVQT_I001DESCRIPCION">
    <vt:lpwstr>401b89eda07a962e8a68a05d0b14f976</vt:lpwstr>
  </property>
  <property fmtid="{D5CDD505-2E9C-101B-9397-08002B2CF9AE}" pid="4" name="CVQT_I001MONTO">
    <vt:lpwstr>e43af04e62821ce1f11b2d8c9594cf40</vt:lpwstr>
  </property>
  <property fmtid="{D5CDD505-2E9C-101B-9397-08002B2CF9AE}" pid="5" name="CVQT_I002CIUDAD">
    <vt:lpwstr>b99834bc19bbad24580b3adfa04fb947</vt:lpwstr>
  </property>
  <property fmtid="{D5CDD505-2E9C-101B-9397-08002B2CF9AE}" pid="6" name="CVQT_I002DESCRIPCION">
    <vt:lpwstr>b99834bc19bbad24580b3adfa04fb947</vt:lpwstr>
  </property>
  <property fmtid="{D5CDD505-2E9C-101B-9397-08002B2CF9AE}" pid="7" name="CVQT_I002FECHA">
    <vt:lpwstr>b99834bc19bbad24580b3adfa04fb947</vt:lpwstr>
  </property>
  <property fmtid="{D5CDD505-2E9C-101B-9397-08002B2CF9AE}" pid="8" name="CVQT_I002MONTOORIGEN">
    <vt:lpwstr>b99834bc19bbad24580b3adfa04fb947</vt:lpwstr>
  </property>
  <property fmtid="{D5CDD505-2E9C-101B-9397-08002B2CF9AE}" pid="9" name="CVQT_I002MONTOUSD">
    <vt:lpwstr>b99834bc19bbad24580b3adfa04fb947</vt:lpwstr>
  </property>
  <property fmtid="{D5CDD505-2E9C-101B-9397-08002B2CF9AE}" pid="10" name="CVQT_I002PAIS">
    <vt:lpwstr>b99834bc19bbad24580b3adfa04fb947</vt:lpwstr>
  </property>
  <property fmtid="{D5CDD505-2E9C-101B-9397-08002B2CF9AE}" pid="11" name="CVQT_I002REFERENCIA">
    <vt:lpwstr>b99834bc19bbad24580b3adfa04fb947</vt:lpwstr>
  </property>
  <property fmtid="{D5CDD505-2E9C-101B-9397-08002B2CF9AE}" pid="12" name="CVQT_I003CIUDAD">
    <vt:lpwstr>b99834bc19bbad24580b3adfa04fb947</vt:lpwstr>
  </property>
  <property fmtid="{D5CDD505-2E9C-101B-9397-08002B2CF9AE}" pid="13" name="CVQT_I003DESCRIPCION">
    <vt:lpwstr>63e6d98eaf817ac919eed25459ad429d</vt:lpwstr>
  </property>
  <property fmtid="{D5CDD505-2E9C-101B-9397-08002B2CF9AE}" pid="14" name="CVQT_I003FECHA">
    <vt:lpwstr>fc6f0e21e5409351e50fd26f87bca79b</vt:lpwstr>
  </property>
  <property fmtid="{D5CDD505-2E9C-101B-9397-08002B2CF9AE}" pid="15" name="CVQT_I003MONTOORIGEN">
    <vt:lpwstr>b99834bc19bbad24580b3adfa04fb947</vt:lpwstr>
  </property>
  <property fmtid="{D5CDD505-2E9C-101B-9397-08002B2CF9AE}" pid="16" name="CVQT_I003MONTOUSD">
    <vt:lpwstr>39c754db206fa76da6c86a00881dd28a</vt:lpwstr>
  </property>
  <property fmtid="{D5CDD505-2E9C-101B-9397-08002B2CF9AE}" pid="17" name="CVQT_I003PAIS">
    <vt:lpwstr>b99834bc19bbad24580b3adfa04fb947</vt:lpwstr>
  </property>
  <property fmtid="{D5CDD505-2E9C-101B-9397-08002B2CF9AE}" pid="18" name="CVQT_I003REFERENCIA">
    <vt:lpwstr>3c60868ac952afe8a0e17a081fe7ce7d</vt:lpwstr>
  </property>
  <property fmtid="{D5CDD505-2E9C-101B-9397-08002B2CF9AE}" pid="19" name="CVQT_LEY01">
    <vt:lpwstr/>
  </property>
  <property fmtid="{D5CDD505-2E9C-101B-9397-08002B2CF9AE}" pid="20" name="CVQT_N001TITULOS">
    <vt:lpwstr>204fc13c07f6cb0ca6bc0750d7e59d4e</vt:lpwstr>
  </property>
  <property fmtid="{D5CDD505-2E9C-101B-9397-08002B2CF9AE}" pid="21" name="CVQT_N002DESCRIPCION">
    <vt:lpwstr>033db73c0d144bc77a3bb2c06deb810a</vt:lpwstr>
  </property>
  <property fmtid="{D5CDD505-2E9C-101B-9397-08002B2CF9AE}" pid="22" name="CVQT_N002MONTO">
    <vt:lpwstr>d3ecc3f33be9d650d54fa9b3cba65a49</vt:lpwstr>
  </property>
  <property fmtid="{D5CDD505-2E9C-101B-9397-08002B2CF9AE}" pid="23" name="CVQT_N003APAGAR">
    <vt:lpwstr>8a163908773e603dad9f8435b15173e5</vt:lpwstr>
  </property>
  <property fmtid="{D5CDD505-2E9C-101B-9397-08002B2CF9AE}" pid="24" name="CVQT_N003CODIGO">
    <vt:lpwstr>ba96bf1fe8e24e9aaac4dfc4eee11331</vt:lpwstr>
  </property>
  <property fmtid="{D5CDD505-2E9C-101B-9397-08002B2CF9AE}" pid="25" name="CVQT_N003DESCRIPCION">
    <vt:lpwstr>de133727c946d23b4e75489b86dc3eaf</vt:lpwstr>
  </property>
  <property fmtid="{D5CDD505-2E9C-101B-9397-08002B2CF9AE}" pid="26" name="CVQT_N003FECHA">
    <vt:lpwstr>a880d8aff74124f37dab7d8e8e1b53f3</vt:lpwstr>
  </property>
  <property fmtid="{D5CDD505-2E9C-101B-9397-08002B2CF9AE}" pid="27" name="CVQT_N003LUGAR">
    <vt:lpwstr>6ea195ce429f7fd587bad83d0aae4061</vt:lpwstr>
  </property>
  <property fmtid="{D5CDD505-2E9C-101B-9397-08002B2CF9AE}" pid="28" name="CVQT_N003MONTO">
    <vt:lpwstr>8a163908773e603dad9f8435b15173e5</vt:lpwstr>
  </property>
  <property fmtid="{D5CDD505-2E9C-101B-9397-08002B2CF9AE}" pid="29" name="CVQT_N003NROCUOTA">
    <vt:lpwstr>5c8c5dbf93ef3e91387ba0ed7cdcbf39</vt:lpwstr>
  </property>
  <property fmtid="{D5CDD505-2E9C-101B-9397-08002B2CF9AE}" pid="30" name="CVQT_N003VALORCUOTA">
    <vt:lpwstr>8a163908773e603dad9f8435b15173e5</vt:lpwstr>
  </property>
  <property fmtid="{D5CDD505-2E9C-101B-9397-08002B2CF9AE}" pid="31" name="CVQT_N005APAGAR">
    <vt:lpwstr>b99834bc19bbad24580b3adfa04fb947</vt:lpwstr>
  </property>
  <property fmtid="{D5CDD505-2E9C-101B-9397-08002B2CF9AE}" pid="32" name="CVQT_N005CODIGO">
    <vt:lpwstr>b99834bc19bbad24580b3adfa04fb947</vt:lpwstr>
  </property>
  <property fmtid="{D5CDD505-2E9C-101B-9397-08002B2CF9AE}" pid="33" name="CVQT_N005DESCRIPCION">
    <vt:lpwstr>b99834bc19bbad24580b3adfa04fb947</vt:lpwstr>
  </property>
  <property fmtid="{D5CDD505-2E9C-101B-9397-08002B2CF9AE}" pid="34" name="CVQT_N005FECHA">
    <vt:lpwstr>b99834bc19bbad24580b3adfa04fb947</vt:lpwstr>
  </property>
  <property fmtid="{D5CDD505-2E9C-101B-9397-08002B2CF9AE}" pid="35" name="CVQT_N005LUGAR">
    <vt:lpwstr>b99834bc19bbad24580b3adfa04fb947</vt:lpwstr>
  </property>
  <property fmtid="{D5CDD505-2E9C-101B-9397-08002B2CF9AE}" pid="36" name="CVQT_N005MONTO">
    <vt:lpwstr>b99834bc19bbad24580b3adfa04fb947</vt:lpwstr>
  </property>
  <property fmtid="{D5CDD505-2E9C-101B-9397-08002B2CF9AE}" pid="37" name="CVQT_N005NROCUOTA">
    <vt:lpwstr>b99834bc19bbad24580b3adfa04fb947</vt:lpwstr>
  </property>
  <property fmtid="{D5CDD505-2E9C-101B-9397-08002B2CF9AE}" pid="38" name="CVQT_N005VALORCUOTA">
    <vt:lpwstr>b99834bc19bbad24580b3adfa04fb947</vt:lpwstr>
  </property>
  <property fmtid="{D5CDD505-2E9C-101B-9397-08002B2CF9AE}" pid="39" name="CVQT_NAVANCECAE">
    <vt:lpwstr>04422</vt:lpwstr>
  </property>
  <property fmtid="{D5CDD505-2E9C-101B-9397-08002B2CF9AE}" pid="40" name="CVQT_NAVANCETASA">
    <vt:lpwstr>0260</vt:lpwstr>
  </property>
  <property fmtid="{D5CDD505-2E9C-101B-9397-08002B2CF9AE}" pid="41" name="CVQT_NCAEPREPAGO">
    <vt:lpwstr>00000</vt:lpwstr>
  </property>
  <property fmtid="{D5CDD505-2E9C-101B-9397-08002B2CF9AE}" pid="42" name="CVQT_NCOMPRACAE">
    <vt:lpwstr>04422</vt:lpwstr>
  </property>
  <property fmtid="{D5CDD505-2E9C-101B-9397-08002B2CF9AE}" pid="43" name="CVQT_NCOMPRATASA">
    <vt:lpwstr>0260</vt:lpwstr>
  </property>
  <property fmtid="{D5CDD505-2E9C-101B-9397-08002B2CF9AE}" pid="44" name="CVQT_NCOSTOPREPAGO">
    <vt:lpwstr> $        806.870</vt:lpwstr>
  </property>
  <property fmtid="{D5CDD505-2E9C-101B-9397-08002B2CF9AE}" pid="45" name="CVQT_NCUPODISAVANCE">
    <vt:lpwstr>+00004193130</vt:lpwstr>
  </property>
  <property fmtid="{D5CDD505-2E9C-101B-9397-08002B2CF9AE}" pid="46" name="CVQT_NCUPODISTOTAL">
    <vt:lpwstr>+00004193130</vt:lpwstr>
  </property>
  <property fmtid="{D5CDD505-2E9C-101B-9397-08002B2CF9AE}" pid="47" name="CVQT_NCUPOTOTAVANCE">
    <vt:lpwstr>+00004750000</vt:lpwstr>
  </property>
  <property fmtid="{D5CDD505-2E9C-101B-9397-08002B2CF9AE}" pid="48" name="CVQT_NCUPOTOTTOTAL">
    <vt:lpwstr>000005000000</vt:lpwstr>
  </property>
  <property fmtid="{D5CDD505-2E9C-101B-9397-08002B2CF9AE}" pid="49" name="CVQT_NCUPOUTIAVANCE">
    <vt:lpwstr>+00000000000</vt:lpwstr>
  </property>
  <property fmtid="{D5CDD505-2E9C-101B-9397-08002B2CF9AE}" pid="50" name="CVQT_NCUPOUTITOTAL">
    <vt:lpwstr>+00000806870</vt:lpwstr>
  </property>
  <property fmtid="{D5CDD505-2E9C-101B-9397-08002B2CF9AE}" pid="51" name="CVQT_NDIRECCION">
    <vt:lpwstr>ACCOUNTS.CHILE@DESWIK.COM     </vt:lpwstr>
  </property>
  <property fmtid="{D5CDD505-2E9C-101B-9397-08002B2CF9AE}" pid="52" name="CVQT_NENTRE10Y50UF">
    <vt:lpwstr>6%</vt:lpwstr>
  </property>
  <property fmtid="{D5CDD505-2E9C-101B-9397-08002B2CF9AE}" pid="53" name="CVQT_NEXCEDAN50UF">
    <vt:lpwstr>3%</vt:lpwstr>
  </property>
  <property fmtid="{D5CDD505-2E9C-101B-9397-08002B2CF9AE}" pid="54" name="CVQT_NHASTA10UF">
    <vt:lpwstr>9%</vt:lpwstr>
  </property>
  <property fmtid="{D5CDD505-2E9C-101B-9397-08002B2CF9AE}" pid="55" name="CVQT_NINTERESMORATORIO">
    <vt:lpwstr>31,20%</vt:lpwstr>
  </property>
  <property fmtid="{D5CDD505-2E9C-101B-9397-08002B2CF9AE}" pid="56" name="CVQT_NLOGO">
    <vt:lpwstr>558</vt:lpwstr>
  </property>
  <property fmtid="{D5CDD505-2E9C-101B-9397-08002B2CF9AE}" pid="57" name="CVQT_NMONTOFACTURADOANT">
    <vt:lpwstr>+00000046444</vt:lpwstr>
  </property>
  <property fmtid="{D5CDD505-2E9C-101B-9397-08002B2CF9AE}" pid="58" name="CVQT_NMONTOMINIMO">
    <vt:lpwstr>000000038352</vt:lpwstr>
  </property>
  <property fmtid="{D5CDD505-2E9C-101B-9397-08002B2CF9AE}" pid="59" name="CVQT_NMONTOMINIMOIP">
    <vt:lpwstr> $         38.352</vt:lpwstr>
  </property>
  <property fmtid="{D5CDD505-2E9C-101B-9397-08002B2CF9AE}" pid="60" name="CVQT_NMONTOPAGADOANT">
    <vt:lpwstr>-00000046444</vt:lpwstr>
  </property>
  <property fmtid="{D5CDD505-2E9C-101B-9397-08002B2CF9AE}" pid="61" name="CVQT_NMONTOTOTAL">
    <vt:lpwstr>+00000806870</vt:lpwstr>
  </property>
  <property fmtid="{D5CDD505-2E9C-101B-9397-08002B2CF9AE}" pid="62" name="CVQT_NMONTOTOTALIP">
    <vt:lpwstr> $        806.870</vt:lpwstr>
  </property>
  <property fmtid="{D5CDD505-2E9C-101B-9397-08002B2CF9AE}" pid="63" name="CVQT_NNOMBRETITULAR">
    <vt:lpwstr>KATHERINNE ALARCON            </vt:lpwstr>
  </property>
  <property fmtid="{D5CDD505-2E9C-101B-9397-08002B2CF9AE}" pid="64" name="CVQT_NPAGARHASTA">
    <vt:lpwstr>20250515</vt:lpwstr>
  </property>
  <property fmtid="{D5CDD505-2E9C-101B-9397-08002B2CF9AE}" pid="65" name="CVQT_NPERODOANTDESDE">
    <vt:lpwstr>20250227</vt:lpwstr>
  </property>
  <property fmtid="{D5CDD505-2E9C-101B-9397-08002B2CF9AE}" pid="66" name="CVQT_NPERODOANTHASTA">
    <vt:lpwstr>20250327</vt:lpwstr>
  </property>
  <property fmtid="{D5CDD505-2E9C-101B-9397-08002B2CF9AE}" pid="67" name="CVQT_NPERODODESDE">
    <vt:lpwstr>20250328</vt:lpwstr>
  </property>
  <property fmtid="{D5CDD505-2E9C-101B-9397-08002B2CF9AE}" pid="68" name="CVQT_NPERODOHASTA">
    <vt:lpwstr>20250425</vt:lpwstr>
  </property>
  <property fmtid="{D5CDD505-2E9C-101B-9397-08002B2CF9AE}" pid="69" name="CVQT_NPROXPERIODODESDE">
    <vt:lpwstr>26/04/2025</vt:lpwstr>
  </property>
  <property fmtid="{D5CDD505-2E9C-101B-9397-08002B2CF9AE}" pid="70" name="CVQT_NPROXPERIODOHASTA">
    <vt:lpwstr>28/05/2025</vt:lpwstr>
  </property>
  <property fmtid="{D5CDD505-2E9C-101B-9397-08002B2CF9AE}" pid="71" name="CVQT_NREC03">
    <vt:lpwstr/>
  </property>
  <property fmtid="{D5CDD505-2E9C-101B-9397-08002B2CF9AE}" pid="72" name="CVQT_NROCUENTA">
    <vt:lpwstr>0005586851000041266</vt:lpwstr>
  </property>
  <property fmtid="{D5CDD505-2E9C-101B-9397-08002B2CF9AE}" pid="73" name="CVQT_NROTATIVOCAE">
    <vt:lpwstr>04168</vt:lpwstr>
  </property>
  <property fmtid="{D5CDD505-2E9C-101B-9397-08002B2CF9AE}" pid="74" name="CVQT_NROTATIVOTASA">
    <vt:lpwstr>0260</vt:lpwstr>
  </property>
  <property fmtid="{D5CDD505-2E9C-101B-9397-08002B2CF9AE}" pid="75" name="CVQT_NSALDOFINADEUDADOANT">
    <vt:lpwstr>+00000000000</vt:lpwstr>
  </property>
  <property fmtid="{D5CDD505-2E9C-101B-9397-08002B2CF9AE}" pid="76" name="CVQT_NSALDOINIADEUDADOANT">
    <vt:lpwstr>+00000000000</vt:lpwstr>
  </property>
  <property fmtid="{D5CDD505-2E9C-101B-9397-08002B2CF9AE}" pid="77" name="CVQT_NVENCACUTAL">
    <vt:lpwstr> $              0</vt:lpwstr>
  </property>
  <property fmtid="{D5CDD505-2E9C-101B-9397-08002B2CF9AE}" pid="78" name="CVQT_NVENCMES1">
    <vt:lpwstr> $              0</vt:lpwstr>
  </property>
  <property fmtid="{D5CDD505-2E9C-101B-9397-08002B2CF9AE}" pid="79" name="CVQT_NVENCMES2">
    <vt:lpwstr> $              0</vt:lpwstr>
  </property>
  <property fmtid="{D5CDD505-2E9C-101B-9397-08002B2CF9AE}" pid="80" name="CVQT_NVENCMES3">
    <vt:lpwstr> $              0</vt:lpwstr>
  </property>
  <property fmtid="{D5CDD505-2E9C-101B-9397-08002B2CF9AE}" pid="81" name="CVQT_NVENCMES4">
    <vt:lpwstr> $              0</vt:lpwstr>
  </property>
  <property fmtid="{D5CDD505-2E9C-101B-9397-08002B2CF9AE}" pid="82" name="Created">
    <vt:filetime>2025-04-29T00:00:00Z</vt:filetime>
  </property>
  <property fmtid="{D5CDD505-2E9C-101B-9397-08002B2CF9AE}" pid="83" name="LastSaved">
    <vt:filetime>2025-05-30T00:00:00Z</vt:filetime>
  </property>
  <property fmtid="{D5CDD505-2E9C-101B-9397-08002B2CF9AE}" pid="84" name="Producer">
    <vt:lpwstr>OpenPDF 1.3.32</vt:lpwstr>
  </property>
  <property fmtid="{D5CDD505-2E9C-101B-9397-08002B2CF9AE}" pid="85" name="ContentTypeId">
    <vt:lpwstr>0x0101008C0FDD3EE9C26F4CA38A0CE1A876A831</vt:lpwstr>
  </property>
</Properties>
</file>