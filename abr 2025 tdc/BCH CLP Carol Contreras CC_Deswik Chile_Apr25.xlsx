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5 DESWIK/TDC/abr/"/>
    </mc:Choice>
  </mc:AlternateContent>
  <xr:revisionPtr revIDLastSave="1" documentId="13_ncr:1_{4251A260-BB3F-4180-A439-E9AF0CCBBDD8}" xr6:coauthVersionLast="47" xr6:coauthVersionMax="47" xr10:uidLastSave="{FC9055A9-A362-4337-96B3-77E961F36C9B}"/>
  <bookViews>
    <workbookView xWindow="-28680" yWindow="-1140" windowWidth="21435" windowHeight="12945" xr2:uid="{00000000-000D-0000-FFFF-FFFF00000000}"/>
  </bookViews>
  <sheets>
    <sheet name="clp" sheetId="1" r:id="rId1"/>
    <sheet name="usd" sheetId="3" r:id="rId2"/>
    <sheet name="PDF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40" i="1" l="1"/>
  <c r="AL40" i="3"/>
  <c r="AS90" i="1"/>
  <c r="AC27" i="3"/>
  <c r="AC26" i="3"/>
  <c r="AG27" i="3"/>
  <c r="AG26" i="3"/>
  <c r="AK39" i="3"/>
  <c r="AQ90" i="1"/>
  <c r="AQ91" i="1"/>
  <c r="AQ95" i="1"/>
  <c r="AQ96" i="1"/>
  <c r="AK33" i="3" l="1"/>
  <c r="AK30" i="3"/>
  <c r="AK36" i="3"/>
  <c r="AK28" i="3"/>
  <c r="AK31" i="3"/>
  <c r="AK37" i="3"/>
  <c r="AK29" i="3"/>
  <c r="AK35" i="3"/>
  <c r="AK32" i="3"/>
  <c r="AK27" i="3"/>
  <c r="AK34" i="3"/>
  <c r="AK38" i="3"/>
  <c r="AQ81" i="1"/>
  <c r="AQ80" i="1"/>
  <c r="AQ79" i="1"/>
  <c r="AQ78" i="1"/>
  <c r="AQ77" i="1"/>
  <c r="AQ76" i="1"/>
  <c r="AQ75" i="1"/>
  <c r="AQ74" i="1"/>
  <c r="AQ73" i="1"/>
  <c r="AQ72" i="1"/>
  <c r="AQ71" i="1"/>
  <c r="AQ70" i="1"/>
  <c r="AQ69" i="1"/>
  <c r="AQ68" i="1"/>
  <c r="AQ67" i="1"/>
  <c r="AQ66" i="1"/>
  <c r="AQ65" i="1"/>
  <c r="AQ64" i="1"/>
  <c r="AQ63" i="1"/>
  <c r="AQ62" i="1"/>
  <c r="AQ61" i="1"/>
  <c r="AQ60" i="1"/>
  <c r="AQ59" i="1"/>
  <c r="AQ58" i="1"/>
  <c r="AQ57" i="1"/>
  <c r="AQ56" i="1"/>
  <c r="AQ55" i="1"/>
  <c r="AQ54" i="1"/>
  <c r="AQ53" i="1"/>
  <c r="AQ52" i="1"/>
  <c r="AQ51" i="1"/>
  <c r="AQ50" i="1"/>
  <c r="AQ49" i="1"/>
  <c r="AQ48" i="1"/>
  <c r="AQ47" i="1"/>
  <c r="AQ46" i="1"/>
  <c r="AQ45" i="1"/>
  <c r="AQ44" i="1"/>
  <c r="AQ43" i="1"/>
  <c r="AQ42" i="1"/>
  <c r="AQ38" i="1"/>
  <c r="AQ37" i="1"/>
  <c r="AQ36" i="1"/>
  <c r="AL39" i="3" l="1"/>
  <c r="AU50" i="1"/>
  <c r="AU49" i="1"/>
  <c r="AU48" i="1"/>
  <c r="AU39" i="1"/>
  <c r="AU45" i="1"/>
  <c r="AU44" i="1"/>
  <c r="AU43" i="1"/>
  <c r="AU42" i="1"/>
  <c r="AU38" i="1"/>
  <c r="AU46" i="1"/>
  <c r="AU41" i="1"/>
  <c r="AU47" i="1"/>
  <c r="AV50" i="1" l="1"/>
  <c r="AV51" i="1" s="1"/>
</calcChain>
</file>

<file path=xl/sharedStrings.xml><?xml version="1.0" encoding="utf-8"?>
<sst xmlns="http://schemas.openxmlformats.org/spreadsheetml/2006/main" count="427" uniqueCount="186">
  <si>
    <r>
      <rPr>
        <b/>
        <sz val="8.5"/>
        <rFont val="Arial"/>
        <family val="2"/>
      </rPr>
      <t>ESTADO DE CUENTA NACIONAL DE TARJETA DE CRÉDITO</t>
    </r>
  </si>
  <si>
    <r>
      <rPr>
        <sz val="8.5"/>
        <rFont val="Arial MT"/>
        <family val="2"/>
      </rPr>
      <t>NOMBRE DEL TITULAR</t>
    </r>
  </si>
  <si>
    <r>
      <rPr>
        <sz val="8.5"/>
        <rFont val="Arial MT"/>
        <family val="2"/>
      </rPr>
      <t>CAROL CONTRERAS</t>
    </r>
  </si>
  <si>
    <r>
      <rPr>
        <sz val="8.5"/>
        <rFont val="Arial MT"/>
        <family val="2"/>
      </rPr>
      <t>N° DE TARJETA DE CRÉDITO</t>
    </r>
  </si>
  <si>
    <r>
      <rPr>
        <sz val="8.5"/>
        <rFont val="Arial MT"/>
        <family val="2"/>
      </rPr>
      <t>XXXX XXX0  0004  1282</t>
    </r>
  </si>
  <si>
    <r>
      <rPr>
        <sz val="8.5"/>
        <rFont val="Arial MT"/>
        <family val="2"/>
      </rPr>
      <t>FECHA ESTADO DE CUENTA</t>
    </r>
  </si>
  <si>
    <r>
      <rPr>
        <sz val="8.5"/>
        <rFont val="Arial MT"/>
        <family val="2"/>
      </rPr>
      <t>CAROL CONTRERAS KRISTAL.OAKES@DESWIK.COM</t>
    </r>
  </si>
  <si>
    <r>
      <rPr>
        <b/>
        <sz val="8.5"/>
        <rFont val="Arial"/>
        <family val="2"/>
      </rPr>
      <t>I.    INFORMACIÓN GENERAL</t>
    </r>
  </si>
  <si>
    <r>
      <rPr>
        <b/>
        <sz val="8.5"/>
        <rFont val="Arial"/>
        <family val="2"/>
      </rPr>
      <t>CUPO TOTAL</t>
    </r>
  </si>
  <si>
    <r>
      <rPr>
        <b/>
        <sz val="8.5"/>
        <rFont val="Arial"/>
        <family val="2"/>
      </rPr>
      <t>CUPO UTILIZADO</t>
    </r>
  </si>
  <si>
    <r>
      <rPr>
        <b/>
        <sz val="8.5"/>
        <rFont val="Arial"/>
        <family val="2"/>
      </rPr>
      <t>CUPO DISPONIBLE</t>
    </r>
  </si>
  <si>
    <r>
      <rPr>
        <sz val="8.5"/>
        <rFont val="Arial MT"/>
        <family val="2"/>
      </rPr>
      <t>CUPO TOTAL</t>
    </r>
  </si>
  <si>
    <r>
      <rPr>
        <sz val="8.5"/>
        <rFont val="Arial MT"/>
        <family val="2"/>
      </rPr>
      <t>CUPO TOTAL AVANCE EN EFECTIVO</t>
    </r>
  </si>
  <si>
    <r>
      <rPr>
        <sz val="13"/>
        <rFont val="Arial MT"/>
        <family val="2"/>
      </rPr>
      <t>CAE PREPAGO</t>
    </r>
  </si>
  <si>
    <r>
      <rPr>
        <b/>
        <sz val="8.5"/>
        <rFont val="Arial"/>
        <family val="2"/>
      </rPr>
      <t xml:space="preserve">SIN SELLO
</t>
    </r>
    <r>
      <rPr>
        <b/>
        <sz val="8.5"/>
        <rFont val="Arial"/>
        <family val="2"/>
      </rPr>
      <t>SERNAC</t>
    </r>
  </si>
  <si>
    <r>
      <rPr>
        <b/>
        <sz val="8.5"/>
        <rFont val="Arial"/>
        <family val="2"/>
      </rPr>
      <t>ROTATIVO</t>
    </r>
  </si>
  <si>
    <r>
      <rPr>
        <b/>
        <sz val="8.5"/>
        <rFont val="Arial"/>
        <family val="2"/>
      </rPr>
      <t>COMPRA EN CUOTAS</t>
    </r>
  </si>
  <si>
    <r>
      <rPr>
        <b/>
        <sz val="8.5"/>
        <rFont val="Arial"/>
        <family val="2"/>
      </rPr>
      <t>AVANCE EN CUOTAS</t>
    </r>
  </si>
  <si>
    <r>
      <rPr>
        <sz val="8.5"/>
        <rFont val="Arial MT"/>
        <family val="2"/>
      </rPr>
      <t>TASA INTERÉS VIGENTE</t>
    </r>
  </si>
  <si>
    <r>
      <rPr>
        <sz val="8.5"/>
        <rFont val="Arial MT"/>
        <family val="2"/>
      </rPr>
      <t>CAE</t>
    </r>
  </si>
  <si>
    <r>
      <rPr>
        <sz val="8.5"/>
        <rFont val="Arial MT"/>
        <family val="2"/>
      </rPr>
      <t>DESDE</t>
    </r>
  </si>
  <si>
    <r>
      <rPr>
        <sz val="8.5"/>
        <rFont val="Arial MT"/>
        <family val="2"/>
      </rPr>
      <t>HASTA</t>
    </r>
  </si>
  <si>
    <r>
      <rPr>
        <sz val="8.5"/>
        <rFont val="Arial MT"/>
        <family val="2"/>
      </rPr>
      <t>PERÍODO FACTURADO</t>
    </r>
  </si>
  <si>
    <r>
      <rPr>
        <sz val="8.5"/>
        <rFont val="Arial MT"/>
        <family val="2"/>
      </rPr>
      <t>PAGAR HASTA</t>
    </r>
  </si>
  <si>
    <r>
      <rPr>
        <sz val="8.5"/>
        <rFont val="Arial MT"/>
        <family val="2"/>
      </rPr>
      <t xml:space="preserve">CAE se calcula sobre un supuesto de gasto mensual de UF 20 y pagadero en 12 cuotas.
</t>
    </r>
    <r>
      <rPr>
        <sz val="8.5"/>
        <rFont val="Arial MT"/>
        <family val="2"/>
      </rPr>
      <t>Infórmese sobre las entidades autorizadas para emitir Tarjetas de Pago en el país, quienes se encuentran inscritas en los Registros de Emisores de Tarjetas que lleva la CMF, en www.cmfchile.cl.</t>
    </r>
  </si>
  <si>
    <r>
      <rPr>
        <b/>
        <sz val="8.5"/>
        <rFont val="Arial"/>
        <family val="2"/>
      </rPr>
      <t>II.   DETALLE</t>
    </r>
  </si>
  <si>
    <r>
      <rPr>
        <b/>
        <sz val="8.5"/>
        <rFont val="Arial"/>
        <family val="2"/>
      </rPr>
      <t>1.  PERÍODO ANTERIOR</t>
    </r>
  </si>
  <si>
    <r>
      <rPr>
        <b/>
        <sz val="8.5"/>
        <rFont val="Arial"/>
        <family val="2"/>
      </rPr>
      <t>DESDE</t>
    </r>
  </si>
  <si>
    <r>
      <rPr>
        <b/>
        <sz val="8.5"/>
        <rFont val="Arial"/>
        <family val="2"/>
      </rPr>
      <t>HASTA</t>
    </r>
  </si>
  <si>
    <r>
      <rPr>
        <sz val="8.5"/>
        <rFont val="Arial MT"/>
        <family val="2"/>
      </rPr>
      <t>PERÍODO DE FACTURACIÓN ANTERIOR</t>
    </r>
  </si>
  <si>
    <r>
      <rPr>
        <sz val="8.5"/>
        <rFont val="Arial MT"/>
        <family val="2"/>
      </rPr>
      <t>SALDO ADEUDADO INICIO PERÍODO ANTERIOR</t>
    </r>
  </si>
  <si>
    <r>
      <rPr>
        <sz val="8.5"/>
        <rFont val="Arial MT"/>
        <family val="2"/>
      </rPr>
      <t>MONTO FACTURADO A PAGAR (PERÍODO ANTERIOR)</t>
    </r>
  </si>
  <si>
    <r>
      <rPr>
        <b/>
        <sz val="8.5"/>
        <color rgb="FFFFFFFF"/>
        <rFont val="Arial"/>
        <family val="2"/>
      </rPr>
      <t>A</t>
    </r>
  </si>
  <si>
    <r>
      <rPr>
        <sz val="8.5"/>
        <rFont val="Arial MT"/>
        <family val="2"/>
      </rPr>
      <t>MONTO PAGADO PERÍODO ANTERIOR</t>
    </r>
  </si>
  <si>
    <r>
      <rPr>
        <sz val="8.5"/>
        <rFont val="Arial MT"/>
        <family val="2"/>
      </rPr>
      <t>SALDO ADEUDADO FINAL PERÍODO ANTERIOR</t>
    </r>
  </si>
  <si>
    <r>
      <rPr>
        <b/>
        <sz val="8.5"/>
        <rFont val="Arial"/>
        <family val="2"/>
      </rPr>
      <t>2.  PERÍODO ACTUAL</t>
    </r>
  </si>
  <si>
    <r>
      <rPr>
        <sz val="8.5"/>
        <rFont val="Arial MT"/>
        <family val="2"/>
      </rPr>
      <t>LUGAR DE OPERACIÓN</t>
    </r>
  </si>
  <si>
    <r>
      <rPr>
        <sz val="8.5"/>
        <rFont val="Arial MT"/>
        <family val="2"/>
      </rPr>
      <t>FECHA OPERACIÓN</t>
    </r>
  </si>
  <si>
    <r>
      <rPr>
        <sz val="8.5"/>
        <rFont val="Arial MT"/>
        <family val="2"/>
      </rPr>
      <t>CÓDIGO REFERENCIA</t>
    </r>
  </si>
  <si>
    <r>
      <rPr>
        <sz val="8.5"/>
        <rFont val="Arial MT"/>
        <family val="2"/>
      </rPr>
      <t>DESCRIPCIÓN OPERACIÓN O COBRO</t>
    </r>
  </si>
  <si>
    <r>
      <rPr>
        <sz val="8.5"/>
        <rFont val="Arial MT"/>
        <family val="2"/>
      </rPr>
      <t xml:space="preserve">MONTO OPERACIÓN
</t>
    </r>
    <r>
      <rPr>
        <sz val="8.5"/>
        <rFont val="Arial MT"/>
        <family val="2"/>
      </rPr>
      <t>O COBRO</t>
    </r>
  </si>
  <si>
    <r>
      <rPr>
        <sz val="8.5"/>
        <rFont val="Arial MT"/>
        <family val="2"/>
      </rPr>
      <t xml:space="preserve">MONTO TOTAL A
</t>
    </r>
    <r>
      <rPr>
        <sz val="8.5"/>
        <rFont val="Arial MT"/>
        <family val="2"/>
      </rPr>
      <t>PAGAR</t>
    </r>
  </si>
  <si>
    <r>
      <rPr>
        <sz val="8.5"/>
        <rFont val="Arial MT"/>
        <family val="2"/>
      </rPr>
      <t>CARGOS DEL MES</t>
    </r>
  </si>
  <si>
    <r>
      <rPr>
        <sz val="8.5"/>
        <rFont val="Arial MT"/>
        <family val="2"/>
      </rPr>
      <t>N° CUOTA</t>
    </r>
  </si>
  <si>
    <r>
      <rPr>
        <sz val="8.5"/>
        <rFont val="Arial MT"/>
        <family val="2"/>
      </rPr>
      <t xml:space="preserve">VALOR CUOTA
</t>
    </r>
    <r>
      <rPr>
        <sz val="8.5"/>
        <rFont val="Arial MT"/>
        <family val="2"/>
      </rPr>
      <t>MENSUAL</t>
    </r>
  </si>
  <si>
    <r>
      <rPr>
        <b/>
        <sz val="8.5"/>
        <rFont val="Arial"/>
        <family val="2"/>
      </rPr>
      <t>1.TOTAL OPERACIONES</t>
    </r>
  </si>
  <si>
    <r>
      <rPr>
        <sz val="8.5"/>
        <rFont val="Arial MT"/>
        <family val="2"/>
      </rPr>
      <t>PAGO AUTOMATICO</t>
    </r>
  </si>
  <si>
    <r>
      <rPr>
        <sz val="8.5"/>
        <rFont val="Arial MT"/>
        <family val="2"/>
      </rPr>
      <t>01/01</t>
    </r>
  </si>
  <si>
    <r>
      <rPr>
        <b/>
        <sz val="8.5"/>
        <rFont val="Arial"/>
        <family val="2"/>
      </rPr>
      <t>TOTAL PAGOS A LA CUENTA</t>
    </r>
  </si>
  <si>
    <r>
      <rPr>
        <b/>
        <sz val="8.5"/>
        <color rgb="FFFFFFFF"/>
        <rFont val="Arial"/>
        <family val="2"/>
      </rPr>
      <t>B</t>
    </r>
  </si>
  <si>
    <r>
      <rPr>
        <vertAlign val="superscript"/>
        <sz val="8.5"/>
        <rFont val="Arial MT"/>
        <family val="2"/>
      </rPr>
      <t xml:space="preserve">$        </t>
    </r>
    <r>
      <rPr>
        <b/>
        <sz val="8.5"/>
        <rFont val="Arial"/>
        <family val="2"/>
      </rPr>
      <t>-1.497.172</t>
    </r>
  </si>
  <si>
    <r>
      <rPr>
        <sz val="8.5"/>
        <rFont val="Arial MT"/>
        <family val="2"/>
      </rPr>
      <t>Sin Movimientos</t>
    </r>
  </si>
  <si>
    <r>
      <rPr>
        <b/>
        <sz val="8.5"/>
        <rFont val="Arial"/>
        <family val="2"/>
      </rPr>
      <t>TOTAL PAT A LA CUENTA</t>
    </r>
  </si>
  <si>
    <r>
      <rPr>
        <b/>
        <sz val="8.5"/>
        <color rgb="FFFFFFFF"/>
        <rFont val="Arial"/>
        <family val="2"/>
      </rPr>
      <t>C</t>
    </r>
  </si>
  <si>
    <r>
      <rPr>
        <sz val="8.5"/>
        <rFont val="Arial MT"/>
        <family val="2"/>
      </rPr>
      <t xml:space="preserve">$                     </t>
    </r>
    <r>
      <rPr>
        <b/>
        <vertAlign val="subscript"/>
        <sz val="8.5"/>
        <rFont val="Arial"/>
        <family val="2"/>
      </rPr>
      <t>0</t>
    </r>
  </si>
  <si>
    <r>
      <rPr>
        <sz val="8.5"/>
        <rFont val="Arial MT"/>
        <family val="2"/>
      </rPr>
      <t>Las Condes</t>
    </r>
  </si>
  <si>
    <r>
      <rPr>
        <sz val="8.5"/>
        <rFont val="Arial MT"/>
        <family val="2"/>
      </rPr>
      <t>MERCADOPAGO *CABIFY25  Las Condes</t>
    </r>
  </si>
  <si>
    <r>
      <rPr>
        <sz val="8.5"/>
        <rFont val="Arial MT"/>
        <family val="2"/>
      </rPr>
      <t>SANTIAGO</t>
    </r>
  </si>
  <si>
    <r>
      <rPr>
        <sz val="8.5"/>
        <rFont val="Arial MT"/>
        <family val="2"/>
      </rPr>
      <t>KUSHKI *JUSTO CHILE   SANTIAGO</t>
    </r>
  </si>
  <si>
    <r>
      <rPr>
        <b/>
        <sz val="8.5"/>
        <rFont val="Arial"/>
        <family val="2"/>
      </rPr>
      <t>COMPROBANTE DE PAGO</t>
    </r>
  </si>
  <si>
    <r>
      <rPr>
        <b/>
        <sz val="8.5"/>
        <rFont val="Arial"/>
        <family val="2"/>
      </rPr>
      <t xml:space="preserve">NOMBRE
</t>
    </r>
    <r>
      <rPr>
        <sz val="8.5"/>
        <rFont val="Arial MT"/>
        <family val="2"/>
      </rPr>
      <t>CAROL CONTRERAS</t>
    </r>
  </si>
  <si>
    <r>
      <rPr>
        <b/>
        <sz val="8.5"/>
        <rFont val="Arial"/>
        <family val="2"/>
      </rPr>
      <t xml:space="preserve">NÚMERO DE TARJETA
</t>
    </r>
    <r>
      <rPr>
        <sz val="8.5"/>
        <rFont val="Arial MT"/>
        <family val="2"/>
      </rPr>
      <t>0   0004     1282</t>
    </r>
  </si>
  <si>
    <r>
      <rPr>
        <b/>
        <sz val="8.5"/>
        <rFont val="Arial"/>
        <family val="2"/>
      </rPr>
      <t xml:space="preserve">PAGAR HASTA
</t>
    </r>
    <r>
      <rPr>
        <sz val="8.5"/>
        <rFont val="Arial MT"/>
        <family val="2"/>
      </rPr>
      <t>15/05/2025</t>
    </r>
  </si>
  <si>
    <r>
      <rPr>
        <b/>
        <sz val="8.5"/>
        <rFont val="Arial"/>
        <family val="2"/>
      </rPr>
      <t xml:space="preserve">MONTO TOTAL FACTURADO A PAGAR
</t>
    </r>
    <r>
      <rPr>
        <sz val="8.5"/>
        <rFont val="Arial MT"/>
        <family val="2"/>
      </rPr>
      <t>$ 3.070.443</t>
    </r>
  </si>
  <si>
    <r>
      <rPr>
        <b/>
        <sz val="8.5"/>
        <rFont val="Arial"/>
        <family val="2"/>
      </rPr>
      <t xml:space="preserve">MONTO MÍNIMO A PAGAR
</t>
    </r>
    <r>
      <rPr>
        <sz val="8.5"/>
        <rFont val="Arial MT"/>
        <family val="2"/>
      </rPr>
      <t>$  89.831</t>
    </r>
  </si>
  <si>
    <r>
      <rPr>
        <b/>
        <sz val="8.5"/>
        <rFont val="Arial"/>
        <family val="2"/>
      </rPr>
      <t>MONTO CANCELADO</t>
    </r>
  </si>
  <si>
    <r>
      <rPr>
        <b/>
        <sz val="8.5"/>
        <rFont val="Arial"/>
        <family val="2"/>
      </rPr>
      <t xml:space="preserve">PAGAR HASTA                 </t>
    </r>
    <r>
      <rPr>
        <b/>
        <vertAlign val="subscript"/>
        <sz val="8.5"/>
        <rFont val="Arial"/>
        <family val="2"/>
      </rPr>
      <t xml:space="preserve">Timbre
</t>
    </r>
    <r>
      <rPr>
        <sz val="8.5"/>
        <rFont val="Arial MT"/>
        <family val="2"/>
      </rPr>
      <t xml:space="preserve">15/05/2025                        </t>
    </r>
    <r>
      <rPr>
        <b/>
        <vertAlign val="subscript"/>
        <sz val="8.5"/>
        <rFont val="Arial"/>
        <family val="2"/>
      </rPr>
      <t>Banco</t>
    </r>
  </si>
  <si>
    <r>
      <rPr>
        <sz val="8.5"/>
        <rFont val="Arial MT"/>
        <family val="2"/>
      </rPr>
      <t>Cheque                                                         Efectivo                                        Cheque                                                          Efectivo</t>
    </r>
  </si>
  <si>
    <r>
      <rPr>
        <sz val="8.5"/>
        <rFont val="Arial MT"/>
        <family val="2"/>
      </rPr>
      <t xml:space="preserve">MONTO
</t>
    </r>
    <r>
      <rPr>
        <sz val="8.5"/>
        <rFont val="Arial MT"/>
        <family val="2"/>
      </rPr>
      <t>OPERACIÓN O COBRO</t>
    </r>
  </si>
  <si>
    <r>
      <rPr>
        <sz val="8.5"/>
        <rFont val="Arial MT"/>
        <family val="2"/>
      </rPr>
      <t xml:space="preserve">MONTO
</t>
    </r>
    <r>
      <rPr>
        <sz val="8.5"/>
        <rFont val="Arial MT"/>
        <family val="2"/>
      </rPr>
      <t>TOTAL A PAGAR</t>
    </r>
  </si>
  <si>
    <r>
      <rPr>
        <sz val="8.5"/>
        <rFont val="Arial MT"/>
        <family val="2"/>
      </rPr>
      <t>PIZARRAS             SANTIAGO</t>
    </r>
  </si>
  <si>
    <r>
      <rPr>
        <sz val="8.5"/>
        <rFont val="Arial MT"/>
        <family val="2"/>
      </rPr>
      <t>MELBOURNE CAFE        SANTIAGO</t>
    </r>
  </si>
  <si>
    <r>
      <rPr>
        <sz val="8.5"/>
        <rFont val="Arial MT"/>
        <family val="2"/>
      </rPr>
      <t>MERCADOPAGO *NATIVOAC  Las Condes</t>
    </r>
  </si>
  <si>
    <r>
      <rPr>
        <sz val="8.5"/>
        <rFont val="Arial MT"/>
        <family val="2"/>
      </rPr>
      <t>EL GOLF              SANTIAGO</t>
    </r>
  </si>
  <si>
    <r>
      <rPr>
        <sz val="8.5"/>
        <rFont val="Arial MT"/>
        <family val="2"/>
      </rPr>
      <t>NANUC PATAGONIA LM    SANTIAGO</t>
    </r>
  </si>
  <si>
    <r>
      <rPr>
        <sz val="8.5"/>
        <rFont val="Arial MT"/>
        <family val="2"/>
      </rPr>
      <t>ERTC SPA             SANTIAGO</t>
    </r>
  </si>
  <si>
    <r>
      <rPr>
        <sz val="8.5"/>
        <rFont val="Arial MT"/>
        <family val="2"/>
      </rPr>
      <t>Providenci</t>
    </r>
  </si>
  <si>
    <r>
      <rPr>
        <sz val="8.5"/>
        <rFont val="Arial MT"/>
        <family val="2"/>
      </rPr>
      <t>MOVISTAR             Providencia</t>
    </r>
  </si>
  <si>
    <r>
      <rPr>
        <sz val="8.5"/>
        <rFont val="Arial MT"/>
        <family val="2"/>
      </rPr>
      <t>MERCADOPAGO *MICOCACO  Las Condes</t>
    </r>
  </si>
  <si>
    <r>
      <rPr>
        <sz val="8.5"/>
        <rFont val="Arial MT"/>
        <family val="2"/>
      </rPr>
      <t>LA DANESA PASTELERIA   SANTIAGO</t>
    </r>
  </si>
  <si>
    <r>
      <rPr>
        <sz val="8.5"/>
        <rFont val="Arial MT"/>
        <family val="2"/>
      </rPr>
      <t>DP    *FALABELLA.COM  SANTIAGO</t>
    </r>
  </si>
  <si>
    <r>
      <rPr>
        <sz val="8.5"/>
        <rFont val="Arial MT"/>
        <family val="2"/>
      </rPr>
      <t>PAYU   *UBER EATS     SANTIAGO</t>
    </r>
  </si>
  <si>
    <r>
      <rPr>
        <b/>
        <sz val="8.5"/>
        <rFont val="Arial"/>
        <family val="2"/>
      </rPr>
      <t>TOTAL TARJETA XXXX XXXX XXXX 1282</t>
    </r>
  </si>
  <si>
    <r>
      <rPr>
        <b/>
        <vertAlign val="superscript"/>
        <sz val="8.5"/>
        <rFont val="Arial"/>
        <family val="2"/>
      </rPr>
      <t xml:space="preserve">$         </t>
    </r>
    <r>
      <rPr>
        <b/>
        <sz val="8.5"/>
        <rFont val="Arial"/>
        <family val="2"/>
      </rPr>
      <t>2.075.504</t>
    </r>
  </si>
  <si>
    <r>
      <rPr>
        <b/>
        <sz val="8.5"/>
        <rFont val="Arial"/>
        <family val="2"/>
      </rPr>
      <t>TOTAL TRANSACCIONES EN UNA CUOTA</t>
    </r>
  </si>
  <si>
    <r>
      <rPr>
        <b/>
        <sz val="8.5"/>
        <color rgb="FFFFFFFF"/>
        <rFont val="Arial"/>
        <family val="2"/>
      </rPr>
      <t>D</t>
    </r>
  </si>
  <si>
    <r>
      <rPr>
        <vertAlign val="superscript"/>
        <sz val="8.5"/>
        <rFont val="Arial MT"/>
        <family val="2"/>
      </rPr>
      <t xml:space="preserve">$         </t>
    </r>
    <r>
      <rPr>
        <b/>
        <sz val="8.5"/>
        <rFont val="Arial"/>
        <family val="2"/>
      </rPr>
      <t>2.075.504</t>
    </r>
  </si>
  <si>
    <r>
      <rPr>
        <b/>
        <sz val="8.5"/>
        <rFont val="Arial"/>
        <family val="2"/>
      </rPr>
      <t>TOTAL TRANSACCIONES EN CUOTAS</t>
    </r>
  </si>
  <si>
    <r>
      <rPr>
        <b/>
        <sz val="8.5"/>
        <color rgb="FFFFFFFF"/>
        <rFont val="Arial"/>
        <family val="2"/>
      </rPr>
      <t>E</t>
    </r>
  </si>
  <si>
    <r>
      <rPr>
        <b/>
        <sz val="8.5"/>
        <rFont val="Arial"/>
        <family val="2"/>
      </rPr>
      <t>2.PRODUCTOS O SERVICIOS VOLUNTARIAMENTE CONTRATADOS</t>
    </r>
  </si>
  <si>
    <r>
      <rPr>
        <b/>
        <sz val="8.5"/>
        <rFont val="Arial"/>
        <family val="2"/>
      </rPr>
      <t>TOTAL PRODUCTOS O SERVICIOS VOLUNTARIAMENTE CONTRATADOS</t>
    </r>
  </si>
  <si>
    <r>
      <rPr>
        <b/>
        <sz val="8.5"/>
        <color rgb="FFFFFFFF"/>
        <rFont val="Arial"/>
        <family val="2"/>
      </rPr>
      <t>F</t>
    </r>
  </si>
  <si>
    <r>
      <rPr>
        <b/>
        <sz val="8.5"/>
        <rFont val="Arial"/>
        <family val="2"/>
      </rPr>
      <t>3.CARGOS, COMISIONES, IMPUESTOS Y ABONOS</t>
    </r>
  </si>
  <si>
    <r>
      <rPr>
        <sz val="8.5"/>
        <rFont val="Arial MT"/>
        <family val="2"/>
      </rPr>
      <t>TRASPASO DEUDA INTERNACIONAL</t>
    </r>
  </si>
  <si>
    <r>
      <rPr>
        <sz val="8.5"/>
        <rFont val="Arial MT"/>
        <family val="2"/>
      </rPr>
      <t>IMPUESTO DECRETO LEY 3475 TASA 0,066 %</t>
    </r>
  </si>
  <si>
    <r>
      <rPr>
        <sz val="8.5"/>
        <rFont val="Arial MT"/>
        <family val="2"/>
      </rPr>
      <t>COMISION MENSUAL POR MANTENCION</t>
    </r>
  </si>
  <si>
    <r>
      <rPr>
        <sz val="8.5"/>
        <rFont val="Arial MT"/>
        <family val="2"/>
      </rPr>
      <t>INTERESES ROTATIVOS</t>
    </r>
  </si>
  <si>
    <r>
      <rPr>
        <b/>
        <sz val="8.5"/>
        <rFont val="Arial"/>
        <family val="2"/>
      </rPr>
      <t>TOTAL CARGOS, COMISIONES, IMPUESTOS Y ABONOS</t>
    </r>
  </si>
  <si>
    <r>
      <rPr>
        <b/>
        <sz val="8.5"/>
        <color rgb="FFFFFFFF"/>
        <rFont val="Arial"/>
        <family val="2"/>
      </rPr>
      <t>G</t>
    </r>
  </si>
  <si>
    <r>
      <rPr>
        <vertAlign val="superscript"/>
        <sz val="8.5"/>
        <rFont val="Arial MT"/>
        <family val="2"/>
      </rPr>
      <t xml:space="preserve">$            </t>
    </r>
    <r>
      <rPr>
        <b/>
        <sz val="8.5"/>
        <rFont val="Arial"/>
        <family val="2"/>
      </rPr>
      <t>994.939</t>
    </r>
  </si>
  <si>
    <r>
      <rPr>
        <b/>
        <sz val="8.5"/>
        <rFont val="Arial"/>
        <family val="2"/>
      </rPr>
      <t>III. INFORMACIÓN DE PAGO</t>
    </r>
  </si>
  <si>
    <r>
      <rPr>
        <sz val="8.5"/>
        <rFont val="Arial MT"/>
        <family val="2"/>
      </rPr>
      <t>MONTO TOTAL FACTURADO A PAGAR (</t>
    </r>
  </si>
  <si>
    <r>
      <rPr>
        <b/>
        <sz val="8.5"/>
        <color rgb="FFFFFFFF"/>
        <rFont val="Arial"/>
        <family val="2"/>
      </rPr>
      <t xml:space="preserve">A </t>
    </r>
    <r>
      <rPr>
        <sz val="8.5"/>
        <rFont val="Arial MT"/>
        <family val="2"/>
      </rPr>
      <t>+</t>
    </r>
  </si>
  <si>
    <r>
      <rPr>
        <b/>
        <sz val="8.5"/>
        <color rgb="FFFFFFFF"/>
        <rFont val="Arial"/>
        <family val="2"/>
      </rPr>
      <t xml:space="preserve">B </t>
    </r>
    <r>
      <rPr>
        <sz val="8.5"/>
        <rFont val="Arial MT"/>
        <family val="2"/>
      </rPr>
      <t>+</t>
    </r>
  </si>
  <si>
    <r>
      <rPr>
        <b/>
        <sz val="8.5"/>
        <color rgb="FFFFFFFF"/>
        <rFont val="Arial"/>
        <family val="2"/>
      </rPr>
      <t xml:space="preserve">C </t>
    </r>
    <r>
      <rPr>
        <sz val="8.5"/>
        <rFont val="Arial MT"/>
        <family val="2"/>
      </rPr>
      <t>+</t>
    </r>
  </si>
  <si>
    <r>
      <rPr>
        <b/>
        <sz val="8.5"/>
        <color rgb="FFFFFFFF"/>
        <rFont val="Arial"/>
        <family val="2"/>
      </rPr>
      <t xml:space="preserve">D </t>
    </r>
    <r>
      <rPr>
        <sz val="8.5"/>
        <rFont val="Arial MT"/>
        <family val="2"/>
      </rPr>
      <t>+</t>
    </r>
  </si>
  <si>
    <r>
      <rPr>
        <b/>
        <sz val="8.5"/>
        <color rgb="FFFFFFFF"/>
        <rFont val="Arial"/>
        <family val="2"/>
      </rPr>
      <t xml:space="preserve">E </t>
    </r>
    <r>
      <rPr>
        <sz val="8.5"/>
        <rFont val="Arial MT"/>
        <family val="2"/>
      </rPr>
      <t>+</t>
    </r>
  </si>
  <si>
    <r>
      <rPr>
        <b/>
        <sz val="8.5"/>
        <color rgb="FFFFFFFF"/>
        <rFont val="Arial"/>
        <family val="2"/>
      </rPr>
      <t xml:space="preserve">F </t>
    </r>
    <r>
      <rPr>
        <sz val="8.5"/>
        <rFont val="Arial MT"/>
        <family val="2"/>
      </rPr>
      <t>+</t>
    </r>
  </si>
  <si>
    <r>
      <rPr>
        <sz val="8.5"/>
        <rFont val="Arial MT"/>
        <family val="2"/>
      </rPr>
      <t>)</t>
    </r>
  </si>
  <si>
    <r>
      <rPr>
        <sz val="8.5"/>
        <rFont val="Arial MT"/>
        <family val="2"/>
      </rPr>
      <t>MONTO MÍNIMO A PAGAR</t>
    </r>
  </si>
  <si>
    <r>
      <rPr>
        <sz val="8.5"/>
        <rFont val="Arial MT"/>
        <family val="2"/>
      </rPr>
      <t>COSTO MONETARIO PREPAGO</t>
    </r>
  </si>
  <si>
    <r>
      <rPr>
        <sz val="8.5"/>
        <rFont val="Arial MT"/>
        <family val="2"/>
      </rPr>
      <t>CARGO AUTOMÁTICO</t>
    </r>
  </si>
  <si>
    <r>
      <rPr>
        <b/>
        <sz val="8.5"/>
        <rFont val="Arial"/>
        <family val="2"/>
      </rPr>
      <t>EVOLUCIÓN MONTOS FACTURADOS Y PAGADOS</t>
    </r>
  </si>
  <si>
    <r>
      <rPr>
        <sz val="4.5"/>
        <rFont val="Arial MT"/>
        <family val="2"/>
      </rPr>
      <t xml:space="preserve">3.070.443
</t>
    </r>
    <r>
      <rPr>
        <sz val="4.5"/>
        <rFont val="Arial MT"/>
        <family val="2"/>
      </rPr>
      <t xml:space="preserve">2.456.354
</t>
    </r>
    <r>
      <rPr>
        <sz val="4.5"/>
        <rFont val="Arial MT"/>
        <family val="2"/>
      </rPr>
      <t xml:space="preserve">1.842.266
</t>
    </r>
    <r>
      <rPr>
        <sz val="4.5"/>
        <rFont val="Arial MT"/>
        <family val="2"/>
      </rPr>
      <t xml:space="preserve">1.228.177
</t>
    </r>
    <r>
      <rPr>
        <sz val="4.5"/>
        <rFont val="Arial MT"/>
        <family val="2"/>
      </rPr>
      <t xml:space="preserve">614.089
</t>
    </r>
    <r>
      <rPr>
        <sz val="4.5"/>
        <rFont val="Arial MT"/>
        <family val="2"/>
      </rPr>
      <t xml:space="preserve">0--
</t>
    </r>
    <r>
      <rPr>
        <sz val="4.5"/>
        <rFont val="Arial MT"/>
        <family val="2"/>
      </rPr>
      <t>11/2024  12/2024  01/2025  02/2025  03/2025  04/2025</t>
    </r>
  </si>
  <si>
    <r>
      <rPr>
        <sz val="8.5"/>
        <rFont val="Arial MT"/>
        <family val="2"/>
      </rPr>
      <t>*La liberación de Monto Mínimo a Pagar no impide que se devenguen intereses por el saldo insoluto</t>
    </r>
  </si>
  <si>
    <r>
      <rPr>
        <b/>
        <sz val="8.5"/>
        <rFont val="Arial"/>
        <family val="2"/>
      </rPr>
      <t>VENCIMIENTO PRÓXIMOS 4 MESES</t>
    </r>
  </si>
  <si>
    <r>
      <rPr>
        <sz val="8.5"/>
        <rFont val="Arial MT"/>
        <family val="2"/>
      </rPr>
      <t>ACTUAL</t>
    </r>
  </si>
  <si>
    <r>
      <rPr>
        <sz val="8.5"/>
        <rFont val="Arial MT"/>
        <family val="2"/>
      </rPr>
      <t>MAYO</t>
    </r>
  </si>
  <si>
    <r>
      <rPr>
        <sz val="8.5"/>
        <rFont val="Arial MT"/>
        <family val="2"/>
      </rPr>
      <t>JUNIO</t>
    </r>
  </si>
  <si>
    <r>
      <rPr>
        <sz val="8.5"/>
        <rFont val="Arial MT"/>
        <family val="2"/>
      </rPr>
      <t>JULIO</t>
    </r>
  </si>
  <si>
    <r>
      <rPr>
        <sz val="8.5"/>
        <rFont val="Arial MT"/>
        <family val="2"/>
      </rPr>
      <t>AGOSTO</t>
    </r>
  </si>
  <si>
    <r>
      <rPr>
        <sz val="6.5"/>
        <rFont val="Arial MT"/>
        <family val="2"/>
      </rPr>
      <t>Monto Facturado Monto Pagado</t>
    </r>
  </si>
  <si>
    <r>
      <rPr>
        <sz val="8.5"/>
        <rFont val="Arial MT"/>
        <family val="2"/>
      </rPr>
      <t>PRÓXIMO PERÍODO DE FACTURACIÓN</t>
    </r>
  </si>
  <si>
    <r>
      <rPr>
        <b/>
        <sz val="8.5"/>
        <rFont val="Arial"/>
        <family val="2"/>
      </rPr>
      <t>IV. COSTOS POR ATRASO</t>
    </r>
  </si>
  <si>
    <r>
      <rPr>
        <sz val="8.5"/>
        <rFont val="Arial MT"/>
        <family val="2"/>
      </rPr>
      <t>INTERÉS MORATORIO</t>
    </r>
  </si>
  <si>
    <r>
      <rPr>
        <sz val="8.5"/>
        <rFont val="Arial MT"/>
        <family val="2"/>
      </rPr>
      <t>CARGO DE COBRANZA</t>
    </r>
  </si>
  <si>
    <r>
      <rPr>
        <b/>
        <sz val="8.5"/>
        <rFont val="Arial"/>
        <family val="2"/>
      </rPr>
      <t>MONTO DEUDA UF</t>
    </r>
  </si>
  <si>
    <r>
      <rPr>
        <sz val="8.5"/>
        <rFont val="Arial MT"/>
        <family val="2"/>
      </rPr>
      <t>%</t>
    </r>
  </si>
  <si>
    <r>
      <rPr>
        <sz val="8.5"/>
        <rFont val="Arial MT"/>
        <family val="2"/>
      </rPr>
      <t>HASTA UF 10</t>
    </r>
  </si>
  <si>
    <r>
      <rPr>
        <sz val="8.5"/>
        <rFont val="Arial MT"/>
        <family val="2"/>
      </rPr>
      <t>EXCEDAN UF 10 Y HASTA UF 50</t>
    </r>
  </si>
  <si>
    <r>
      <rPr>
        <sz val="8.5"/>
        <rFont val="Arial MT"/>
        <family val="2"/>
      </rPr>
      <t>EXCEDAN UF 50</t>
    </r>
  </si>
  <si>
    <r>
      <rPr>
        <sz val="8.5"/>
        <rFont val="Arial MT"/>
        <family val="2"/>
      </rPr>
      <t>LOS PAGOS CON RETRASO GENERARÁN UN RECARGO POR CONCEPTO DE LOS GASTOS DE COBRANZA EN QUE SE INCURRA DE ACUERDO A LO DISPUESTO EN LA LEY N° 19.496</t>
    </r>
  </si>
  <si>
    <r>
      <rPr>
        <sz val="8.5"/>
        <rFont val="Arial MT"/>
        <family val="2"/>
      </rPr>
      <t>SI TIENE TRANSACCIONES EN CUOTAS Y PAGA EL TOTAL DEL CUPO UTILIZADO, SOLICITE ACELERACIÓN DE CUOTAS A BANCA TELEFÓNICA</t>
    </r>
  </si>
  <si>
    <t>Comentarios</t>
  </si>
  <si>
    <t>Factura</t>
  </si>
  <si>
    <t>Rut</t>
  </si>
  <si>
    <t>Cuenta</t>
  </si>
  <si>
    <t>Alimentación</t>
  </si>
  <si>
    <t>Traslado</t>
  </si>
  <si>
    <t>Telefono</t>
  </si>
  <si>
    <t>Materiales de oficina</t>
  </si>
  <si>
    <t>Otros gastos generales</t>
  </si>
  <si>
    <t>Patente</t>
  </si>
  <si>
    <t>Gto. Bancario</t>
  </si>
  <si>
    <t>Hospedaje</t>
  </si>
  <si>
    <t>Gastos de Aseo</t>
  </si>
  <si>
    <t>Vuelo</t>
  </si>
  <si>
    <t>KUSHKI *JUSTO CHILE   SANTIAGO</t>
  </si>
  <si>
    <t>proveedores</t>
  </si>
  <si>
    <t>DIF</t>
  </si>
  <si>
    <t>TDC USD</t>
  </si>
  <si>
    <t>TDC CLP</t>
  </si>
  <si>
    <r>
      <rPr>
        <b/>
        <sz val="8.5"/>
        <rFont val="Arial"/>
        <family val="2"/>
      </rPr>
      <t>ESTADO DE CUENTA INTERNACIONAL DE TARJETA DE CREDITO</t>
    </r>
  </si>
  <si>
    <r>
      <rPr>
        <sz val="8.5"/>
        <rFont val="Arial MT"/>
        <family val="2"/>
      </rPr>
      <t>N° DE TARJETA DE CREDITO</t>
    </r>
  </si>
  <si>
    <r>
      <rPr>
        <sz val="8.5"/>
        <rFont val="Arial MT"/>
        <family val="2"/>
      </rPr>
      <t xml:space="preserve">558
</t>
    </r>
    <r>
      <rPr>
        <sz val="8.5"/>
        <rFont val="Arial MT"/>
        <family val="2"/>
      </rPr>
      <t>CAROL CONTRERAS KRISTAL.OAKES@DESWIK.COM</t>
    </r>
  </si>
  <si>
    <r>
      <rPr>
        <b/>
        <sz val="8.5"/>
        <rFont val="Arial"/>
        <family val="2"/>
      </rPr>
      <t>I.    INFORMACION GENERAL</t>
    </r>
  </si>
  <si>
    <r>
      <rPr>
        <sz val="8.5"/>
        <rFont val="Arial MT"/>
        <family val="2"/>
      </rPr>
      <t>US$                 4.000,00</t>
    </r>
  </si>
  <si>
    <r>
      <rPr>
        <sz val="8.5"/>
        <rFont val="Arial MT"/>
        <family val="2"/>
      </rPr>
      <t>US$                       0,00</t>
    </r>
  </si>
  <si>
    <r>
      <rPr>
        <b/>
        <sz val="8.5"/>
        <rFont val="Arial"/>
        <family val="2"/>
      </rPr>
      <t>1.  INFORMACIÓN DE PAGO</t>
    </r>
  </si>
  <si>
    <r>
      <rPr>
        <sz val="8.5"/>
        <rFont val="Arial MT"/>
        <family val="2"/>
      </rPr>
      <t xml:space="preserve">SALDO ANTERIOR FACTURADO ABONO REALIZADO
</t>
    </r>
    <r>
      <rPr>
        <sz val="8.5"/>
        <rFont val="Arial MT"/>
        <family val="2"/>
      </rPr>
      <t xml:space="preserve">TRASPASO DEUDA NACIONAL
</t>
    </r>
    <r>
      <rPr>
        <sz val="8.5"/>
        <rFont val="Arial MT"/>
        <family val="2"/>
      </rPr>
      <t>DEUDA TOTAL</t>
    </r>
  </si>
  <si>
    <r>
      <rPr>
        <sz val="8.5"/>
        <rFont val="Arial MT"/>
        <family val="2"/>
      </rPr>
      <t xml:space="preserve">US$                    975,05
</t>
    </r>
    <r>
      <rPr>
        <sz val="8.5"/>
        <rFont val="Arial MT"/>
        <family val="2"/>
      </rPr>
      <t xml:space="preserve">US$                       0,00
</t>
    </r>
    <r>
      <rPr>
        <sz val="8.5"/>
        <rFont val="Arial MT"/>
        <family val="2"/>
      </rPr>
      <t xml:space="preserve">US$                    975,05
</t>
    </r>
    <r>
      <rPr>
        <sz val="8.5"/>
        <rFont val="Arial MT"/>
        <family val="2"/>
      </rPr>
      <t>US$                       0,00</t>
    </r>
  </si>
  <si>
    <r>
      <rPr>
        <sz val="8.5"/>
        <rFont val="Arial MT"/>
        <family val="2"/>
      </rPr>
      <t>PERIODO FACTURADO DESDE</t>
    </r>
  </si>
  <si>
    <r>
      <rPr>
        <sz val="8.5"/>
        <rFont val="Arial MT"/>
        <family val="2"/>
      </rPr>
      <t>PERIODO FACTURADO HASTA</t>
    </r>
  </si>
  <si>
    <r>
      <rPr>
        <sz val="8.5"/>
        <rFont val="Arial MT"/>
        <family val="2"/>
      </rPr>
      <t>Infórmese sobre las entidades autorizadas para emitir Tarjetas de Pago en el país, quienes se encuentran inscritas en los Registros de Emisores de Tarjetas que lleva la CMF, en www.cmfchile.cl.</t>
    </r>
  </si>
  <si>
    <r>
      <rPr>
        <b/>
        <sz val="8.5"/>
        <rFont val="Arial"/>
        <family val="2"/>
      </rPr>
      <t>2.  INFORMACIÓN DE TRANSACCIONES</t>
    </r>
  </si>
  <si>
    <r>
      <rPr>
        <sz val="8.5"/>
        <rFont val="Arial MT"/>
        <family val="2"/>
      </rPr>
      <t>NÚMERO REFERENCIA INTERNACIONAL</t>
    </r>
  </si>
  <si>
    <r>
      <rPr>
        <sz val="8.5"/>
        <rFont val="Arial MT"/>
        <family val="2"/>
      </rPr>
      <t>CIUDAD</t>
    </r>
  </si>
  <si>
    <r>
      <rPr>
        <sz val="8.5"/>
        <rFont val="Arial MT"/>
        <family val="2"/>
      </rPr>
      <t>PAÍS</t>
    </r>
  </si>
  <si>
    <r>
      <rPr>
        <sz val="8.5"/>
        <rFont val="Arial MT"/>
        <family val="2"/>
      </rPr>
      <t>MONTO MONEDA ORIGEN</t>
    </r>
  </si>
  <si>
    <r>
      <rPr>
        <sz val="8.5"/>
        <rFont val="Arial MT"/>
        <family val="2"/>
      </rPr>
      <t>MONTO US$</t>
    </r>
  </si>
  <si>
    <r>
      <rPr>
        <b/>
        <sz val="8.5"/>
        <rFont val="Arial"/>
        <family val="2"/>
      </rPr>
      <t>TOTAL DE PAGOS</t>
    </r>
  </si>
  <si>
    <r>
      <rPr>
        <b/>
        <sz val="8.5"/>
        <rFont val="Arial"/>
        <family val="2"/>
      </rPr>
      <t>US$              0,00</t>
    </r>
  </si>
  <si>
    <r>
      <rPr>
        <b/>
        <sz val="8.5"/>
        <rFont val="Arial"/>
        <family val="2"/>
      </rPr>
      <t>TOTAL DE COMPRAS</t>
    </r>
  </si>
  <si>
    <r>
      <rPr>
        <b/>
        <sz val="8.5"/>
        <rFont val="Arial"/>
        <family val="2"/>
      </rPr>
      <t>COMISIONES, OTROS CARGOS Y ABONOS A LA CUENTA</t>
    </r>
  </si>
  <si>
    <r>
      <rPr>
        <b/>
        <sz val="8.5"/>
        <rFont val="Arial"/>
        <family val="2"/>
      </rPr>
      <t>US$          -975,05</t>
    </r>
  </si>
  <si>
    <r>
      <rPr>
        <b/>
        <sz val="8.5"/>
        <rFont val="Arial"/>
        <family val="2"/>
      </rPr>
      <t xml:space="preserve">Nombre
</t>
    </r>
    <r>
      <rPr>
        <sz val="8.5"/>
        <rFont val="Arial MT"/>
        <family val="2"/>
      </rPr>
      <t>CAROL CONTRERAS</t>
    </r>
  </si>
  <si>
    <r>
      <rPr>
        <b/>
        <sz val="8.5"/>
        <rFont val="Arial"/>
        <family val="2"/>
      </rPr>
      <t xml:space="preserve">Número de Tarjeta
</t>
    </r>
    <r>
      <rPr>
        <sz val="8.5"/>
        <rFont val="Arial MT"/>
        <family val="2"/>
      </rPr>
      <t>0   0004     1282</t>
    </r>
  </si>
  <si>
    <r>
      <rPr>
        <b/>
        <sz val="8.5"/>
        <rFont val="Arial"/>
        <family val="2"/>
      </rPr>
      <t xml:space="preserve">Pagar Hasta </t>
    </r>
    <r>
      <rPr>
        <sz val="8.5"/>
        <rFont val="Arial MT"/>
        <family val="2"/>
      </rPr>
      <t>15/05/2025</t>
    </r>
  </si>
  <si>
    <r>
      <rPr>
        <b/>
        <sz val="8.5"/>
        <rFont val="Arial"/>
        <family val="2"/>
      </rPr>
      <t xml:space="preserve">Monto Facturado </t>
    </r>
    <r>
      <rPr>
        <sz val="8.5"/>
        <rFont val="Arial MT"/>
        <family val="2"/>
      </rPr>
      <t>US$ 0,00</t>
    </r>
  </si>
  <si>
    <r>
      <rPr>
        <b/>
        <sz val="8.5"/>
        <rFont val="Arial"/>
        <family val="2"/>
      </rPr>
      <t xml:space="preserve">Pagar Hasta                      </t>
    </r>
    <r>
      <rPr>
        <b/>
        <vertAlign val="subscript"/>
        <sz val="8.5"/>
        <rFont val="Arial"/>
        <family val="2"/>
      </rPr>
      <t xml:space="preserve">Timbre
</t>
    </r>
    <r>
      <rPr>
        <sz val="8.5"/>
        <rFont val="Arial MT"/>
        <family val="2"/>
      </rPr>
      <t xml:space="preserve">15/05/2025                       </t>
    </r>
    <r>
      <rPr>
        <b/>
        <vertAlign val="subscript"/>
        <sz val="8.5"/>
        <rFont val="Arial"/>
        <family val="2"/>
      </rPr>
      <t>Banco</t>
    </r>
  </si>
  <si>
    <r>
      <rPr>
        <b/>
        <sz val="8.5"/>
        <rFont val="Arial"/>
        <family val="2"/>
      </rPr>
      <t xml:space="preserve">Monto Cancelado
</t>
    </r>
    <r>
      <rPr>
        <sz val="8.5"/>
        <rFont val="Arial MT"/>
        <family val="2"/>
      </rPr>
      <t>US$</t>
    </r>
  </si>
  <si>
    <r>
      <rPr>
        <b/>
        <sz val="8.5"/>
        <rFont val="Arial"/>
        <family val="2"/>
      </rPr>
      <t xml:space="preserve">Cheque
</t>
    </r>
    <r>
      <rPr>
        <b/>
        <sz val="8.5"/>
        <rFont val="Arial"/>
        <family val="2"/>
      </rPr>
      <t>Efectivo</t>
    </r>
  </si>
  <si>
    <t xml:space="preserve">
1504</t>
  </si>
  <si>
    <t xml:space="preserve">1504
</t>
  </si>
  <si>
    <t xml:space="preserve">15/04/25
</t>
  </si>
  <si>
    <t xml:space="preserve">TRASPASO DEUDA INTERNAC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</si>
</sst>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 * #,##0_ ;_ * \-#,##0_ ;_ * &quot;-&quot;_ ;_ @_ "/>
    <numFmt numFmtId="164" formatCode="dd/mm/yyyy;@"/>
    <numFmt numFmtId="165" formatCode="\$\ #,##0"/>
    <numFmt numFmtId="166" formatCode="\$\ 0"/>
    <numFmt numFmtId="167" formatCode="0.00\ %"/>
    <numFmt numFmtId="168" formatCode="000000000000"/>
  </numFmts>
  <fonts count="20">
    <font>
      <sz val="10"/>
      <color rgb="FF000000"/>
      <name val="Times New Roman"/>
      <charset val="204"/>
    </font>
    <font>
      <b/>
      <sz val="8.5"/>
      <name val="Arial"/>
      <family val="2"/>
    </font>
    <font>
      <sz val="8.5"/>
      <name val="Arial MT"/>
    </font>
    <font>
      <sz val="8.5"/>
      <color rgb="FF000000"/>
      <name val="Arial MT"/>
      <family val="2"/>
    </font>
    <font>
      <sz val="13"/>
      <name val="Arial MT"/>
    </font>
    <font>
      <sz val="13"/>
      <color rgb="FF000000"/>
      <name val="Arial MT"/>
      <family val="2"/>
    </font>
    <font>
      <sz val="6.5"/>
      <name val="Arial MT"/>
    </font>
    <font>
      <sz val="8.5"/>
      <name val="Arial MT"/>
      <family val="2"/>
    </font>
    <font>
      <sz val="13"/>
      <name val="Arial MT"/>
      <family val="2"/>
    </font>
    <font>
      <b/>
      <sz val="8.5"/>
      <color rgb="FFFFFFFF"/>
      <name val="Arial"/>
      <family val="2"/>
    </font>
    <font>
      <vertAlign val="superscript"/>
      <sz val="8.5"/>
      <name val="Arial MT"/>
      <family val="2"/>
    </font>
    <font>
      <b/>
      <vertAlign val="subscript"/>
      <sz val="8.5"/>
      <name val="Arial"/>
      <family val="2"/>
    </font>
    <font>
      <b/>
      <vertAlign val="superscript"/>
      <sz val="8.5"/>
      <name val="Arial"/>
      <family val="2"/>
    </font>
    <font>
      <sz val="4.5"/>
      <name val="Arial MT"/>
      <family val="2"/>
    </font>
    <font>
      <sz val="6.5"/>
      <name val="Arial MT"/>
      <family val="2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2060"/>
      <name val="Times New Roman"/>
      <family val="1"/>
    </font>
    <font>
      <sz val="10"/>
      <color rgb="FFC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ECECEE"/>
      </patternFill>
    </fill>
    <fill>
      <patternFill patternType="solid">
        <fgColor rgb="FF97979F"/>
      </patternFill>
    </fill>
    <fill>
      <patternFill patternType="solid">
        <fgColor rgb="FF001845"/>
      </patternFill>
    </fill>
    <fill>
      <patternFill patternType="solid">
        <f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1845"/>
      </right>
      <top style="thin">
        <color rgb="FF000000"/>
      </top>
      <bottom/>
      <diagonal/>
    </border>
    <border>
      <left/>
      <right style="thin">
        <color rgb="FF001845"/>
      </right>
      <top/>
      <bottom/>
      <diagonal/>
    </border>
    <border>
      <left/>
      <right style="thin">
        <color rgb="FFFFFFFF"/>
      </right>
      <top style="thin">
        <color rgb="FF000000"/>
      </top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 style="thin">
        <color rgb="FF000000"/>
      </top>
      <bottom/>
      <diagonal/>
    </border>
    <border>
      <left style="thin">
        <color rgb="FFFFFFFF"/>
      </left>
      <right/>
      <top/>
      <bottom/>
      <diagonal/>
    </border>
    <border>
      <left style="thin">
        <color rgb="FF001845"/>
      </left>
      <right style="thin">
        <color rgb="FF000000"/>
      </right>
      <top style="thin">
        <color rgb="FF000000"/>
      </top>
      <bottom/>
      <diagonal/>
    </border>
    <border>
      <left style="thin">
        <color rgb="FF001845"/>
      </left>
      <right style="thin">
        <color rgb="FF000000"/>
      </right>
      <top/>
      <bottom/>
      <diagonal/>
    </border>
    <border>
      <left/>
      <right style="thin">
        <color rgb="FF435466"/>
      </right>
      <top style="thin">
        <color rgb="FF000000"/>
      </top>
      <bottom style="thin">
        <color rgb="FF000000"/>
      </bottom>
      <diagonal/>
    </border>
    <border>
      <left style="thin">
        <color rgb="FF43546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435466"/>
      </right>
      <top style="thin">
        <color rgb="FF000000"/>
      </top>
      <bottom/>
      <diagonal/>
    </border>
    <border>
      <left/>
      <right style="thin">
        <color rgb="FF435466"/>
      </right>
      <top/>
      <bottom/>
      <diagonal/>
    </border>
    <border>
      <left/>
      <right style="thin">
        <color rgb="FF435466"/>
      </right>
      <top/>
      <bottom style="thin">
        <color rgb="FF000000"/>
      </bottom>
      <diagonal/>
    </border>
  </borders>
  <cellStyleXfs count="2">
    <xf numFmtId="0" fontId="0" fillId="0" borderId="0"/>
    <xf numFmtId="41" fontId="15" fillId="0" borderId="0" applyFont="0" applyFill="0" applyBorder="0" applyAlignment="0" applyProtection="0"/>
  </cellStyleXfs>
  <cellXfs count="337">
    <xf numFmtId="0" fontId="0" fillId="0" borderId="0" xfId="0" applyAlignment="1">
      <alignment horizontal="left" vertical="top"/>
    </xf>
    <xf numFmtId="165" fontId="3" fillId="0" borderId="1" xfId="0" applyNumberFormat="1" applyFont="1" applyBorder="1" applyAlignment="1">
      <alignment horizontal="center" vertical="top" shrinkToFit="1"/>
    </xf>
    <xf numFmtId="165" fontId="3" fillId="0" borderId="5" xfId="0" applyNumberFormat="1" applyFont="1" applyBorder="1" applyAlignment="1">
      <alignment horizontal="center" vertical="top" shrinkToFit="1"/>
    </xf>
    <xf numFmtId="165" fontId="3" fillId="0" borderId="9" xfId="0" applyNumberFormat="1" applyFont="1" applyBorder="1" applyAlignment="1">
      <alignment horizontal="center" vertical="top" shrinkToFit="1"/>
    </xf>
    <xf numFmtId="166" fontId="3" fillId="0" borderId="12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" fillId="0" borderId="3" xfId="0" applyFont="1" applyBorder="1" applyAlignment="1">
      <alignment horizontal="center" vertical="top" wrapText="1"/>
    </xf>
    <xf numFmtId="0" fontId="0" fillId="2" borderId="4" xfId="0" applyFill="1" applyBorder="1" applyAlignment="1">
      <alignment horizontal="center" vertical="top" wrapText="1"/>
    </xf>
    <xf numFmtId="165" fontId="3" fillId="0" borderId="12" xfId="0" applyNumberFormat="1" applyFont="1" applyBorder="1" applyAlignment="1">
      <alignment horizontal="center" vertical="top" shrinkToFit="1"/>
    </xf>
    <xf numFmtId="0" fontId="0" fillId="0" borderId="12" xfId="0" applyBorder="1" applyAlignment="1">
      <alignment horizontal="left" wrapText="1"/>
    </xf>
    <xf numFmtId="0" fontId="0" fillId="0" borderId="4" xfId="0" applyBorder="1" applyAlignment="1">
      <alignment horizontal="center" vertical="top" wrapText="1"/>
    </xf>
    <xf numFmtId="0" fontId="1" fillId="0" borderId="3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0" xfId="0"/>
    <xf numFmtId="41" fontId="0" fillId="0" borderId="0" xfId="1" applyFont="1"/>
    <xf numFmtId="41" fontId="0" fillId="0" borderId="0" xfId="0" applyNumberFormat="1"/>
    <xf numFmtId="0" fontId="16" fillId="0" borderId="0" xfId="0" applyFont="1"/>
    <xf numFmtId="0" fontId="17" fillId="0" borderId="0" xfId="0" applyFont="1"/>
    <xf numFmtId="165" fontId="3" fillId="6" borderId="9" xfId="0" applyNumberFormat="1" applyFont="1" applyFill="1" applyBorder="1" applyAlignment="1">
      <alignment horizontal="center" vertical="top" shrinkToFit="1"/>
    </xf>
    <xf numFmtId="165" fontId="3" fillId="6" borderId="5" xfId="0" applyNumberFormat="1" applyFont="1" applyFill="1" applyBorder="1" applyAlignment="1">
      <alignment horizontal="center" vertical="top" shrinkToFit="1"/>
    </xf>
    <xf numFmtId="0" fontId="18" fillId="0" borderId="0" xfId="0" applyFont="1"/>
    <xf numFmtId="0" fontId="17" fillId="0" borderId="0" xfId="0" applyFont="1" applyAlignment="1">
      <alignment horizontal="left" vertical="top"/>
    </xf>
    <xf numFmtId="41" fontId="18" fillId="0" borderId="0" xfId="0" applyNumberFormat="1" applyFont="1" applyAlignment="1">
      <alignment horizontal="left" vertical="top"/>
    </xf>
    <xf numFmtId="41" fontId="19" fillId="0" borderId="0" xfId="0" applyNumberFormat="1" applyFont="1" applyAlignment="1">
      <alignment horizontal="left" vertical="top"/>
    </xf>
    <xf numFmtId="0" fontId="0" fillId="7" borderId="0" xfId="0" applyFill="1" applyAlignment="1">
      <alignment horizontal="left" wrapText="1"/>
    </xf>
    <xf numFmtId="0" fontId="0" fillId="7" borderId="0" xfId="0" applyFill="1" applyAlignment="1">
      <alignment horizontal="left" vertical="top"/>
    </xf>
    <xf numFmtId="0" fontId="0" fillId="7" borderId="0" xfId="0" applyFill="1" applyAlignment="1">
      <alignment horizontal="left" vertical="center" wrapText="1"/>
    </xf>
    <xf numFmtId="0" fontId="0" fillId="7" borderId="0" xfId="0" applyFill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0" fillId="7" borderId="2" xfId="0" applyFill="1" applyBorder="1" applyAlignment="1">
      <alignment horizontal="left" wrapText="1"/>
    </xf>
    <xf numFmtId="0" fontId="0" fillId="7" borderId="12" xfId="0" applyFill="1" applyBorder="1" applyAlignment="1">
      <alignment horizontal="left" wrapText="1"/>
    </xf>
    <xf numFmtId="0" fontId="1" fillId="7" borderId="3" xfId="0" applyFont="1" applyFill="1" applyBorder="1" applyAlignment="1">
      <alignment horizontal="left" vertical="top"/>
    </xf>
    <xf numFmtId="0" fontId="1" fillId="7" borderId="4" xfId="0" applyFont="1" applyFill="1" applyBorder="1" applyAlignment="1">
      <alignment horizontal="left" vertical="top"/>
    </xf>
    <xf numFmtId="0" fontId="7" fillId="7" borderId="1" xfId="0" applyFont="1" applyFill="1" applyBorder="1" applyAlignment="1">
      <alignment horizontal="left" vertical="top" wrapText="1"/>
    </xf>
    <xf numFmtId="0" fontId="0" fillId="2" borderId="2" xfId="0" applyFill="1" applyBorder="1" applyAlignment="1">
      <alignment horizontal="left" wrapText="1"/>
    </xf>
    <xf numFmtId="0" fontId="0" fillId="2" borderId="3" xfId="0" applyFill="1" applyBorder="1" applyAlignment="1">
      <alignment horizontal="left" wrapText="1"/>
    </xf>
    <xf numFmtId="0" fontId="0" fillId="2" borderId="4" xfId="0" applyFill="1" applyBorder="1" applyAlignment="1">
      <alignment horizontal="left" wrapText="1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 indent="5"/>
    </xf>
    <xf numFmtId="0" fontId="1" fillId="0" borderId="3" xfId="0" applyFont="1" applyBorder="1" applyAlignment="1">
      <alignment horizontal="left" vertical="top" wrapText="1" indent="5"/>
    </xf>
    <xf numFmtId="0" fontId="1" fillId="0" borderId="4" xfId="0" applyFont="1" applyBorder="1" applyAlignment="1">
      <alignment horizontal="left" vertical="top" wrapText="1" indent="5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9" fontId="3" fillId="0" borderId="2" xfId="0" applyNumberFormat="1" applyFont="1" applyBorder="1" applyAlignment="1">
      <alignment horizontal="center" vertical="top" shrinkToFit="1"/>
    </xf>
    <xf numFmtId="9" fontId="3" fillId="0" borderId="3" xfId="0" applyNumberFormat="1" applyFont="1" applyBorder="1" applyAlignment="1">
      <alignment horizontal="center" vertical="top" shrinkToFit="1"/>
    </xf>
    <xf numFmtId="9" fontId="3" fillId="0" borderId="4" xfId="0" applyNumberFormat="1" applyFont="1" applyBorder="1" applyAlignment="1">
      <alignment horizontal="center" vertical="top" shrinkToFi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14" xfId="0" applyBorder="1" applyAlignment="1">
      <alignment horizontal="left" wrapText="1"/>
    </xf>
    <xf numFmtId="0" fontId="0" fillId="0" borderId="15" xfId="0" applyBorder="1" applyAlignment="1">
      <alignment horizontal="left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center" vertical="top" shrinkToFit="1"/>
    </xf>
    <xf numFmtId="164" fontId="3" fillId="0" borderId="3" xfId="0" applyNumberFormat="1" applyFont="1" applyBorder="1" applyAlignment="1">
      <alignment horizontal="center" vertical="top" shrinkToFit="1"/>
    </xf>
    <xf numFmtId="164" fontId="3" fillId="0" borderId="4" xfId="0" applyNumberFormat="1" applyFont="1" applyBorder="1" applyAlignment="1">
      <alignment horizontal="center" vertical="top" shrinkToFi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10" fontId="3" fillId="0" borderId="2" xfId="0" applyNumberFormat="1" applyFont="1" applyBorder="1" applyAlignment="1">
      <alignment horizontal="left" vertical="top" shrinkToFit="1"/>
    </xf>
    <xf numFmtId="10" fontId="3" fillId="0" borderId="3" xfId="0" applyNumberFormat="1" applyFont="1" applyBorder="1" applyAlignment="1">
      <alignment horizontal="left" vertical="top" shrinkToFit="1"/>
    </xf>
    <xf numFmtId="10" fontId="3" fillId="0" borderId="4" xfId="0" applyNumberFormat="1" applyFont="1" applyBorder="1" applyAlignment="1">
      <alignment horizontal="left" vertical="top" shrinkToFit="1"/>
    </xf>
    <xf numFmtId="0" fontId="1" fillId="2" borderId="2" xfId="0" applyFont="1" applyFill="1" applyBorder="1" applyAlignment="1">
      <alignment horizontal="left" vertical="top" wrapText="1" indent="12"/>
    </xf>
    <xf numFmtId="0" fontId="1" fillId="2" borderId="3" xfId="0" applyFont="1" applyFill="1" applyBorder="1" applyAlignment="1">
      <alignment horizontal="left" vertical="top" wrapText="1" indent="12"/>
    </xf>
    <xf numFmtId="0" fontId="1" fillId="2" borderId="4" xfId="0" applyFont="1" applyFill="1" applyBorder="1" applyAlignment="1">
      <alignment horizontal="left" vertical="top" wrapText="1" indent="12"/>
    </xf>
    <xf numFmtId="166" fontId="3" fillId="5" borderId="2" xfId="0" applyNumberFormat="1" applyFont="1" applyFill="1" applyBorder="1" applyAlignment="1">
      <alignment horizontal="center" vertical="top" shrinkToFit="1"/>
    </xf>
    <xf numFmtId="166" fontId="3" fillId="5" borderId="3" xfId="0" applyNumberFormat="1" applyFont="1" applyFill="1" applyBorder="1" applyAlignment="1">
      <alignment horizontal="center" vertical="top" shrinkToFit="1"/>
    </xf>
    <xf numFmtId="166" fontId="3" fillId="5" borderId="4" xfId="0" applyNumberFormat="1" applyFont="1" applyFill="1" applyBorder="1" applyAlignment="1">
      <alignment horizontal="center" vertical="top" shrinkToFit="1"/>
    </xf>
    <xf numFmtId="165" fontId="3" fillId="0" borderId="10" xfId="0" applyNumberFormat="1" applyFont="1" applyBorder="1" applyAlignment="1">
      <alignment horizontal="center" vertical="top" shrinkToFit="1"/>
    </xf>
    <xf numFmtId="165" fontId="3" fillId="0" borderId="0" xfId="0" applyNumberFormat="1" applyFont="1" applyAlignment="1">
      <alignment horizontal="center" vertical="top" shrinkToFit="1"/>
    </xf>
    <xf numFmtId="165" fontId="3" fillId="0" borderId="11" xfId="0" applyNumberFormat="1" applyFont="1" applyBorder="1" applyAlignment="1">
      <alignment horizontal="center" vertical="top" shrinkToFit="1"/>
    </xf>
    <xf numFmtId="166" fontId="3" fillId="0" borderId="13" xfId="0" applyNumberFormat="1" applyFont="1" applyBorder="1" applyAlignment="1">
      <alignment horizontal="center" vertical="top" shrinkToFit="1"/>
    </xf>
    <xf numFmtId="166" fontId="3" fillId="0" borderId="14" xfId="0" applyNumberFormat="1" applyFont="1" applyBorder="1" applyAlignment="1">
      <alignment horizontal="center" vertical="top" shrinkToFit="1"/>
    </xf>
    <xf numFmtId="166" fontId="3" fillId="0" borderId="15" xfId="0" applyNumberFormat="1" applyFont="1" applyBorder="1" applyAlignment="1">
      <alignment horizontal="center" vertical="top" shrinkToFit="1"/>
    </xf>
    <xf numFmtId="0" fontId="1" fillId="2" borderId="2" xfId="0" applyFont="1" applyFill="1" applyBorder="1" applyAlignment="1">
      <alignment horizontal="left" vertical="top" wrapText="1" indent="3"/>
    </xf>
    <xf numFmtId="0" fontId="1" fillId="2" borderId="3" xfId="0" applyFont="1" applyFill="1" applyBorder="1" applyAlignment="1">
      <alignment horizontal="left" vertical="top" wrapText="1" indent="3"/>
    </xf>
    <xf numFmtId="0" fontId="1" fillId="2" borderId="4" xfId="0" applyFont="1" applyFill="1" applyBorder="1" applyAlignment="1">
      <alignment horizontal="left" vertical="top" wrapText="1" indent="3"/>
    </xf>
    <xf numFmtId="0" fontId="0" fillId="0" borderId="2" xfId="0" applyBorder="1" applyAlignment="1">
      <alignment horizontal="left" vertical="top" wrapText="1" indent="2"/>
    </xf>
    <xf numFmtId="0" fontId="0" fillId="0" borderId="3" xfId="0" applyBorder="1" applyAlignment="1">
      <alignment horizontal="left" vertical="top" wrapText="1" indent="2"/>
    </xf>
    <xf numFmtId="0" fontId="0" fillId="0" borderId="4" xfId="0" applyBorder="1" applyAlignment="1">
      <alignment horizontal="left" vertical="top" wrapText="1" indent="2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26" xfId="0" applyBorder="1" applyAlignment="1">
      <alignment horizontal="left" vertical="center" wrapText="1"/>
    </xf>
    <xf numFmtId="0" fontId="0" fillId="0" borderId="7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30" xfId="0" applyBorder="1" applyAlignment="1">
      <alignment horizontal="left" vertical="top" wrapText="1"/>
    </xf>
    <xf numFmtId="0" fontId="2" fillId="0" borderId="0" xfId="0" applyFont="1" applyAlignment="1">
      <alignment horizontal="left" vertical="top" wrapText="1" indent="5"/>
    </xf>
    <xf numFmtId="0" fontId="1" fillId="2" borderId="2" xfId="0" applyFont="1" applyFill="1" applyBorder="1" applyAlignment="1">
      <alignment horizontal="left" vertical="top" wrapText="1" indent="25"/>
    </xf>
    <xf numFmtId="0" fontId="1" fillId="2" borderId="3" xfId="0" applyFont="1" applyFill="1" applyBorder="1" applyAlignment="1">
      <alignment horizontal="left" vertical="top" wrapText="1" indent="25"/>
    </xf>
    <xf numFmtId="0" fontId="2" fillId="0" borderId="16" xfId="0" applyFont="1" applyBorder="1" applyAlignment="1">
      <alignment horizontal="left" vertical="top" wrapText="1"/>
    </xf>
    <xf numFmtId="0" fontId="2" fillId="0" borderId="17" xfId="0" applyFont="1" applyBorder="1" applyAlignment="1">
      <alignment horizontal="left" vertical="top" wrapText="1"/>
    </xf>
    <xf numFmtId="0" fontId="0" fillId="4" borderId="7" xfId="0" applyFill="1" applyBorder="1" applyAlignment="1">
      <alignment horizontal="left" vertical="top" wrapText="1"/>
    </xf>
    <xf numFmtId="0" fontId="0" fillId="4" borderId="18" xfId="0" applyFill="1" applyBorder="1" applyAlignment="1">
      <alignment horizontal="left" vertical="top" wrapText="1"/>
    </xf>
    <xf numFmtId="0" fontId="0" fillId="4" borderId="0" xfId="0" applyFill="1" applyAlignment="1">
      <alignment horizontal="left" vertical="top" wrapText="1"/>
    </xf>
    <xf numFmtId="0" fontId="0" fillId="4" borderId="19" xfId="0" applyFill="1" applyBorder="1" applyAlignment="1">
      <alignment horizontal="left" vertical="top" wrapText="1"/>
    </xf>
    <xf numFmtId="0" fontId="0" fillId="4" borderId="20" xfId="0" applyFill="1" applyBorder="1" applyAlignment="1">
      <alignment horizontal="left" vertical="top" wrapText="1"/>
    </xf>
    <xf numFmtId="0" fontId="0" fillId="4" borderId="21" xfId="0" applyFill="1" applyBorder="1" applyAlignment="1">
      <alignment horizontal="left" vertical="top" wrapText="1"/>
    </xf>
    <xf numFmtId="0" fontId="1" fillId="4" borderId="22" xfId="0" applyFont="1" applyFill="1" applyBorder="1" applyAlignment="1">
      <alignment horizontal="left" vertical="top" wrapText="1"/>
    </xf>
    <xf numFmtId="0" fontId="1" fillId="4" borderId="23" xfId="0" applyFont="1" applyFill="1" applyBorder="1" applyAlignment="1">
      <alignment horizontal="left" vertical="top" wrapText="1"/>
    </xf>
    <xf numFmtId="0" fontId="2" fillId="0" borderId="24" xfId="0" applyFont="1" applyBorder="1" applyAlignment="1">
      <alignment horizontal="left" vertical="top" wrapText="1"/>
    </xf>
    <xf numFmtId="0" fontId="2" fillId="0" borderId="25" xfId="0" applyFont="1" applyBorder="1" applyAlignment="1">
      <alignment horizontal="left" vertical="top" wrapText="1"/>
    </xf>
    <xf numFmtId="165" fontId="3" fillId="0" borderId="6" xfId="0" applyNumberFormat="1" applyFont="1" applyBorder="1" applyAlignment="1">
      <alignment horizontal="center" vertical="top" shrinkToFit="1"/>
    </xf>
    <xf numFmtId="165" fontId="3" fillId="0" borderId="7" xfId="0" applyNumberFormat="1" applyFont="1" applyBorder="1" applyAlignment="1">
      <alignment horizontal="center" vertical="top" shrinkToFit="1"/>
    </xf>
    <xf numFmtId="165" fontId="3" fillId="0" borderId="8" xfId="0" applyNumberFormat="1" applyFont="1" applyBorder="1" applyAlignment="1">
      <alignment horizontal="center" vertical="top" shrinkToFit="1"/>
    </xf>
    <xf numFmtId="165" fontId="3" fillId="0" borderId="10" xfId="0" applyNumberFormat="1" applyFont="1" applyBorder="1" applyAlignment="1">
      <alignment horizontal="left" vertical="top" shrinkToFit="1"/>
    </xf>
    <xf numFmtId="165" fontId="3" fillId="0" borderId="0" xfId="0" applyNumberFormat="1" applyFont="1" applyAlignment="1">
      <alignment horizontal="left" vertical="top" shrinkToFit="1"/>
    </xf>
    <xf numFmtId="165" fontId="3" fillId="0" borderId="11" xfId="0" applyNumberFormat="1" applyFont="1" applyBorder="1" applyAlignment="1">
      <alignment horizontal="left" vertical="top" shrinkToFi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164" fontId="3" fillId="0" borderId="6" xfId="0" applyNumberFormat="1" applyFont="1" applyBorder="1" applyAlignment="1">
      <alignment horizontal="center" vertical="top" shrinkToFit="1"/>
    </xf>
    <xf numFmtId="164" fontId="3" fillId="0" borderId="7" xfId="0" applyNumberFormat="1" applyFont="1" applyBorder="1" applyAlignment="1">
      <alignment horizontal="center" vertical="top" shrinkToFit="1"/>
    </xf>
    <xf numFmtId="164" fontId="3" fillId="0" borderId="8" xfId="0" applyNumberFormat="1" applyFont="1" applyBorder="1" applyAlignment="1">
      <alignment horizontal="center" vertical="top" shrinkToFit="1"/>
    </xf>
    <xf numFmtId="1" fontId="3" fillId="0" borderId="6" xfId="0" applyNumberFormat="1" applyFont="1" applyBorder="1" applyAlignment="1">
      <alignment horizontal="center" vertical="top" shrinkToFit="1"/>
    </xf>
    <xf numFmtId="1" fontId="3" fillId="0" borderId="7" xfId="0" applyNumberFormat="1" applyFont="1" applyBorder="1" applyAlignment="1">
      <alignment horizontal="center" vertical="top" shrinkToFit="1"/>
    </xf>
    <xf numFmtId="1" fontId="3" fillId="0" borderId="8" xfId="0" applyNumberFormat="1" applyFont="1" applyBorder="1" applyAlignment="1">
      <alignment horizontal="center" vertical="top" shrinkToFit="1"/>
    </xf>
    <xf numFmtId="0" fontId="2" fillId="0" borderId="6" xfId="0" applyFont="1" applyBorder="1" applyAlignment="1">
      <alignment horizontal="left" vertical="top" wrapText="1" indent="1"/>
    </xf>
    <xf numFmtId="0" fontId="2" fillId="0" borderId="8" xfId="0" applyFont="1" applyBorder="1" applyAlignment="1">
      <alignment horizontal="left" vertical="top" wrapText="1" indent="1"/>
    </xf>
    <xf numFmtId="164" fontId="3" fillId="0" borderId="13" xfId="0" applyNumberFormat="1" applyFont="1" applyBorder="1" applyAlignment="1">
      <alignment horizontal="center" vertical="top" shrinkToFit="1"/>
    </xf>
    <xf numFmtId="164" fontId="3" fillId="0" borderId="14" xfId="0" applyNumberFormat="1" applyFont="1" applyBorder="1" applyAlignment="1">
      <alignment horizontal="center" vertical="top" shrinkToFit="1"/>
    </xf>
    <xf numFmtId="164" fontId="3" fillId="0" borderId="15" xfId="0" applyNumberFormat="1" applyFont="1" applyBorder="1" applyAlignment="1">
      <alignment horizontal="center" vertical="top" shrinkToFit="1"/>
    </xf>
    <xf numFmtId="1" fontId="3" fillId="0" borderId="13" xfId="0" applyNumberFormat="1" applyFont="1" applyBorder="1" applyAlignment="1">
      <alignment horizontal="center" vertical="top" shrinkToFit="1"/>
    </xf>
    <xf numFmtId="1" fontId="3" fillId="0" borderId="14" xfId="0" applyNumberFormat="1" applyFont="1" applyBorder="1" applyAlignment="1">
      <alignment horizontal="center" vertical="top" shrinkToFit="1"/>
    </xf>
    <xf numFmtId="1" fontId="3" fillId="0" borderId="15" xfId="0" applyNumberFormat="1" applyFont="1" applyBorder="1" applyAlignment="1">
      <alignment horizontal="center" vertical="top" shrinkToFit="1"/>
    </xf>
    <xf numFmtId="165" fontId="3" fillId="0" borderId="13" xfId="0" applyNumberFormat="1" applyFont="1" applyBorder="1" applyAlignment="1">
      <alignment horizontal="center" vertical="top" shrinkToFit="1"/>
    </xf>
    <xf numFmtId="165" fontId="3" fillId="0" borderId="14" xfId="0" applyNumberFormat="1" applyFont="1" applyBorder="1" applyAlignment="1">
      <alignment horizontal="center" vertical="top" shrinkToFit="1"/>
    </xf>
    <xf numFmtId="165" fontId="3" fillId="0" borderId="15" xfId="0" applyNumberFormat="1" applyFont="1" applyBorder="1" applyAlignment="1">
      <alignment horizontal="center" vertical="top" shrinkToFit="1"/>
    </xf>
    <xf numFmtId="0" fontId="2" fillId="0" borderId="13" xfId="0" applyFont="1" applyBorder="1" applyAlignment="1">
      <alignment horizontal="left" vertical="top" wrapText="1" indent="1"/>
    </xf>
    <xf numFmtId="0" fontId="2" fillId="0" borderId="15" xfId="0" applyFont="1" applyBorder="1" applyAlignment="1">
      <alignment horizontal="left" vertical="top" wrapText="1" indent="1"/>
    </xf>
    <xf numFmtId="0" fontId="0" fillId="0" borderId="6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 indent="2"/>
    </xf>
    <xf numFmtId="0" fontId="2" fillId="0" borderId="3" xfId="0" applyFont="1" applyBorder="1" applyAlignment="1">
      <alignment horizontal="left" vertical="top" wrapText="1" indent="2"/>
    </xf>
    <xf numFmtId="0" fontId="2" fillId="0" borderId="4" xfId="0" applyFont="1" applyBorder="1" applyAlignment="1">
      <alignment horizontal="left" vertical="top" wrapText="1" indent="2"/>
    </xf>
    <xf numFmtId="0" fontId="1" fillId="2" borderId="2" xfId="0" applyFont="1" applyFill="1" applyBorder="1" applyAlignment="1">
      <alignment horizontal="left" vertical="top" wrapText="1" indent="21"/>
    </xf>
    <xf numFmtId="0" fontId="1" fillId="2" borderId="3" xfId="0" applyFont="1" applyFill="1" applyBorder="1" applyAlignment="1">
      <alignment horizontal="left" vertical="top" wrapText="1" indent="2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left" vertical="top" wrapText="1" indent="29"/>
    </xf>
    <xf numFmtId="0" fontId="1" fillId="2" borderId="3" xfId="0" applyFont="1" applyFill="1" applyBorder="1" applyAlignment="1">
      <alignment horizontal="left" vertical="top" wrapText="1" indent="29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1" fillId="0" borderId="3" xfId="0" applyFont="1" applyBorder="1" applyAlignment="1">
      <alignment horizontal="left" vertical="top" wrapText="1" indent="9"/>
    </xf>
    <xf numFmtId="0" fontId="1" fillId="2" borderId="2" xfId="0" applyFont="1" applyFill="1" applyBorder="1" applyAlignment="1">
      <alignment horizontal="left" vertical="top" wrapText="1" indent="28"/>
    </xf>
    <xf numFmtId="0" fontId="1" fillId="2" borderId="3" xfId="0" applyFont="1" applyFill="1" applyBorder="1" applyAlignment="1">
      <alignment horizontal="left" vertical="top" wrapText="1" indent="28"/>
    </xf>
    <xf numFmtId="164" fontId="3" fillId="0" borderId="10" xfId="0" applyNumberFormat="1" applyFont="1" applyBorder="1" applyAlignment="1">
      <alignment horizontal="center" vertical="top" shrinkToFit="1"/>
    </xf>
    <xf numFmtId="164" fontId="3" fillId="0" borderId="0" xfId="0" applyNumberFormat="1" applyFont="1" applyAlignment="1">
      <alignment horizontal="center" vertical="top" shrinkToFit="1"/>
    </xf>
    <xf numFmtId="164" fontId="3" fillId="0" borderId="11" xfId="0" applyNumberFormat="1" applyFont="1" applyBorder="1" applyAlignment="1">
      <alignment horizontal="center" vertical="top" shrinkToFit="1"/>
    </xf>
    <xf numFmtId="1" fontId="3" fillId="0" borderId="10" xfId="0" applyNumberFormat="1" applyFont="1" applyBorder="1" applyAlignment="1">
      <alignment horizontal="center" vertical="top" shrinkToFit="1"/>
    </xf>
    <xf numFmtId="1" fontId="3" fillId="0" borderId="0" xfId="0" applyNumberFormat="1" applyFont="1" applyAlignment="1">
      <alignment horizontal="center" vertical="top" shrinkToFit="1"/>
    </xf>
    <xf numFmtId="1" fontId="3" fillId="0" borderId="11" xfId="0" applyNumberFormat="1" applyFont="1" applyBorder="1" applyAlignment="1">
      <alignment horizontal="center" vertical="top" shrinkToFit="1"/>
    </xf>
    <xf numFmtId="0" fontId="2" fillId="0" borderId="10" xfId="0" applyFont="1" applyBorder="1" applyAlignment="1">
      <alignment horizontal="left" vertical="top" wrapText="1" indent="1"/>
    </xf>
    <xf numFmtId="0" fontId="2" fillId="0" borderId="11" xfId="0" applyFont="1" applyBorder="1" applyAlignment="1">
      <alignment horizontal="left" vertical="top" wrapText="1" indent="1"/>
    </xf>
    <xf numFmtId="168" fontId="3" fillId="0" borderId="10" xfId="0" applyNumberFormat="1" applyFont="1" applyBorder="1" applyAlignment="1">
      <alignment horizontal="center" vertical="top" shrinkToFit="1"/>
    </xf>
    <xf numFmtId="168" fontId="3" fillId="0" borderId="0" xfId="0" applyNumberFormat="1" applyFont="1" applyAlignment="1">
      <alignment horizontal="center" vertical="top" shrinkToFit="1"/>
    </xf>
    <xf numFmtId="168" fontId="3" fillId="0" borderId="11" xfId="0" applyNumberFormat="1" applyFont="1" applyBorder="1" applyAlignment="1">
      <alignment horizontal="center" vertical="top" shrinkToFit="1"/>
    </xf>
    <xf numFmtId="168" fontId="3" fillId="0" borderId="6" xfId="0" applyNumberFormat="1" applyFont="1" applyBorder="1" applyAlignment="1">
      <alignment horizontal="center" vertical="top" shrinkToFit="1"/>
    </xf>
    <xf numFmtId="168" fontId="3" fillId="0" borderId="7" xfId="0" applyNumberFormat="1" applyFont="1" applyBorder="1" applyAlignment="1">
      <alignment horizontal="center" vertical="top" shrinkToFit="1"/>
    </xf>
    <xf numFmtId="168" fontId="3" fillId="0" borderId="8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 indent="6"/>
    </xf>
    <xf numFmtId="0" fontId="1" fillId="0" borderId="2" xfId="0" applyFont="1" applyBorder="1" applyAlignment="1">
      <alignment horizontal="left" vertical="top" wrapText="1" indent="12"/>
    </xf>
    <xf numFmtId="0" fontId="1" fillId="0" borderId="3" xfId="0" applyFont="1" applyBorder="1" applyAlignment="1">
      <alignment horizontal="left" vertical="top" wrapText="1" indent="12"/>
    </xf>
    <xf numFmtId="0" fontId="1" fillId="0" borderId="4" xfId="0" applyFont="1" applyBorder="1" applyAlignment="1">
      <alignment horizontal="left" vertical="top" wrapText="1" indent="12"/>
    </xf>
    <xf numFmtId="0" fontId="0" fillId="0" borderId="13" xfId="0" applyBorder="1" applyAlignment="1">
      <alignment horizontal="left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top" wrapText="1" indent="2"/>
    </xf>
    <xf numFmtId="0" fontId="7" fillId="0" borderId="10" xfId="0" applyFont="1" applyBorder="1" applyAlignment="1">
      <alignment horizontal="left" vertical="top" wrapText="1"/>
    </xf>
    <xf numFmtId="168" fontId="3" fillId="0" borderId="13" xfId="0" applyNumberFormat="1" applyFont="1" applyBorder="1" applyAlignment="1">
      <alignment horizontal="center" vertical="top" shrinkToFit="1"/>
    </xf>
    <xf numFmtId="168" fontId="3" fillId="0" borderId="14" xfId="0" applyNumberFormat="1" applyFont="1" applyBorder="1" applyAlignment="1">
      <alignment horizontal="center" vertical="top" shrinkToFit="1"/>
    </xf>
    <xf numFmtId="168" fontId="3" fillId="0" borderId="15" xfId="0" applyNumberFormat="1" applyFont="1" applyBorder="1" applyAlignment="1">
      <alignment horizontal="center" vertical="top" shrinkToFit="1"/>
    </xf>
    <xf numFmtId="0" fontId="1" fillId="2" borderId="2" xfId="0" applyFont="1" applyFill="1" applyBorder="1" applyAlignment="1">
      <alignment horizontal="left" vertical="top" wrapText="1" indent="32"/>
    </xf>
    <xf numFmtId="0" fontId="1" fillId="2" borderId="3" xfId="0" applyFont="1" applyFill="1" applyBorder="1" applyAlignment="1">
      <alignment horizontal="left" vertical="top" wrapText="1" indent="3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65" fontId="3" fillId="0" borderId="2" xfId="0" applyNumberFormat="1" applyFont="1" applyBorder="1" applyAlignment="1">
      <alignment horizontal="center" vertical="top" shrinkToFit="1"/>
    </xf>
    <xf numFmtId="165" fontId="3" fillId="0" borderId="3" xfId="0" applyNumberFormat="1" applyFont="1" applyBorder="1" applyAlignment="1">
      <alignment horizontal="center" vertical="top" shrinkToFit="1"/>
    </xf>
    <xf numFmtId="165" fontId="3" fillId="0" borderId="4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 indent="1"/>
    </xf>
    <xf numFmtId="0" fontId="2" fillId="0" borderId="4" xfId="0" applyFont="1" applyBorder="1" applyAlignment="1">
      <alignment horizontal="left" vertical="top" wrapText="1" indent="1"/>
    </xf>
    <xf numFmtId="0" fontId="1" fillId="2" borderId="2" xfId="0" applyFont="1" applyFill="1" applyBorder="1" applyAlignment="1">
      <alignment horizontal="left" vertical="top" wrapText="1" indent="31"/>
    </xf>
    <xf numFmtId="0" fontId="1" fillId="2" borderId="3" xfId="0" applyFont="1" applyFill="1" applyBorder="1" applyAlignment="1">
      <alignment horizontal="left" vertical="top" wrapText="1" indent="31"/>
    </xf>
    <xf numFmtId="0" fontId="2" fillId="0" borderId="3" xfId="0" applyFont="1" applyBorder="1" applyAlignment="1">
      <alignment horizontal="left" vertical="top" wrapText="1" indent="1"/>
    </xf>
    <xf numFmtId="0" fontId="2" fillId="0" borderId="7" xfId="0" applyFont="1" applyBorder="1" applyAlignment="1">
      <alignment horizontal="left" vertical="top" wrapText="1" indent="1"/>
    </xf>
    <xf numFmtId="0" fontId="0" fillId="0" borderId="7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0" borderId="10" xfId="0" applyBorder="1" applyAlignment="1">
      <alignment horizontal="left" vertical="top" wrapText="1"/>
    </xf>
    <xf numFmtId="0" fontId="2" fillId="0" borderId="0" xfId="0" applyFont="1" applyAlignment="1">
      <alignment horizontal="left" vertical="top" wrapText="1" indent="1"/>
    </xf>
    <xf numFmtId="0" fontId="1" fillId="0" borderId="0" xfId="0" applyFont="1" applyAlignment="1">
      <alignment horizontal="center" vertical="top" wrapText="1"/>
    </xf>
    <xf numFmtId="0" fontId="1" fillId="0" borderId="11" xfId="0" applyFont="1" applyBorder="1" applyAlignment="1">
      <alignment horizontal="center" vertical="top" wrapText="1"/>
    </xf>
    <xf numFmtId="0" fontId="0" fillId="0" borderId="0" xfId="0" applyAlignment="1">
      <alignment horizontal="left" wrapText="1"/>
    </xf>
    <xf numFmtId="0" fontId="0" fillId="0" borderId="11" xfId="0" applyBorder="1" applyAlignment="1">
      <alignment horizontal="left" wrapText="1"/>
    </xf>
    <xf numFmtId="0" fontId="2" fillId="0" borderId="14" xfId="0" applyFont="1" applyBorder="1" applyAlignment="1">
      <alignment horizontal="left" vertical="top" wrapText="1" indent="1"/>
    </xf>
    <xf numFmtId="164" fontId="3" fillId="0" borderId="2" xfId="0" applyNumberFormat="1" applyFont="1" applyBorder="1" applyAlignment="1">
      <alignment horizontal="left" vertical="top" indent="3" shrinkToFit="1"/>
    </xf>
    <xf numFmtId="164" fontId="3" fillId="0" borderId="3" xfId="0" applyNumberFormat="1" applyFont="1" applyBorder="1" applyAlignment="1">
      <alignment horizontal="left" vertical="top" indent="3" shrinkToFit="1"/>
    </xf>
    <xf numFmtId="164" fontId="3" fillId="0" borderId="4" xfId="0" applyNumberFormat="1" applyFont="1" applyBorder="1" applyAlignment="1">
      <alignment horizontal="left" vertical="top" indent="3" shrinkToFit="1"/>
    </xf>
    <xf numFmtId="0" fontId="0" fillId="0" borderId="0" xfId="0" applyAlignment="1">
      <alignment horizontal="left" vertical="top" wrapText="1" indent="6"/>
    </xf>
    <xf numFmtId="0" fontId="1" fillId="2" borderId="2" xfId="0" applyFont="1" applyFill="1" applyBorder="1" applyAlignment="1">
      <alignment horizontal="left" vertical="top" wrapText="1" indent="1"/>
    </xf>
    <xf numFmtId="0" fontId="1" fillId="2" borderId="3" xfId="0" applyFont="1" applyFill="1" applyBorder="1" applyAlignment="1">
      <alignment horizontal="left" vertical="top" wrapText="1" indent="1"/>
    </xf>
    <xf numFmtId="0" fontId="1" fillId="2" borderId="4" xfId="0" applyFont="1" applyFill="1" applyBorder="1" applyAlignment="1">
      <alignment horizontal="left" vertical="top" wrapText="1" indent="1"/>
    </xf>
    <xf numFmtId="167" fontId="3" fillId="0" borderId="2" xfId="0" applyNumberFormat="1" applyFont="1" applyBorder="1" applyAlignment="1">
      <alignment horizontal="right" vertical="top" shrinkToFit="1"/>
    </xf>
    <xf numFmtId="167" fontId="3" fillId="0" borderId="3" xfId="0" applyNumberFormat="1" applyFont="1" applyBorder="1" applyAlignment="1">
      <alignment horizontal="right" vertical="top" shrinkToFit="1"/>
    </xf>
    <xf numFmtId="167" fontId="3" fillId="0" borderId="4" xfId="0" applyNumberFormat="1" applyFont="1" applyBorder="1" applyAlignment="1">
      <alignment horizontal="right" vertical="top" shrinkToFit="1"/>
    </xf>
    <xf numFmtId="166" fontId="3" fillId="0" borderId="2" xfId="0" applyNumberFormat="1" applyFont="1" applyBorder="1" applyAlignment="1">
      <alignment horizontal="center" vertical="top" shrinkToFit="1"/>
    </xf>
    <xf numFmtId="166" fontId="3" fillId="0" borderId="3" xfId="0" applyNumberFormat="1" applyFont="1" applyBorder="1" applyAlignment="1">
      <alignment horizontal="center" vertical="top" shrinkToFit="1"/>
    </xf>
    <xf numFmtId="166" fontId="3" fillId="0" borderId="4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67" fontId="5" fillId="0" borderId="2" xfId="0" applyNumberFormat="1" applyFont="1" applyBorder="1" applyAlignment="1">
      <alignment horizontal="left" vertical="top" indent="4" shrinkToFit="1"/>
    </xf>
    <xf numFmtId="167" fontId="5" fillId="0" borderId="3" xfId="0" applyNumberFormat="1" applyFont="1" applyBorder="1" applyAlignment="1">
      <alignment horizontal="left" vertical="top" indent="4" shrinkToFit="1"/>
    </xf>
    <xf numFmtId="167" fontId="5" fillId="0" borderId="4" xfId="0" applyNumberFormat="1" applyFont="1" applyBorder="1" applyAlignment="1">
      <alignment horizontal="left" vertical="top" indent="4" shrinkToFi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1" fillId="2" borderId="2" xfId="0" applyFont="1" applyFill="1" applyBorder="1" applyAlignment="1">
      <alignment horizontal="right" vertical="top" wrapText="1"/>
    </xf>
    <xf numFmtId="0" fontId="1" fillId="2" borderId="3" xfId="0" applyFont="1" applyFill="1" applyBorder="1" applyAlignment="1">
      <alignment horizontal="right" vertical="top" wrapText="1"/>
    </xf>
    <xf numFmtId="0" fontId="1" fillId="2" borderId="4" xfId="0" applyFont="1" applyFill="1" applyBorder="1" applyAlignment="1">
      <alignment horizontal="right" vertical="top" wrapText="1"/>
    </xf>
    <xf numFmtId="0" fontId="1" fillId="2" borderId="2" xfId="0" applyFont="1" applyFill="1" applyBorder="1" applyAlignment="1">
      <alignment horizontal="right" vertical="top" wrapText="1" indent="1"/>
    </xf>
    <xf numFmtId="0" fontId="1" fillId="2" borderId="3" xfId="0" applyFont="1" applyFill="1" applyBorder="1" applyAlignment="1">
      <alignment horizontal="right" vertical="top" wrapText="1" indent="1"/>
    </xf>
    <xf numFmtId="0" fontId="1" fillId="2" borderId="4" xfId="0" applyFont="1" applyFill="1" applyBorder="1" applyAlignment="1">
      <alignment horizontal="right" vertical="top" wrapText="1" indent="1"/>
    </xf>
    <xf numFmtId="0" fontId="1" fillId="2" borderId="4" xfId="0" applyFont="1" applyFill="1" applyBorder="1" applyAlignment="1">
      <alignment horizontal="left" vertical="top" wrapText="1" indent="25"/>
    </xf>
    <xf numFmtId="164" fontId="3" fillId="0" borderId="13" xfId="0" applyNumberFormat="1" applyFont="1" applyBorder="1" applyAlignment="1">
      <alignment horizontal="left" vertical="top" shrinkToFit="1"/>
    </xf>
    <xf numFmtId="164" fontId="3" fillId="0" borderId="14" xfId="0" applyNumberFormat="1" applyFont="1" applyBorder="1" applyAlignment="1">
      <alignment horizontal="left" vertical="top" shrinkToFit="1"/>
    </xf>
    <xf numFmtId="164" fontId="3" fillId="0" borderId="15" xfId="0" applyNumberFormat="1" applyFont="1" applyBorder="1" applyAlignment="1">
      <alignment horizontal="left" vertical="top" shrinkToFit="1"/>
    </xf>
    <xf numFmtId="1" fontId="3" fillId="0" borderId="0" xfId="0" applyNumberFormat="1" applyFont="1" applyAlignment="1">
      <alignment horizontal="right" vertical="top" indent="4" shrinkToFit="1"/>
    </xf>
    <xf numFmtId="0" fontId="2" fillId="0" borderId="0" xfId="0" applyFont="1" applyAlignment="1">
      <alignment horizontal="left" vertical="top" wrapText="1" indent="50"/>
    </xf>
    <xf numFmtId="0" fontId="0" fillId="7" borderId="2" xfId="0" applyFill="1" applyBorder="1" applyAlignment="1">
      <alignment horizontal="left" vertical="top" wrapText="1" indent="5"/>
    </xf>
    <xf numFmtId="0" fontId="0" fillId="7" borderId="3" xfId="0" applyFill="1" applyBorder="1" applyAlignment="1">
      <alignment horizontal="left" vertical="top" wrapText="1" indent="5"/>
    </xf>
    <xf numFmtId="0" fontId="0" fillId="7" borderId="4" xfId="0" applyFill="1" applyBorder="1" applyAlignment="1">
      <alignment horizontal="left" vertical="top" wrapText="1" indent="5"/>
    </xf>
    <xf numFmtId="0" fontId="1" fillId="7" borderId="2" xfId="0" applyFont="1" applyFill="1" applyBorder="1" applyAlignment="1">
      <alignment horizontal="center" vertical="top" wrapText="1"/>
    </xf>
    <xf numFmtId="0" fontId="1" fillId="7" borderId="3" xfId="0" applyFont="1" applyFill="1" applyBorder="1" applyAlignment="1">
      <alignment horizontal="center" vertical="top" wrapText="1"/>
    </xf>
    <xf numFmtId="0" fontId="1" fillId="7" borderId="4" xfId="0" applyFont="1" applyFill="1" applyBorder="1" applyAlignment="1">
      <alignment horizontal="center" vertical="top" wrapText="1"/>
    </xf>
    <xf numFmtId="0" fontId="2" fillId="7" borderId="6" xfId="0" applyFont="1" applyFill="1" applyBorder="1" applyAlignment="1">
      <alignment horizontal="left" vertical="top" wrapText="1"/>
    </xf>
    <xf numFmtId="0" fontId="2" fillId="7" borderId="8" xfId="0" applyFont="1" applyFill="1" applyBorder="1" applyAlignment="1">
      <alignment horizontal="left" vertical="top" wrapText="1"/>
    </xf>
    <xf numFmtId="0" fontId="2" fillId="7" borderId="7" xfId="0" applyFont="1" applyFill="1" applyBorder="1" applyAlignment="1">
      <alignment horizontal="left" vertical="top" wrapText="1"/>
    </xf>
    <xf numFmtId="0" fontId="2" fillId="7" borderId="10" xfId="0" applyFont="1" applyFill="1" applyBorder="1" applyAlignment="1">
      <alignment horizontal="left" vertical="top" wrapText="1"/>
    </xf>
    <xf numFmtId="0" fontId="2" fillId="7" borderId="11" xfId="0" applyFont="1" applyFill="1" applyBorder="1" applyAlignment="1">
      <alignment horizontal="left" vertical="top" wrapText="1"/>
    </xf>
    <xf numFmtId="0" fontId="2" fillId="7" borderId="0" xfId="0" applyFont="1" applyFill="1" applyAlignment="1">
      <alignment horizontal="left" vertical="top" wrapText="1"/>
    </xf>
    <xf numFmtId="0" fontId="2" fillId="7" borderId="13" xfId="0" applyFont="1" applyFill="1" applyBorder="1" applyAlignment="1">
      <alignment horizontal="left" vertical="top" wrapText="1"/>
    </xf>
    <xf numFmtId="0" fontId="2" fillId="7" borderId="15" xfId="0" applyFont="1" applyFill="1" applyBorder="1" applyAlignment="1">
      <alignment horizontal="left" vertical="top" wrapText="1"/>
    </xf>
    <xf numFmtId="164" fontId="3" fillId="7" borderId="13" xfId="0" applyNumberFormat="1" applyFont="1" applyFill="1" applyBorder="1" applyAlignment="1">
      <alignment horizontal="left" vertical="top" shrinkToFit="1"/>
    </xf>
    <xf numFmtId="164" fontId="3" fillId="7" borderId="14" xfId="0" applyNumberFormat="1" applyFont="1" applyFill="1" applyBorder="1" applyAlignment="1">
      <alignment horizontal="left" vertical="top" shrinkToFit="1"/>
    </xf>
    <xf numFmtId="164" fontId="3" fillId="7" borderId="15" xfId="0" applyNumberFormat="1" applyFont="1" applyFill="1" applyBorder="1" applyAlignment="1">
      <alignment horizontal="left" vertical="top" shrinkToFit="1"/>
    </xf>
    <xf numFmtId="0" fontId="0" fillId="7" borderId="0" xfId="0" applyFill="1" applyAlignment="1">
      <alignment horizontal="left" vertical="center" wrapText="1"/>
    </xf>
    <xf numFmtId="0" fontId="1" fillId="7" borderId="2" xfId="0" applyFont="1" applyFill="1" applyBorder="1" applyAlignment="1">
      <alignment horizontal="left" vertical="top" wrapText="1" indent="1"/>
    </xf>
    <xf numFmtId="0" fontId="1" fillId="7" borderId="3" xfId="0" applyFont="1" applyFill="1" applyBorder="1" applyAlignment="1">
      <alignment horizontal="left" vertical="top" wrapText="1" indent="1"/>
    </xf>
    <xf numFmtId="0" fontId="1" fillId="7" borderId="4" xfId="0" applyFont="1" applyFill="1" applyBorder="1" applyAlignment="1">
      <alignment horizontal="left" vertical="top" wrapText="1" indent="1"/>
    </xf>
    <xf numFmtId="0" fontId="0" fillId="7" borderId="14" xfId="0" applyFill="1" applyBorder="1" applyAlignment="1">
      <alignment horizontal="left" wrapText="1"/>
    </xf>
    <xf numFmtId="0" fontId="0" fillId="7" borderId="15" xfId="0" applyFill="1" applyBorder="1" applyAlignment="1">
      <alignment horizontal="left" wrapText="1"/>
    </xf>
    <xf numFmtId="0" fontId="1" fillId="7" borderId="2" xfId="0" applyFont="1" applyFill="1" applyBorder="1" applyAlignment="1">
      <alignment horizontal="left" vertical="top" wrapText="1" indent="3"/>
    </xf>
    <xf numFmtId="0" fontId="1" fillId="7" borderId="3" xfId="0" applyFont="1" applyFill="1" applyBorder="1" applyAlignment="1">
      <alignment horizontal="left" vertical="top" wrapText="1" indent="3"/>
    </xf>
    <xf numFmtId="0" fontId="1" fillId="7" borderId="4" xfId="0" applyFont="1" applyFill="1" applyBorder="1" applyAlignment="1">
      <alignment horizontal="left" vertical="top" wrapText="1" indent="3"/>
    </xf>
    <xf numFmtId="0" fontId="1" fillId="7" borderId="2" xfId="0" applyFont="1" applyFill="1" applyBorder="1" applyAlignment="1">
      <alignment horizontal="left" vertical="top" wrapText="1" indent="2"/>
    </xf>
    <xf numFmtId="0" fontId="1" fillId="7" borderId="3" xfId="0" applyFont="1" applyFill="1" applyBorder="1" applyAlignment="1">
      <alignment horizontal="left" vertical="top" wrapText="1" indent="2"/>
    </xf>
    <xf numFmtId="0" fontId="1" fillId="7" borderId="4" xfId="0" applyFont="1" applyFill="1" applyBorder="1" applyAlignment="1">
      <alignment horizontal="left" vertical="top" wrapText="1" indent="2"/>
    </xf>
    <xf numFmtId="0" fontId="2" fillId="7" borderId="2" xfId="0" applyFont="1" applyFill="1" applyBorder="1" applyAlignment="1">
      <alignment horizontal="left" vertical="top" wrapText="1"/>
    </xf>
    <xf numFmtId="0" fontId="2" fillId="7" borderId="3" xfId="0" applyFont="1" applyFill="1" applyBorder="1" applyAlignment="1">
      <alignment horizontal="left" vertical="top" wrapText="1"/>
    </xf>
    <xf numFmtId="0" fontId="2" fillId="7" borderId="4" xfId="0" applyFont="1" applyFill="1" applyBorder="1" applyAlignment="1">
      <alignment horizontal="left" vertical="top" wrapText="1"/>
    </xf>
    <xf numFmtId="0" fontId="1" fillId="7" borderId="2" xfId="0" applyFont="1" applyFill="1" applyBorder="1" applyAlignment="1">
      <alignment horizontal="left" vertical="top" wrapText="1"/>
    </xf>
    <xf numFmtId="0" fontId="1" fillId="7" borderId="3" xfId="0" applyFont="1" applyFill="1" applyBorder="1" applyAlignment="1">
      <alignment horizontal="left" vertical="top" wrapText="1"/>
    </xf>
    <xf numFmtId="0" fontId="1" fillId="7" borderId="4" xfId="0" applyFont="1" applyFill="1" applyBorder="1" applyAlignment="1">
      <alignment horizontal="left" vertical="top" wrapText="1"/>
    </xf>
    <xf numFmtId="0" fontId="0" fillId="7" borderId="6" xfId="0" applyFill="1" applyBorder="1" applyAlignment="1">
      <alignment horizontal="left" vertical="top" wrapText="1"/>
    </xf>
    <xf numFmtId="0" fontId="0" fillId="7" borderId="7" xfId="0" applyFill="1" applyBorder="1" applyAlignment="1">
      <alignment horizontal="left" vertical="top" wrapText="1"/>
    </xf>
    <xf numFmtId="0" fontId="0" fillId="7" borderId="8" xfId="0" applyFill="1" applyBorder="1" applyAlignment="1">
      <alignment horizontal="left" vertical="top" wrapText="1"/>
    </xf>
    <xf numFmtId="0" fontId="0" fillId="7" borderId="10" xfId="0" applyFill="1" applyBorder="1" applyAlignment="1">
      <alignment horizontal="left" vertical="top" wrapText="1"/>
    </xf>
    <xf numFmtId="0" fontId="0" fillId="7" borderId="0" xfId="0" applyFill="1" applyAlignment="1">
      <alignment horizontal="left" vertical="top" wrapText="1"/>
    </xf>
    <xf numFmtId="0" fontId="0" fillId="7" borderId="11" xfId="0" applyFill="1" applyBorder="1" applyAlignment="1">
      <alignment horizontal="left" vertical="top" wrapText="1"/>
    </xf>
    <xf numFmtId="0" fontId="0" fillId="7" borderId="13" xfId="0" applyFill="1" applyBorder="1" applyAlignment="1">
      <alignment horizontal="left" vertical="top" wrapText="1"/>
    </xf>
    <xf numFmtId="0" fontId="0" fillId="7" borderId="14" xfId="0" applyFill="1" applyBorder="1" applyAlignment="1">
      <alignment horizontal="left" vertical="top" wrapText="1"/>
    </xf>
    <xf numFmtId="0" fontId="0" fillId="7" borderId="15" xfId="0" applyFill="1" applyBorder="1" applyAlignment="1">
      <alignment horizontal="left" vertical="top" wrapText="1"/>
    </xf>
    <xf numFmtId="164" fontId="3" fillId="7" borderId="6" xfId="0" applyNumberFormat="1" applyFont="1" applyFill="1" applyBorder="1" applyAlignment="1">
      <alignment horizontal="left" vertical="top" indent="6" shrinkToFit="1"/>
    </xf>
    <xf numFmtId="164" fontId="3" fillId="7" borderId="7" xfId="0" applyNumberFormat="1" applyFont="1" applyFill="1" applyBorder="1" applyAlignment="1">
      <alignment horizontal="left" vertical="top" indent="6" shrinkToFit="1"/>
    </xf>
    <xf numFmtId="164" fontId="3" fillId="7" borderId="8" xfId="0" applyNumberFormat="1" applyFont="1" applyFill="1" applyBorder="1" applyAlignment="1">
      <alignment horizontal="left" vertical="top" indent="6" shrinkToFit="1"/>
    </xf>
    <xf numFmtId="164" fontId="3" fillId="7" borderId="10" xfId="0" applyNumberFormat="1" applyFont="1" applyFill="1" applyBorder="1" applyAlignment="1">
      <alignment horizontal="left" vertical="top" indent="6" shrinkToFit="1"/>
    </xf>
    <xf numFmtId="164" fontId="3" fillId="7" borderId="0" xfId="0" applyNumberFormat="1" applyFont="1" applyFill="1" applyAlignment="1">
      <alignment horizontal="left" vertical="top" indent="6" shrinkToFit="1"/>
    </xf>
    <xf numFmtId="164" fontId="3" fillId="7" borderId="11" xfId="0" applyNumberFormat="1" applyFont="1" applyFill="1" applyBorder="1" applyAlignment="1">
      <alignment horizontal="left" vertical="top" indent="6" shrinkToFit="1"/>
    </xf>
    <xf numFmtId="0" fontId="2" fillId="7" borderId="14" xfId="0" applyFont="1" applyFill="1" applyBorder="1" applyAlignment="1">
      <alignment horizontal="left" vertical="top" wrapText="1"/>
    </xf>
    <xf numFmtId="164" fontId="3" fillId="7" borderId="13" xfId="0" applyNumberFormat="1" applyFont="1" applyFill="1" applyBorder="1" applyAlignment="1">
      <alignment horizontal="left" vertical="top" indent="6" shrinkToFit="1"/>
    </xf>
    <xf numFmtId="164" fontId="3" fillId="7" borderId="14" xfId="0" applyNumberFormat="1" applyFont="1" applyFill="1" applyBorder="1" applyAlignment="1">
      <alignment horizontal="left" vertical="top" indent="6" shrinkToFit="1"/>
    </xf>
    <xf numFmtId="164" fontId="3" fillId="7" borderId="15" xfId="0" applyNumberFormat="1" applyFont="1" applyFill="1" applyBorder="1" applyAlignment="1">
      <alignment horizontal="left" vertical="top" indent="6" shrinkToFit="1"/>
    </xf>
    <xf numFmtId="0" fontId="2" fillId="7" borderId="0" xfId="0" applyFont="1" applyFill="1" applyAlignment="1">
      <alignment horizontal="left" vertical="top" wrapText="1" indent="4"/>
    </xf>
    <xf numFmtId="0" fontId="2" fillId="7" borderId="2" xfId="0" applyFont="1" applyFill="1" applyBorder="1" applyAlignment="1">
      <alignment horizontal="left" vertical="top" wrapText="1" indent="2"/>
    </xf>
    <xf numFmtId="0" fontId="2" fillId="7" borderId="3" xfId="0" applyFont="1" applyFill="1" applyBorder="1" applyAlignment="1">
      <alignment horizontal="left" vertical="top" wrapText="1" indent="2"/>
    </xf>
    <xf numFmtId="0" fontId="2" fillId="7" borderId="4" xfId="0" applyFont="1" applyFill="1" applyBorder="1" applyAlignment="1">
      <alignment horizontal="left" vertical="top" wrapText="1" indent="2"/>
    </xf>
    <xf numFmtId="0" fontId="0" fillId="7" borderId="3" xfId="0" applyFill="1" applyBorder="1" applyAlignment="1">
      <alignment horizontal="left" wrapText="1"/>
    </xf>
    <xf numFmtId="0" fontId="7" fillId="7" borderId="2" xfId="0" applyFont="1" applyFill="1" applyBorder="1" applyAlignment="1">
      <alignment horizontal="left" vertical="top" wrapText="1" indent="1"/>
    </xf>
    <xf numFmtId="0" fontId="0" fillId="7" borderId="3" xfId="0" applyFill="1" applyBorder="1" applyAlignment="1">
      <alignment horizontal="left" vertical="top" wrapText="1" indent="1"/>
    </xf>
    <xf numFmtId="0" fontId="0" fillId="7" borderId="4" xfId="0" applyFill="1" applyBorder="1" applyAlignment="1">
      <alignment horizontal="left" vertical="top" wrapText="1" indent="1"/>
    </xf>
    <xf numFmtId="0" fontId="7" fillId="7" borderId="2" xfId="0" applyFont="1" applyFill="1" applyBorder="1" applyAlignment="1">
      <alignment horizontal="left" vertical="top" wrapText="1"/>
    </xf>
    <xf numFmtId="0" fontId="0" fillId="7" borderId="2" xfId="0" applyFill="1" applyBorder="1" applyAlignment="1">
      <alignment horizontal="left" vertical="center" wrapText="1"/>
    </xf>
    <xf numFmtId="0" fontId="0" fillId="7" borderId="4" xfId="0" applyFill="1" applyBorder="1" applyAlignment="1">
      <alignment horizontal="left" vertical="center" wrapText="1"/>
    </xf>
    <xf numFmtId="0" fontId="0" fillId="7" borderId="3" xfId="0" applyFill="1" applyBorder="1" applyAlignment="1">
      <alignment horizontal="left" vertical="center" wrapText="1"/>
    </xf>
    <xf numFmtId="0" fontId="0" fillId="7" borderId="2" xfId="0" applyFill="1" applyBorder="1" applyAlignment="1">
      <alignment horizontal="left" vertical="top" wrapText="1"/>
    </xf>
    <xf numFmtId="0" fontId="0" fillId="7" borderId="4" xfId="0" applyFill="1" applyBorder="1" applyAlignment="1">
      <alignment horizontal="left" vertical="top" wrapText="1"/>
    </xf>
    <xf numFmtId="0" fontId="0" fillId="7" borderId="3" xfId="0" applyFill="1" applyBorder="1" applyAlignment="1">
      <alignment horizontal="left" vertical="top" wrapText="1"/>
    </xf>
    <xf numFmtId="0" fontId="1" fillId="7" borderId="2" xfId="0" applyFont="1" applyFill="1" applyBorder="1" applyAlignment="1">
      <alignment horizontal="left" vertical="top" wrapText="1" indent="11"/>
    </xf>
    <xf numFmtId="0" fontId="1" fillId="7" borderId="3" xfId="0" applyFont="1" applyFill="1" applyBorder="1" applyAlignment="1">
      <alignment horizontal="left" vertical="top" wrapText="1" indent="11"/>
    </xf>
    <xf numFmtId="0" fontId="1" fillId="7" borderId="4" xfId="0" applyFont="1" applyFill="1" applyBorder="1" applyAlignment="1">
      <alignment horizontal="left" vertical="top" wrapText="1" indent="11"/>
    </xf>
    <xf numFmtId="0" fontId="0" fillId="7" borderId="13" xfId="0" applyFill="1" applyBorder="1" applyAlignment="1">
      <alignment horizontal="left" wrapText="1"/>
    </xf>
  </cellXfs>
  <cellStyles count="2">
    <cellStyle name="Millares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32</xdr:col>
      <xdr:colOff>161035</xdr:colOff>
      <xdr:row>145</xdr:row>
      <xdr:rowOff>127635</xdr:rowOff>
    </xdr:from>
    <xdr:ext cx="2162175" cy="304800"/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4923535" y="28674060"/>
          <a:ext cx="2162175" cy="304800"/>
          <a:chOff x="0" y="0"/>
          <a:chExt cx="2162175" cy="304800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0" y="0"/>
            <a:ext cx="2121535" cy="304800"/>
          </a:xfrm>
          <a:custGeom>
            <a:avLst/>
            <a:gdLst/>
            <a:ahLst/>
            <a:cxnLst/>
            <a:rect l="0" t="0" r="0" b="0"/>
            <a:pathLst>
              <a:path w="2121535" h="304800">
                <a:moveTo>
                  <a:pt x="16256" y="0"/>
                </a:moveTo>
                <a:lnTo>
                  <a:pt x="0" y="0"/>
                </a:lnTo>
                <a:lnTo>
                  <a:pt x="0" y="304800"/>
                </a:lnTo>
                <a:lnTo>
                  <a:pt x="16256" y="304800"/>
                </a:lnTo>
                <a:lnTo>
                  <a:pt x="16256" y="0"/>
                </a:lnTo>
                <a:close/>
              </a:path>
              <a:path w="2121535" h="304800">
                <a:moveTo>
                  <a:pt x="32512" y="0"/>
                </a:moveTo>
                <a:lnTo>
                  <a:pt x="24384" y="0"/>
                </a:lnTo>
                <a:lnTo>
                  <a:pt x="24384" y="304800"/>
                </a:lnTo>
                <a:lnTo>
                  <a:pt x="32512" y="304800"/>
                </a:lnTo>
                <a:lnTo>
                  <a:pt x="32512" y="0"/>
                </a:lnTo>
                <a:close/>
              </a:path>
              <a:path w="2121535" h="304800">
                <a:moveTo>
                  <a:pt x="73152" y="0"/>
                </a:moveTo>
                <a:lnTo>
                  <a:pt x="48768" y="0"/>
                </a:lnTo>
                <a:lnTo>
                  <a:pt x="48768" y="304800"/>
                </a:lnTo>
                <a:lnTo>
                  <a:pt x="73152" y="304800"/>
                </a:lnTo>
                <a:lnTo>
                  <a:pt x="73152" y="0"/>
                </a:lnTo>
                <a:close/>
              </a:path>
              <a:path w="2121535" h="304800">
                <a:moveTo>
                  <a:pt x="105664" y="0"/>
                </a:moveTo>
                <a:lnTo>
                  <a:pt x="89408" y="0"/>
                </a:lnTo>
                <a:lnTo>
                  <a:pt x="89408" y="304800"/>
                </a:lnTo>
                <a:lnTo>
                  <a:pt x="105664" y="304800"/>
                </a:lnTo>
                <a:lnTo>
                  <a:pt x="105664" y="0"/>
                </a:lnTo>
                <a:close/>
              </a:path>
              <a:path w="2121535" h="304800">
                <a:moveTo>
                  <a:pt x="130048" y="0"/>
                </a:moveTo>
                <a:lnTo>
                  <a:pt x="121920" y="0"/>
                </a:lnTo>
                <a:lnTo>
                  <a:pt x="121920" y="304800"/>
                </a:lnTo>
                <a:lnTo>
                  <a:pt x="130048" y="304800"/>
                </a:lnTo>
                <a:lnTo>
                  <a:pt x="130048" y="0"/>
                </a:lnTo>
                <a:close/>
              </a:path>
              <a:path w="2121535" h="304800">
                <a:moveTo>
                  <a:pt x="170688" y="0"/>
                </a:moveTo>
                <a:lnTo>
                  <a:pt x="146304" y="0"/>
                </a:lnTo>
                <a:lnTo>
                  <a:pt x="146304" y="304800"/>
                </a:lnTo>
                <a:lnTo>
                  <a:pt x="170688" y="304800"/>
                </a:lnTo>
                <a:lnTo>
                  <a:pt x="170688" y="0"/>
                </a:lnTo>
                <a:close/>
              </a:path>
              <a:path w="2121535" h="304800">
                <a:moveTo>
                  <a:pt x="203200" y="0"/>
                </a:moveTo>
                <a:lnTo>
                  <a:pt x="178816" y="0"/>
                </a:lnTo>
                <a:lnTo>
                  <a:pt x="178816" y="304800"/>
                </a:lnTo>
                <a:lnTo>
                  <a:pt x="203200" y="304800"/>
                </a:lnTo>
                <a:lnTo>
                  <a:pt x="203200" y="0"/>
                </a:lnTo>
                <a:close/>
              </a:path>
              <a:path w="2121535" h="304800">
                <a:moveTo>
                  <a:pt x="227584" y="0"/>
                </a:moveTo>
                <a:lnTo>
                  <a:pt x="219456" y="0"/>
                </a:lnTo>
                <a:lnTo>
                  <a:pt x="219456" y="304800"/>
                </a:lnTo>
                <a:lnTo>
                  <a:pt x="227584" y="304800"/>
                </a:lnTo>
                <a:lnTo>
                  <a:pt x="227584" y="0"/>
                </a:lnTo>
                <a:close/>
              </a:path>
              <a:path w="2121535" h="304800">
                <a:moveTo>
                  <a:pt x="251968" y="0"/>
                </a:moveTo>
                <a:lnTo>
                  <a:pt x="235712" y="0"/>
                </a:lnTo>
                <a:lnTo>
                  <a:pt x="235712" y="304800"/>
                </a:lnTo>
                <a:lnTo>
                  <a:pt x="251968" y="304800"/>
                </a:lnTo>
                <a:lnTo>
                  <a:pt x="251968" y="0"/>
                </a:lnTo>
                <a:close/>
              </a:path>
              <a:path w="2121535" h="304800">
                <a:moveTo>
                  <a:pt x="276352" y="0"/>
                </a:moveTo>
                <a:lnTo>
                  <a:pt x="268224" y="0"/>
                </a:lnTo>
                <a:lnTo>
                  <a:pt x="268224" y="304800"/>
                </a:lnTo>
                <a:lnTo>
                  <a:pt x="276352" y="304800"/>
                </a:lnTo>
                <a:lnTo>
                  <a:pt x="276352" y="0"/>
                </a:lnTo>
                <a:close/>
              </a:path>
              <a:path w="2121535" h="304800">
                <a:moveTo>
                  <a:pt x="300736" y="0"/>
                </a:moveTo>
                <a:lnTo>
                  <a:pt x="292608" y="0"/>
                </a:lnTo>
                <a:lnTo>
                  <a:pt x="292608" y="304800"/>
                </a:lnTo>
                <a:lnTo>
                  <a:pt x="300736" y="304800"/>
                </a:lnTo>
                <a:lnTo>
                  <a:pt x="300736" y="0"/>
                </a:lnTo>
                <a:close/>
              </a:path>
              <a:path w="2121535" h="304800">
                <a:moveTo>
                  <a:pt x="341376" y="0"/>
                </a:moveTo>
                <a:lnTo>
                  <a:pt x="325120" y="0"/>
                </a:lnTo>
                <a:lnTo>
                  <a:pt x="325120" y="304800"/>
                </a:lnTo>
                <a:lnTo>
                  <a:pt x="341376" y="304800"/>
                </a:lnTo>
                <a:lnTo>
                  <a:pt x="341376" y="0"/>
                </a:lnTo>
                <a:close/>
              </a:path>
              <a:path w="2121535" h="304800">
                <a:moveTo>
                  <a:pt x="382016" y="0"/>
                </a:moveTo>
                <a:lnTo>
                  <a:pt x="357632" y="0"/>
                </a:lnTo>
                <a:lnTo>
                  <a:pt x="357632" y="304800"/>
                </a:lnTo>
                <a:lnTo>
                  <a:pt x="382016" y="304800"/>
                </a:lnTo>
                <a:lnTo>
                  <a:pt x="382016" y="0"/>
                </a:lnTo>
                <a:close/>
              </a:path>
              <a:path w="2121535" h="304800">
                <a:moveTo>
                  <a:pt x="406400" y="0"/>
                </a:moveTo>
                <a:lnTo>
                  <a:pt x="398272" y="0"/>
                </a:lnTo>
                <a:lnTo>
                  <a:pt x="398272" y="304800"/>
                </a:lnTo>
                <a:lnTo>
                  <a:pt x="406400" y="304800"/>
                </a:lnTo>
                <a:lnTo>
                  <a:pt x="406400" y="0"/>
                </a:lnTo>
                <a:close/>
              </a:path>
              <a:path w="2121535" h="304800">
                <a:moveTo>
                  <a:pt x="430784" y="0"/>
                </a:moveTo>
                <a:lnTo>
                  <a:pt x="414528" y="0"/>
                </a:lnTo>
                <a:lnTo>
                  <a:pt x="414528" y="304800"/>
                </a:lnTo>
                <a:lnTo>
                  <a:pt x="430784" y="304800"/>
                </a:lnTo>
                <a:lnTo>
                  <a:pt x="430784" y="0"/>
                </a:lnTo>
                <a:close/>
              </a:path>
              <a:path w="2121535" h="304800">
                <a:moveTo>
                  <a:pt x="471424" y="0"/>
                </a:moveTo>
                <a:lnTo>
                  <a:pt x="447040" y="0"/>
                </a:lnTo>
                <a:lnTo>
                  <a:pt x="447040" y="304800"/>
                </a:lnTo>
                <a:lnTo>
                  <a:pt x="471424" y="304800"/>
                </a:lnTo>
                <a:lnTo>
                  <a:pt x="471424" y="0"/>
                </a:lnTo>
                <a:close/>
              </a:path>
              <a:path w="2121535" h="304800">
                <a:moveTo>
                  <a:pt x="487680" y="0"/>
                </a:moveTo>
                <a:lnTo>
                  <a:pt x="479552" y="0"/>
                </a:lnTo>
                <a:lnTo>
                  <a:pt x="479552" y="304800"/>
                </a:lnTo>
                <a:lnTo>
                  <a:pt x="487680" y="304800"/>
                </a:lnTo>
                <a:lnTo>
                  <a:pt x="487680" y="0"/>
                </a:lnTo>
                <a:close/>
              </a:path>
              <a:path w="2121535" h="304800">
                <a:moveTo>
                  <a:pt x="528320" y="0"/>
                </a:moveTo>
                <a:lnTo>
                  <a:pt x="512064" y="0"/>
                </a:lnTo>
                <a:lnTo>
                  <a:pt x="512064" y="304800"/>
                </a:lnTo>
                <a:lnTo>
                  <a:pt x="528320" y="304800"/>
                </a:lnTo>
                <a:lnTo>
                  <a:pt x="528320" y="0"/>
                </a:lnTo>
                <a:close/>
              </a:path>
              <a:path w="2121535" h="304800">
                <a:moveTo>
                  <a:pt x="544576" y="0"/>
                </a:moveTo>
                <a:lnTo>
                  <a:pt x="536448" y="0"/>
                </a:lnTo>
                <a:lnTo>
                  <a:pt x="536448" y="304800"/>
                </a:lnTo>
                <a:lnTo>
                  <a:pt x="544576" y="304800"/>
                </a:lnTo>
                <a:lnTo>
                  <a:pt x="544576" y="0"/>
                </a:lnTo>
                <a:close/>
              </a:path>
              <a:path w="2121535" h="304800">
                <a:moveTo>
                  <a:pt x="560832" y="0"/>
                </a:moveTo>
                <a:lnTo>
                  <a:pt x="552704" y="0"/>
                </a:lnTo>
                <a:lnTo>
                  <a:pt x="552704" y="304800"/>
                </a:lnTo>
                <a:lnTo>
                  <a:pt x="560832" y="304800"/>
                </a:lnTo>
                <a:lnTo>
                  <a:pt x="560832" y="0"/>
                </a:lnTo>
                <a:close/>
              </a:path>
              <a:path w="2121535" h="304800">
                <a:moveTo>
                  <a:pt x="609600" y="0"/>
                </a:moveTo>
                <a:lnTo>
                  <a:pt x="577088" y="0"/>
                </a:lnTo>
                <a:lnTo>
                  <a:pt x="577088" y="304800"/>
                </a:lnTo>
                <a:lnTo>
                  <a:pt x="609600" y="304800"/>
                </a:lnTo>
                <a:lnTo>
                  <a:pt x="609600" y="0"/>
                </a:lnTo>
                <a:close/>
              </a:path>
              <a:path w="2121535" h="304800">
                <a:moveTo>
                  <a:pt x="633984" y="0"/>
                </a:moveTo>
                <a:lnTo>
                  <a:pt x="625856" y="0"/>
                </a:lnTo>
                <a:lnTo>
                  <a:pt x="625856" y="304800"/>
                </a:lnTo>
                <a:lnTo>
                  <a:pt x="633984" y="304800"/>
                </a:lnTo>
                <a:lnTo>
                  <a:pt x="633984" y="0"/>
                </a:lnTo>
                <a:close/>
              </a:path>
              <a:path w="2121535" h="304800">
                <a:moveTo>
                  <a:pt x="658368" y="0"/>
                </a:moveTo>
                <a:lnTo>
                  <a:pt x="650240" y="0"/>
                </a:lnTo>
                <a:lnTo>
                  <a:pt x="650240" y="304800"/>
                </a:lnTo>
                <a:lnTo>
                  <a:pt x="658368" y="304800"/>
                </a:lnTo>
                <a:lnTo>
                  <a:pt x="658368" y="0"/>
                </a:lnTo>
                <a:close/>
              </a:path>
              <a:path w="2121535" h="304800">
                <a:moveTo>
                  <a:pt x="699008" y="0"/>
                </a:moveTo>
                <a:lnTo>
                  <a:pt x="682752" y="0"/>
                </a:lnTo>
                <a:lnTo>
                  <a:pt x="682752" y="304800"/>
                </a:lnTo>
                <a:lnTo>
                  <a:pt x="699008" y="304800"/>
                </a:lnTo>
                <a:lnTo>
                  <a:pt x="699008" y="0"/>
                </a:lnTo>
                <a:close/>
              </a:path>
              <a:path w="2121535" h="304800">
                <a:moveTo>
                  <a:pt x="723392" y="0"/>
                </a:moveTo>
                <a:lnTo>
                  <a:pt x="715264" y="0"/>
                </a:lnTo>
                <a:lnTo>
                  <a:pt x="715264" y="304800"/>
                </a:lnTo>
                <a:lnTo>
                  <a:pt x="723392" y="304800"/>
                </a:lnTo>
                <a:lnTo>
                  <a:pt x="723392" y="0"/>
                </a:lnTo>
                <a:close/>
              </a:path>
              <a:path w="2121535" h="304800">
                <a:moveTo>
                  <a:pt x="747776" y="0"/>
                </a:moveTo>
                <a:lnTo>
                  <a:pt x="731520" y="0"/>
                </a:lnTo>
                <a:lnTo>
                  <a:pt x="731520" y="304800"/>
                </a:lnTo>
                <a:lnTo>
                  <a:pt x="747776" y="304800"/>
                </a:lnTo>
                <a:lnTo>
                  <a:pt x="747776" y="0"/>
                </a:lnTo>
                <a:close/>
              </a:path>
              <a:path w="2121535" h="304800">
                <a:moveTo>
                  <a:pt x="788416" y="0"/>
                </a:moveTo>
                <a:lnTo>
                  <a:pt x="764032" y="0"/>
                </a:lnTo>
                <a:lnTo>
                  <a:pt x="764032" y="304800"/>
                </a:lnTo>
                <a:lnTo>
                  <a:pt x="788416" y="304800"/>
                </a:lnTo>
                <a:lnTo>
                  <a:pt x="788416" y="0"/>
                </a:lnTo>
                <a:close/>
              </a:path>
              <a:path w="2121535" h="304800">
                <a:moveTo>
                  <a:pt x="812800" y="0"/>
                </a:moveTo>
                <a:lnTo>
                  <a:pt x="804672" y="0"/>
                </a:lnTo>
                <a:lnTo>
                  <a:pt x="804672" y="304800"/>
                </a:lnTo>
                <a:lnTo>
                  <a:pt x="812800" y="304800"/>
                </a:lnTo>
                <a:lnTo>
                  <a:pt x="812800" y="0"/>
                </a:lnTo>
                <a:close/>
              </a:path>
              <a:path w="2121535" h="304800">
                <a:moveTo>
                  <a:pt x="837184" y="0"/>
                </a:moveTo>
                <a:lnTo>
                  <a:pt x="829056" y="0"/>
                </a:lnTo>
                <a:lnTo>
                  <a:pt x="829056" y="304800"/>
                </a:lnTo>
                <a:lnTo>
                  <a:pt x="837184" y="304800"/>
                </a:lnTo>
                <a:lnTo>
                  <a:pt x="837184" y="0"/>
                </a:lnTo>
                <a:close/>
              </a:path>
              <a:path w="2121535" h="304800">
                <a:moveTo>
                  <a:pt x="885952" y="0"/>
                </a:moveTo>
                <a:lnTo>
                  <a:pt x="853440" y="0"/>
                </a:lnTo>
                <a:lnTo>
                  <a:pt x="853440" y="304800"/>
                </a:lnTo>
                <a:lnTo>
                  <a:pt x="885952" y="304800"/>
                </a:lnTo>
                <a:lnTo>
                  <a:pt x="885952" y="0"/>
                </a:lnTo>
                <a:close/>
              </a:path>
              <a:path w="2121535" h="304800">
                <a:moveTo>
                  <a:pt x="902208" y="0"/>
                </a:moveTo>
                <a:lnTo>
                  <a:pt x="894080" y="0"/>
                </a:lnTo>
                <a:lnTo>
                  <a:pt x="894080" y="304800"/>
                </a:lnTo>
                <a:lnTo>
                  <a:pt x="902208" y="304800"/>
                </a:lnTo>
                <a:lnTo>
                  <a:pt x="902208" y="0"/>
                </a:lnTo>
                <a:close/>
              </a:path>
              <a:path w="2121535" h="304800">
                <a:moveTo>
                  <a:pt x="942848" y="0"/>
                </a:moveTo>
                <a:lnTo>
                  <a:pt x="910336" y="0"/>
                </a:lnTo>
                <a:lnTo>
                  <a:pt x="910336" y="304800"/>
                </a:lnTo>
                <a:lnTo>
                  <a:pt x="942848" y="304800"/>
                </a:lnTo>
                <a:lnTo>
                  <a:pt x="942848" y="0"/>
                </a:lnTo>
                <a:close/>
              </a:path>
              <a:path w="2121535" h="304800">
                <a:moveTo>
                  <a:pt x="975360" y="0"/>
                </a:moveTo>
                <a:lnTo>
                  <a:pt x="950976" y="0"/>
                </a:lnTo>
                <a:lnTo>
                  <a:pt x="950976" y="304800"/>
                </a:lnTo>
                <a:lnTo>
                  <a:pt x="975360" y="304800"/>
                </a:lnTo>
                <a:lnTo>
                  <a:pt x="975360" y="0"/>
                </a:lnTo>
                <a:close/>
              </a:path>
              <a:path w="2121535" h="304800">
                <a:moveTo>
                  <a:pt x="991616" y="0"/>
                </a:moveTo>
                <a:lnTo>
                  <a:pt x="983488" y="0"/>
                </a:lnTo>
                <a:lnTo>
                  <a:pt x="983488" y="304800"/>
                </a:lnTo>
                <a:lnTo>
                  <a:pt x="991616" y="304800"/>
                </a:lnTo>
                <a:lnTo>
                  <a:pt x="991616" y="0"/>
                </a:lnTo>
                <a:close/>
              </a:path>
              <a:path w="2121535" h="304800">
                <a:moveTo>
                  <a:pt x="1032256" y="0"/>
                </a:moveTo>
                <a:lnTo>
                  <a:pt x="1016000" y="0"/>
                </a:lnTo>
                <a:lnTo>
                  <a:pt x="1016000" y="304800"/>
                </a:lnTo>
                <a:lnTo>
                  <a:pt x="1032256" y="304800"/>
                </a:lnTo>
                <a:lnTo>
                  <a:pt x="1032256" y="0"/>
                </a:lnTo>
                <a:close/>
              </a:path>
              <a:path w="2121535" h="304800">
                <a:moveTo>
                  <a:pt x="1064768" y="0"/>
                </a:moveTo>
                <a:lnTo>
                  <a:pt x="1056640" y="0"/>
                </a:lnTo>
                <a:lnTo>
                  <a:pt x="1056640" y="304800"/>
                </a:lnTo>
                <a:lnTo>
                  <a:pt x="1064768" y="304800"/>
                </a:lnTo>
                <a:lnTo>
                  <a:pt x="1064768" y="0"/>
                </a:lnTo>
                <a:close/>
              </a:path>
              <a:path w="2121535" h="304800">
                <a:moveTo>
                  <a:pt x="1081024" y="0"/>
                </a:moveTo>
                <a:lnTo>
                  <a:pt x="1072896" y="0"/>
                </a:lnTo>
                <a:lnTo>
                  <a:pt x="1072896" y="304800"/>
                </a:lnTo>
                <a:lnTo>
                  <a:pt x="1081024" y="304800"/>
                </a:lnTo>
                <a:lnTo>
                  <a:pt x="1081024" y="0"/>
                </a:lnTo>
                <a:close/>
              </a:path>
              <a:path w="2121535" h="304800">
                <a:moveTo>
                  <a:pt x="1113536" y="0"/>
                </a:moveTo>
                <a:lnTo>
                  <a:pt x="1089152" y="0"/>
                </a:lnTo>
                <a:lnTo>
                  <a:pt x="1089152" y="304800"/>
                </a:lnTo>
                <a:lnTo>
                  <a:pt x="1113536" y="304800"/>
                </a:lnTo>
                <a:lnTo>
                  <a:pt x="1113536" y="0"/>
                </a:lnTo>
                <a:close/>
              </a:path>
              <a:path w="2121535" h="304800">
                <a:moveTo>
                  <a:pt x="1137920" y="0"/>
                </a:moveTo>
                <a:lnTo>
                  <a:pt x="1121664" y="0"/>
                </a:lnTo>
                <a:lnTo>
                  <a:pt x="1121664" y="304800"/>
                </a:lnTo>
                <a:lnTo>
                  <a:pt x="1137920" y="304800"/>
                </a:lnTo>
                <a:lnTo>
                  <a:pt x="1137920" y="0"/>
                </a:lnTo>
                <a:close/>
              </a:path>
              <a:path w="2121535" h="304800">
                <a:moveTo>
                  <a:pt x="1170432" y="0"/>
                </a:moveTo>
                <a:lnTo>
                  <a:pt x="1162304" y="0"/>
                </a:lnTo>
                <a:lnTo>
                  <a:pt x="1162304" y="304800"/>
                </a:lnTo>
                <a:lnTo>
                  <a:pt x="1170432" y="304800"/>
                </a:lnTo>
                <a:lnTo>
                  <a:pt x="1170432" y="0"/>
                </a:lnTo>
                <a:close/>
              </a:path>
              <a:path w="2121535" h="304800">
                <a:moveTo>
                  <a:pt x="1202944" y="0"/>
                </a:moveTo>
                <a:lnTo>
                  <a:pt x="1194816" y="0"/>
                </a:lnTo>
                <a:lnTo>
                  <a:pt x="1194816" y="304800"/>
                </a:lnTo>
                <a:lnTo>
                  <a:pt x="1202944" y="304800"/>
                </a:lnTo>
                <a:lnTo>
                  <a:pt x="1202944" y="0"/>
                </a:lnTo>
                <a:close/>
              </a:path>
              <a:path w="2121535" h="304800">
                <a:moveTo>
                  <a:pt x="1243584" y="0"/>
                </a:moveTo>
                <a:lnTo>
                  <a:pt x="1227328" y="0"/>
                </a:lnTo>
                <a:lnTo>
                  <a:pt x="1227328" y="304800"/>
                </a:lnTo>
                <a:lnTo>
                  <a:pt x="1243584" y="304800"/>
                </a:lnTo>
                <a:lnTo>
                  <a:pt x="1243584" y="0"/>
                </a:lnTo>
                <a:close/>
              </a:path>
              <a:path w="2121535" h="304800">
                <a:moveTo>
                  <a:pt x="1267968" y="0"/>
                </a:moveTo>
                <a:lnTo>
                  <a:pt x="1251712" y="0"/>
                </a:lnTo>
                <a:lnTo>
                  <a:pt x="1251712" y="304800"/>
                </a:lnTo>
                <a:lnTo>
                  <a:pt x="1267968" y="304800"/>
                </a:lnTo>
                <a:lnTo>
                  <a:pt x="1267968" y="0"/>
                </a:lnTo>
                <a:close/>
              </a:path>
              <a:path w="2121535" h="304800">
                <a:moveTo>
                  <a:pt x="1300480" y="0"/>
                </a:moveTo>
                <a:lnTo>
                  <a:pt x="1276096" y="0"/>
                </a:lnTo>
                <a:lnTo>
                  <a:pt x="1276096" y="304800"/>
                </a:lnTo>
                <a:lnTo>
                  <a:pt x="1300480" y="304800"/>
                </a:lnTo>
                <a:lnTo>
                  <a:pt x="1300480" y="0"/>
                </a:lnTo>
                <a:close/>
              </a:path>
              <a:path w="2121535" h="304800">
                <a:moveTo>
                  <a:pt x="1332992" y="0"/>
                </a:moveTo>
                <a:lnTo>
                  <a:pt x="1324864" y="0"/>
                </a:lnTo>
                <a:lnTo>
                  <a:pt x="1324864" y="304800"/>
                </a:lnTo>
                <a:lnTo>
                  <a:pt x="1332992" y="304800"/>
                </a:lnTo>
                <a:lnTo>
                  <a:pt x="1332992" y="0"/>
                </a:lnTo>
                <a:close/>
              </a:path>
              <a:path w="2121535" h="304800">
                <a:moveTo>
                  <a:pt x="1349248" y="0"/>
                </a:moveTo>
                <a:lnTo>
                  <a:pt x="1341120" y="0"/>
                </a:lnTo>
                <a:lnTo>
                  <a:pt x="1341120" y="304800"/>
                </a:lnTo>
                <a:lnTo>
                  <a:pt x="1349248" y="304800"/>
                </a:lnTo>
                <a:lnTo>
                  <a:pt x="1349248" y="0"/>
                </a:lnTo>
                <a:close/>
              </a:path>
              <a:path w="2121535" h="304800">
                <a:moveTo>
                  <a:pt x="1381760" y="0"/>
                </a:moveTo>
                <a:lnTo>
                  <a:pt x="1373632" y="0"/>
                </a:lnTo>
                <a:lnTo>
                  <a:pt x="1373632" y="304800"/>
                </a:lnTo>
                <a:lnTo>
                  <a:pt x="1381760" y="304800"/>
                </a:lnTo>
                <a:lnTo>
                  <a:pt x="1381760" y="0"/>
                </a:lnTo>
                <a:close/>
              </a:path>
              <a:path w="2121535" h="304800">
                <a:moveTo>
                  <a:pt x="1422400" y="0"/>
                </a:moveTo>
                <a:lnTo>
                  <a:pt x="1406144" y="0"/>
                </a:lnTo>
                <a:lnTo>
                  <a:pt x="1406144" y="304800"/>
                </a:lnTo>
                <a:lnTo>
                  <a:pt x="1422400" y="304800"/>
                </a:lnTo>
                <a:lnTo>
                  <a:pt x="1422400" y="0"/>
                </a:lnTo>
                <a:close/>
              </a:path>
              <a:path w="2121535" h="304800">
                <a:moveTo>
                  <a:pt x="1438656" y="0"/>
                </a:moveTo>
                <a:lnTo>
                  <a:pt x="1430528" y="0"/>
                </a:lnTo>
                <a:lnTo>
                  <a:pt x="1430528" y="304800"/>
                </a:lnTo>
                <a:lnTo>
                  <a:pt x="1438656" y="304800"/>
                </a:lnTo>
                <a:lnTo>
                  <a:pt x="1438656" y="0"/>
                </a:lnTo>
                <a:close/>
              </a:path>
              <a:path w="2121535" h="304800">
                <a:moveTo>
                  <a:pt x="1471168" y="0"/>
                </a:moveTo>
                <a:lnTo>
                  <a:pt x="1446784" y="0"/>
                </a:lnTo>
                <a:lnTo>
                  <a:pt x="1446784" y="304800"/>
                </a:lnTo>
                <a:lnTo>
                  <a:pt x="1471168" y="304800"/>
                </a:lnTo>
                <a:lnTo>
                  <a:pt x="1471168" y="0"/>
                </a:lnTo>
                <a:close/>
              </a:path>
              <a:path w="2121535" h="304800">
                <a:moveTo>
                  <a:pt x="1511808" y="0"/>
                </a:moveTo>
                <a:lnTo>
                  <a:pt x="1479296" y="0"/>
                </a:lnTo>
                <a:lnTo>
                  <a:pt x="1479296" y="304800"/>
                </a:lnTo>
                <a:lnTo>
                  <a:pt x="1511808" y="304800"/>
                </a:lnTo>
                <a:lnTo>
                  <a:pt x="1511808" y="0"/>
                </a:lnTo>
                <a:close/>
              </a:path>
              <a:path w="2121535" h="304800">
                <a:moveTo>
                  <a:pt x="1536192" y="0"/>
                </a:moveTo>
                <a:lnTo>
                  <a:pt x="1519936" y="0"/>
                </a:lnTo>
                <a:lnTo>
                  <a:pt x="1519936" y="304800"/>
                </a:lnTo>
                <a:lnTo>
                  <a:pt x="1536192" y="304800"/>
                </a:lnTo>
                <a:lnTo>
                  <a:pt x="1536192" y="0"/>
                </a:lnTo>
                <a:close/>
              </a:path>
              <a:path w="2121535" h="304800">
                <a:moveTo>
                  <a:pt x="1560576" y="0"/>
                </a:moveTo>
                <a:lnTo>
                  <a:pt x="1544320" y="0"/>
                </a:lnTo>
                <a:lnTo>
                  <a:pt x="1544320" y="304800"/>
                </a:lnTo>
                <a:lnTo>
                  <a:pt x="1560576" y="304800"/>
                </a:lnTo>
                <a:lnTo>
                  <a:pt x="1560576" y="0"/>
                </a:lnTo>
                <a:close/>
              </a:path>
              <a:path w="2121535" h="304800">
                <a:moveTo>
                  <a:pt x="1593088" y="0"/>
                </a:moveTo>
                <a:lnTo>
                  <a:pt x="1576832" y="0"/>
                </a:lnTo>
                <a:lnTo>
                  <a:pt x="1576832" y="304800"/>
                </a:lnTo>
                <a:lnTo>
                  <a:pt x="1593088" y="304800"/>
                </a:lnTo>
                <a:lnTo>
                  <a:pt x="1593088" y="0"/>
                </a:lnTo>
                <a:close/>
              </a:path>
              <a:path w="2121535" h="304800">
                <a:moveTo>
                  <a:pt x="1625600" y="0"/>
                </a:moveTo>
                <a:lnTo>
                  <a:pt x="1609344" y="0"/>
                </a:lnTo>
                <a:lnTo>
                  <a:pt x="1609344" y="304800"/>
                </a:lnTo>
                <a:lnTo>
                  <a:pt x="1625600" y="304800"/>
                </a:lnTo>
                <a:lnTo>
                  <a:pt x="1625600" y="0"/>
                </a:lnTo>
                <a:close/>
              </a:path>
              <a:path w="2121535" h="304800">
                <a:moveTo>
                  <a:pt x="1649984" y="0"/>
                </a:moveTo>
                <a:lnTo>
                  <a:pt x="1633728" y="0"/>
                </a:lnTo>
                <a:lnTo>
                  <a:pt x="1633728" y="304800"/>
                </a:lnTo>
                <a:lnTo>
                  <a:pt x="1649984" y="304800"/>
                </a:lnTo>
                <a:lnTo>
                  <a:pt x="1649984" y="0"/>
                </a:lnTo>
                <a:close/>
              </a:path>
              <a:path w="2121535" h="304800">
                <a:moveTo>
                  <a:pt x="1682496" y="0"/>
                </a:moveTo>
                <a:lnTo>
                  <a:pt x="1666240" y="0"/>
                </a:lnTo>
                <a:lnTo>
                  <a:pt x="1666240" y="304800"/>
                </a:lnTo>
                <a:lnTo>
                  <a:pt x="1682496" y="304800"/>
                </a:lnTo>
                <a:lnTo>
                  <a:pt x="1682496" y="0"/>
                </a:lnTo>
                <a:close/>
              </a:path>
              <a:path w="2121535" h="304800">
                <a:moveTo>
                  <a:pt x="1715008" y="0"/>
                </a:moveTo>
                <a:lnTo>
                  <a:pt x="1698752" y="0"/>
                </a:lnTo>
                <a:lnTo>
                  <a:pt x="1698752" y="304800"/>
                </a:lnTo>
                <a:lnTo>
                  <a:pt x="1715008" y="304800"/>
                </a:lnTo>
                <a:lnTo>
                  <a:pt x="1715008" y="0"/>
                </a:lnTo>
                <a:close/>
              </a:path>
              <a:path w="2121535" h="304800">
                <a:moveTo>
                  <a:pt x="1747520" y="0"/>
                </a:moveTo>
                <a:lnTo>
                  <a:pt x="1731264" y="0"/>
                </a:lnTo>
                <a:lnTo>
                  <a:pt x="1731264" y="304800"/>
                </a:lnTo>
                <a:lnTo>
                  <a:pt x="1747520" y="304800"/>
                </a:lnTo>
                <a:lnTo>
                  <a:pt x="1747520" y="0"/>
                </a:lnTo>
                <a:close/>
              </a:path>
              <a:path w="2121535" h="304800">
                <a:moveTo>
                  <a:pt x="1771904" y="0"/>
                </a:moveTo>
                <a:lnTo>
                  <a:pt x="1755648" y="0"/>
                </a:lnTo>
                <a:lnTo>
                  <a:pt x="1755648" y="304800"/>
                </a:lnTo>
                <a:lnTo>
                  <a:pt x="1771904" y="304800"/>
                </a:lnTo>
                <a:lnTo>
                  <a:pt x="1771904" y="0"/>
                </a:lnTo>
                <a:close/>
              </a:path>
              <a:path w="2121535" h="304800">
                <a:moveTo>
                  <a:pt x="1796288" y="0"/>
                </a:moveTo>
                <a:lnTo>
                  <a:pt x="1788160" y="0"/>
                </a:lnTo>
                <a:lnTo>
                  <a:pt x="1788160" y="304800"/>
                </a:lnTo>
                <a:lnTo>
                  <a:pt x="1796288" y="304800"/>
                </a:lnTo>
                <a:lnTo>
                  <a:pt x="1796288" y="0"/>
                </a:lnTo>
                <a:close/>
              </a:path>
              <a:path w="2121535" h="304800">
                <a:moveTo>
                  <a:pt x="1836928" y="0"/>
                </a:moveTo>
                <a:lnTo>
                  <a:pt x="1812544" y="0"/>
                </a:lnTo>
                <a:lnTo>
                  <a:pt x="1812544" y="304800"/>
                </a:lnTo>
                <a:lnTo>
                  <a:pt x="1836928" y="304800"/>
                </a:lnTo>
                <a:lnTo>
                  <a:pt x="1836928" y="0"/>
                </a:lnTo>
                <a:close/>
              </a:path>
              <a:path w="2121535" h="304800">
                <a:moveTo>
                  <a:pt x="1869440" y="0"/>
                </a:moveTo>
                <a:lnTo>
                  <a:pt x="1853184" y="0"/>
                </a:lnTo>
                <a:lnTo>
                  <a:pt x="1853184" y="304800"/>
                </a:lnTo>
                <a:lnTo>
                  <a:pt x="1869440" y="304800"/>
                </a:lnTo>
                <a:lnTo>
                  <a:pt x="1869440" y="0"/>
                </a:lnTo>
                <a:close/>
              </a:path>
              <a:path w="2121535" h="304800">
                <a:moveTo>
                  <a:pt x="1885696" y="0"/>
                </a:moveTo>
                <a:lnTo>
                  <a:pt x="1877568" y="0"/>
                </a:lnTo>
                <a:lnTo>
                  <a:pt x="1877568" y="304800"/>
                </a:lnTo>
                <a:lnTo>
                  <a:pt x="1885696" y="304800"/>
                </a:lnTo>
                <a:lnTo>
                  <a:pt x="1885696" y="0"/>
                </a:lnTo>
                <a:close/>
              </a:path>
              <a:path w="2121535" h="304800">
                <a:moveTo>
                  <a:pt x="1910080" y="0"/>
                </a:moveTo>
                <a:lnTo>
                  <a:pt x="1901952" y="0"/>
                </a:lnTo>
                <a:lnTo>
                  <a:pt x="1901952" y="304800"/>
                </a:lnTo>
                <a:lnTo>
                  <a:pt x="1910080" y="304800"/>
                </a:lnTo>
                <a:lnTo>
                  <a:pt x="1910080" y="0"/>
                </a:lnTo>
                <a:close/>
              </a:path>
              <a:path w="2121535" h="304800">
                <a:moveTo>
                  <a:pt x="1958848" y="0"/>
                </a:moveTo>
                <a:lnTo>
                  <a:pt x="1942592" y="0"/>
                </a:lnTo>
                <a:lnTo>
                  <a:pt x="1942592" y="304800"/>
                </a:lnTo>
                <a:lnTo>
                  <a:pt x="1958848" y="304800"/>
                </a:lnTo>
                <a:lnTo>
                  <a:pt x="1958848" y="0"/>
                </a:lnTo>
                <a:close/>
              </a:path>
              <a:path w="2121535" h="304800">
                <a:moveTo>
                  <a:pt x="1983232" y="0"/>
                </a:moveTo>
                <a:lnTo>
                  <a:pt x="1966976" y="0"/>
                </a:lnTo>
                <a:lnTo>
                  <a:pt x="1966976" y="304800"/>
                </a:lnTo>
                <a:lnTo>
                  <a:pt x="1983232" y="304800"/>
                </a:lnTo>
                <a:lnTo>
                  <a:pt x="1983232" y="0"/>
                </a:lnTo>
                <a:close/>
              </a:path>
              <a:path w="2121535" h="304800">
                <a:moveTo>
                  <a:pt x="2015744" y="0"/>
                </a:moveTo>
                <a:lnTo>
                  <a:pt x="2007616" y="0"/>
                </a:lnTo>
                <a:lnTo>
                  <a:pt x="2007616" y="304800"/>
                </a:lnTo>
                <a:lnTo>
                  <a:pt x="2015744" y="304800"/>
                </a:lnTo>
                <a:lnTo>
                  <a:pt x="2015744" y="0"/>
                </a:lnTo>
                <a:close/>
              </a:path>
              <a:path w="2121535" h="304800">
                <a:moveTo>
                  <a:pt x="2048256" y="0"/>
                </a:moveTo>
                <a:lnTo>
                  <a:pt x="2040128" y="0"/>
                </a:lnTo>
                <a:lnTo>
                  <a:pt x="2040128" y="304800"/>
                </a:lnTo>
                <a:lnTo>
                  <a:pt x="2048256" y="304800"/>
                </a:lnTo>
                <a:lnTo>
                  <a:pt x="2048256" y="0"/>
                </a:lnTo>
                <a:close/>
              </a:path>
              <a:path w="2121535" h="304800">
                <a:moveTo>
                  <a:pt x="2072640" y="0"/>
                </a:moveTo>
                <a:lnTo>
                  <a:pt x="2056384" y="0"/>
                </a:lnTo>
                <a:lnTo>
                  <a:pt x="2056384" y="304800"/>
                </a:lnTo>
                <a:lnTo>
                  <a:pt x="2072640" y="304800"/>
                </a:lnTo>
                <a:lnTo>
                  <a:pt x="2072640" y="0"/>
                </a:lnTo>
                <a:close/>
              </a:path>
              <a:path w="2121535" h="304800">
                <a:moveTo>
                  <a:pt x="2121408" y="0"/>
                </a:moveTo>
                <a:lnTo>
                  <a:pt x="2097024" y="0"/>
                </a:lnTo>
                <a:lnTo>
                  <a:pt x="2097024" y="304800"/>
                </a:lnTo>
                <a:lnTo>
                  <a:pt x="2121408" y="304800"/>
                </a:lnTo>
                <a:lnTo>
                  <a:pt x="2121408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2097024" y="0"/>
            <a:ext cx="65405" cy="304800"/>
          </a:xfrm>
          <a:custGeom>
            <a:avLst/>
            <a:gdLst/>
            <a:ahLst/>
            <a:cxnLst/>
            <a:rect l="0" t="0" r="0" b="0"/>
            <a:pathLst>
              <a:path w="65405" h="304800">
                <a:moveTo>
                  <a:pt x="24384" y="0"/>
                </a:moveTo>
                <a:lnTo>
                  <a:pt x="0" y="0"/>
                </a:lnTo>
                <a:lnTo>
                  <a:pt x="0" y="304800"/>
                </a:lnTo>
                <a:lnTo>
                  <a:pt x="24384" y="304800"/>
                </a:lnTo>
                <a:lnTo>
                  <a:pt x="24384" y="0"/>
                </a:lnTo>
                <a:close/>
              </a:path>
              <a:path w="65405" h="304800">
                <a:moveTo>
                  <a:pt x="40640" y="0"/>
                </a:moveTo>
                <a:lnTo>
                  <a:pt x="32512" y="0"/>
                </a:lnTo>
                <a:lnTo>
                  <a:pt x="32512" y="304800"/>
                </a:lnTo>
                <a:lnTo>
                  <a:pt x="40640" y="304800"/>
                </a:lnTo>
                <a:lnTo>
                  <a:pt x="40640" y="0"/>
                </a:lnTo>
                <a:close/>
              </a:path>
              <a:path w="65405" h="304800">
                <a:moveTo>
                  <a:pt x="65024" y="0"/>
                </a:moveTo>
                <a:lnTo>
                  <a:pt x="48768" y="0"/>
                </a:lnTo>
                <a:lnTo>
                  <a:pt x="48768" y="304800"/>
                </a:lnTo>
                <a:lnTo>
                  <a:pt x="65024" y="304800"/>
                </a:lnTo>
                <a:lnTo>
                  <a:pt x="65024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18</xdr:col>
      <xdr:colOff>2379</xdr:colOff>
      <xdr:row>23</xdr:row>
      <xdr:rowOff>137337</xdr:rowOff>
    </xdr:from>
    <xdr:ext cx="120650" cy="156845"/>
    <xdr:grpSp>
      <xdr:nvGrpSpPr>
        <xdr:cNvPr id="5" name="Group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pSpPr/>
      </xdr:nvGrpSpPr>
      <xdr:grpSpPr>
        <a:xfrm>
          <a:off x="2688429" y="4404537"/>
          <a:ext cx="120650" cy="156845"/>
          <a:chOff x="0" y="0"/>
          <a:chExt cx="120650" cy="156845"/>
        </a:xfrm>
      </xdr:grpSpPr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6350" y="6350"/>
            <a:ext cx="107950" cy="144145"/>
          </a:xfrm>
          <a:custGeom>
            <a:avLst/>
            <a:gdLst/>
            <a:ahLst/>
            <a:cxnLst/>
            <a:rect l="0" t="0" r="0" b="0"/>
            <a:pathLst>
              <a:path w="107950" h="144145">
                <a:moveTo>
                  <a:pt x="107950" y="0"/>
                </a:moveTo>
                <a:lnTo>
                  <a:pt x="0" y="0"/>
                </a:lnTo>
                <a:lnTo>
                  <a:pt x="0" y="144017"/>
                </a:lnTo>
                <a:lnTo>
                  <a:pt x="107950" y="144017"/>
                </a:lnTo>
                <a:lnTo>
                  <a:pt x="107950" y="0"/>
                </a:lnTo>
                <a:close/>
              </a:path>
            </a:pathLst>
          </a:custGeom>
          <a:solidFill>
            <a:srgbClr val="001845">
              <a:alpha val="50000"/>
            </a:srgbClr>
          </a:solidFill>
        </xdr:spPr>
      </xdr:sp>
      <xdr:sp macro="" textlink="">
        <xdr:nvSpPr>
          <xdr:cNvPr id="7" name="Shape 7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6350" y="6350"/>
            <a:ext cx="107950" cy="144145"/>
          </a:xfrm>
          <a:custGeom>
            <a:avLst/>
            <a:gdLst/>
            <a:ahLst/>
            <a:cxnLst/>
            <a:rect l="0" t="0" r="0" b="0"/>
            <a:pathLst>
              <a:path w="107950" h="144145">
                <a:moveTo>
                  <a:pt x="0" y="144017"/>
                </a:moveTo>
                <a:lnTo>
                  <a:pt x="107950" y="144017"/>
                </a:lnTo>
                <a:lnTo>
                  <a:pt x="107950" y="0"/>
                </a:lnTo>
                <a:lnTo>
                  <a:pt x="0" y="0"/>
                </a:lnTo>
                <a:lnTo>
                  <a:pt x="0" y="144017"/>
                </a:lnTo>
                <a:close/>
              </a:path>
            </a:pathLst>
          </a:custGeom>
          <a:ln w="12700">
            <a:solidFill>
              <a:srgbClr val="001845"/>
            </a:solidFill>
          </a:ln>
        </xdr:spPr>
      </xdr:sp>
    </xdr:grpSp>
    <xdr:clientData/>
  </xdr:oneCellAnchor>
  <xdr:oneCellAnchor>
    <xdr:from>
      <xdr:col>28</xdr:col>
      <xdr:colOff>230735</xdr:colOff>
      <xdr:row>147</xdr:row>
      <xdr:rowOff>0</xdr:rowOff>
    </xdr:from>
    <xdr:ext cx="844469" cy="166743"/>
    <xdr:pic>
      <xdr:nvPicPr>
        <xdr:cNvPr id="8" name="image1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44469" cy="166743"/>
        </a:xfrm>
        <a:prstGeom prst="rect">
          <a:avLst/>
        </a:prstGeom>
      </xdr:spPr>
    </xdr:pic>
    <xdr:clientData/>
  </xdr:oneCellAnchor>
  <xdr:oneCellAnchor>
    <xdr:from>
      <xdr:col>35</xdr:col>
      <xdr:colOff>247650</xdr:colOff>
      <xdr:row>31</xdr:row>
      <xdr:rowOff>137159</xdr:rowOff>
    </xdr:from>
    <xdr:ext cx="120650" cy="156845"/>
    <xdr:grpSp>
      <xdr:nvGrpSpPr>
        <xdr:cNvPr id="12" name="Group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6191250" y="5775959"/>
          <a:ext cx="120650" cy="156845"/>
          <a:chOff x="0" y="0"/>
          <a:chExt cx="120650" cy="156845"/>
        </a:xfrm>
      </xdr:grpSpPr>
      <xdr:sp macro="" textlink="">
        <xdr:nvSpPr>
          <xdr:cNvPr id="13" name="Shape 13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/>
        </xdr:nvSpPr>
        <xdr:spPr>
          <a:xfrm>
            <a:off x="6350" y="6350"/>
            <a:ext cx="107950" cy="144145"/>
          </a:xfrm>
          <a:custGeom>
            <a:avLst/>
            <a:gdLst/>
            <a:ahLst/>
            <a:cxnLst/>
            <a:rect l="0" t="0" r="0" b="0"/>
            <a:pathLst>
              <a:path w="107950" h="144145">
                <a:moveTo>
                  <a:pt x="107950" y="0"/>
                </a:moveTo>
                <a:lnTo>
                  <a:pt x="0" y="0"/>
                </a:lnTo>
                <a:lnTo>
                  <a:pt x="0" y="144017"/>
                </a:lnTo>
                <a:lnTo>
                  <a:pt x="107950" y="144017"/>
                </a:lnTo>
                <a:lnTo>
                  <a:pt x="107950" y="0"/>
                </a:lnTo>
                <a:close/>
              </a:path>
            </a:pathLst>
          </a:custGeom>
          <a:solidFill>
            <a:srgbClr val="001845">
              <a:alpha val="50000"/>
            </a:srgbClr>
          </a:solidFill>
        </xdr:spPr>
      </xdr:sp>
      <xdr:sp macro="" textlink="">
        <xdr:nvSpPr>
          <xdr:cNvPr id="14" name="Shape 14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6350" y="6350"/>
            <a:ext cx="107950" cy="144145"/>
          </a:xfrm>
          <a:custGeom>
            <a:avLst/>
            <a:gdLst/>
            <a:ahLst/>
            <a:cxnLst/>
            <a:rect l="0" t="0" r="0" b="0"/>
            <a:pathLst>
              <a:path w="107950" h="144145">
                <a:moveTo>
                  <a:pt x="0" y="144017"/>
                </a:moveTo>
                <a:lnTo>
                  <a:pt x="107950" y="144017"/>
                </a:lnTo>
                <a:lnTo>
                  <a:pt x="107950" y="0"/>
                </a:lnTo>
                <a:lnTo>
                  <a:pt x="0" y="0"/>
                </a:lnTo>
                <a:lnTo>
                  <a:pt x="0" y="144017"/>
                </a:lnTo>
                <a:close/>
              </a:path>
            </a:pathLst>
          </a:custGeom>
          <a:ln w="12700">
            <a:solidFill>
              <a:srgbClr val="001845"/>
            </a:solidFill>
          </a:ln>
        </xdr:spPr>
      </xdr:sp>
    </xdr:grpSp>
    <xdr:clientData/>
  </xdr:oneCellAnchor>
  <xdr:oneCellAnchor>
    <xdr:from>
      <xdr:col>35</xdr:col>
      <xdr:colOff>247650</xdr:colOff>
      <xdr:row>33</xdr:row>
      <xdr:rowOff>137160</xdr:rowOff>
    </xdr:from>
    <xdr:ext cx="120650" cy="156845"/>
    <xdr:grpSp>
      <xdr:nvGrpSpPr>
        <xdr:cNvPr id="15" name="Group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pSpPr/>
      </xdr:nvGrpSpPr>
      <xdr:grpSpPr>
        <a:xfrm>
          <a:off x="6191250" y="6080760"/>
          <a:ext cx="120650" cy="156845"/>
          <a:chOff x="0" y="0"/>
          <a:chExt cx="120650" cy="156845"/>
        </a:xfrm>
      </xdr:grpSpPr>
      <xdr:sp macro="" textlink="">
        <xdr:nvSpPr>
          <xdr:cNvPr id="16" name="Shape 16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>
          <a:xfrm>
            <a:off x="6350" y="6350"/>
            <a:ext cx="107950" cy="144145"/>
          </a:xfrm>
          <a:custGeom>
            <a:avLst/>
            <a:gdLst/>
            <a:ahLst/>
            <a:cxnLst/>
            <a:rect l="0" t="0" r="0" b="0"/>
            <a:pathLst>
              <a:path w="107950" h="144145">
                <a:moveTo>
                  <a:pt x="107950" y="0"/>
                </a:moveTo>
                <a:lnTo>
                  <a:pt x="0" y="0"/>
                </a:lnTo>
                <a:lnTo>
                  <a:pt x="0" y="144017"/>
                </a:lnTo>
                <a:lnTo>
                  <a:pt x="107950" y="144017"/>
                </a:lnTo>
                <a:lnTo>
                  <a:pt x="107950" y="0"/>
                </a:lnTo>
                <a:close/>
              </a:path>
            </a:pathLst>
          </a:custGeom>
          <a:solidFill>
            <a:srgbClr val="001845">
              <a:alpha val="50000"/>
            </a:srgbClr>
          </a:solidFill>
        </xdr:spPr>
      </xdr:sp>
      <xdr:sp macro="" textlink="">
        <xdr:nvSpPr>
          <xdr:cNvPr id="17" name="Shape 17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/>
        </xdr:nvSpPr>
        <xdr:spPr>
          <a:xfrm>
            <a:off x="6350" y="6350"/>
            <a:ext cx="107950" cy="144145"/>
          </a:xfrm>
          <a:custGeom>
            <a:avLst/>
            <a:gdLst/>
            <a:ahLst/>
            <a:cxnLst/>
            <a:rect l="0" t="0" r="0" b="0"/>
            <a:pathLst>
              <a:path w="107950" h="144145">
                <a:moveTo>
                  <a:pt x="0" y="144017"/>
                </a:moveTo>
                <a:lnTo>
                  <a:pt x="107950" y="144017"/>
                </a:lnTo>
                <a:lnTo>
                  <a:pt x="107950" y="0"/>
                </a:lnTo>
                <a:lnTo>
                  <a:pt x="0" y="0"/>
                </a:lnTo>
                <a:lnTo>
                  <a:pt x="0" y="144017"/>
                </a:lnTo>
                <a:close/>
              </a:path>
            </a:pathLst>
          </a:custGeom>
          <a:ln w="12700">
            <a:solidFill>
              <a:srgbClr val="001845"/>
            </a:solidFill>
          </a:ln>
        </xdr:spPr>
      </xdr:sp>
    </xdr:grpSp>
    <xdr:clientData/>
  </xdr:oneCellAnchor>
  <xdr:oneCellAnchor>
    <xdr:from>
      <xdr:col>35</xdr:col>
      <xdr:colOff>247650</xdr:colOff>
      <xdr:row>81</xdr:row>
      <xdr:rowOff>132460</xdr:rowOff>
    </xdr:from>
    <xdr:ext cx="120650" cy="156845"/>
    <xdr:grpSp>
      <xdr:nvGrpSpPr>
        <xdr:cNvPr id="18" name="Group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pSpPr/>
      </xdr:nvGrpSpPr>
      <xdr:grpSpPr>
        <a:xfrm>
          <a:off x="6191250" y="13543660"/>
          <a:ext cx="120650" cy="156845"/>
          <a:chOff x="0" y="0"/>
          <a:chExt cx="120650" cy="156845"/>
        </a:xfrm>
      </xdr:grpSpPr>
      <xdr:sp macro="" textlink="">
        <xdr:nvSpPr>
          <xdr:cNvPr id="19" name="Shape 19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6350" y="6350"/>
            <a:ext cx="107950" cy="144145"/>
          </a:xfrm>
          <a:custGeom>
            <a:avLst/>
            <a:gdLst/>
            <a:ahLst/>
            <a:cxnLst/>
            <a:rect l="0" t="0" r="0" b="0"/>
            <a:pathLst>
              <a:path w="107950" h="144145">
                <a:moveTo>
                  <a:pt x="107950" y="0"/>
                </a:moveTo>
                <a:lnTo>
                  <a:pt x="0" y="0"/>
                </a:lnTo>
                <a:lnTo>
                  <a:pt x="0" y="144017"/>
                </a:lnTo>
                <a:lnTo>
                  <a:pt x="107950" y="144017"/>
                </a:lnTo>
                <a:lnTo>
                  <a:pt x="107950" y="0"/>
                </a:lnTo>
                <a:close/>
              </a:path>
            </a:pathLst>
          </a:custGeom>
          <a:solidFill>
            <a:srgbClr val="001845">
              <a:alpha val="50000"/>
            </a:srgbClr>
          </a:solidFill>
        </xdr:spPr>
      </xdr:sp>
      <xdr:sp macro="" textlink="">
        <xdr:nvSpPr>
          <xdr:cNvPr id="20" name="Shape 20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/>
        </xdr:nvSpPr>
        <xdr:spPr>
          <a:xfrm>
            <a:off x="6350" y="6350"/>
            <a:ext cx="107950" cy="144145"/>
          </a:xfrm>
          <a:custGeom>
            <a:avLst/>
            <a:gdLst/>
            <a:ahLst/>
            <a:cxnLst/>
            <a:rect l="0" t="0" r="0" b="0"/>
            <a:pathLst>
              <a:path w="107950" h="144145">
                <a:moveTo>
                  <a:pt x="0" y="144017"/>
                </a:moveTo>
                <a:lnTo>
                  <a:pt x="107950" y="144017"/>
                </a:lnTo>
                <a:lnTo>
                  <a:pt x="107950" y="0"/>
                </a:lnTo>
                <a:lnTo>
                  <a:pt x="0" y="0"/>
                </a:lnTo>
                <a:lnTo>
                  <a:pt x="0" y="144017"/>
                </a:lnTo>
                <a:close/>
              </a:path>
            </a:pathLst>
          </a:custGeom>
          <a:ln w="12700">
            <a:solidFill>
              <a:srgbClr val="001845"/>
            </a:solidFill>
          </a:ln>
        </xdr:spPr>
      </xdr:sp>
    </xdr:grpSp>
    <xdr:clientData/>
  </xdr:oneCellAnchor>
  <xdr:oneCellAnchor>
    <xdr:from>
      <xdr:col>35</xdr:col>
      <xdr:colOff>247650</xdr:colOff>
      <xdr:row>83</xdr:row>
      <xdr:rowOff>140970</xdr:rowOff>
    </xdr:from>
    <xdr:ext cx="120650" cy="156845"/>
    <xdr:grpSp>
      <xdr:nvGrpSpPr>
        <xdr:cNvPr id="21" name="Group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GrpSpPr/>
      </xdr:nvGrpSpPr>
      <xdr:grpSpPr>
        <a:xfrm>
          <a:off x="6191250" y="13856970"/>
          <a:ext cx="120650" cy="156845"/>
          <a:chOff x="0" y="0"/>
          <a:chExt cx="120650" cy="156845"/>
        </a:xfrm>
      </xdr:grpSpPr>
      <xdr:sp macro="" textlink="">
        <xdr:nvSpPr>
          <xdr:cNvPr id="22" name="Shape 22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/>
        </xdr:nvSpPr>
        <xdr:spPr>
          <a:xfrm>
            <a:off x="6350" y="6350"/>
            <a:ext cx="107950" cy="144145"/>
          </a:xfrm>
          <a:custGeom>
            <a:avLst/>
            <a:gdLst/>
            <a:ahLst/>
            <a:cxnLst/>
            <a:rect l="0" t="0" r="0" b="0"/>
            <a:pathLst>
              <a:path w="107950" h="144145">
                <a:moveTo>
                  <a:pt x="107950" y="0"/>
                </a:moveTo>
                <a:lnTo>
                  <a:pt x="0" y="0"/>
                </a:lnTo>
                <a:lnTo>
                  <a:pt x="0" y="144017"/>
                </a:lnTo>
                <a:lnTo>
                  <a:pt x="107950" y="144017"/>
                </a:lnTo>
                <a:lnTo>
                  <a:pt x="107950" y="0"/>
                </a:lnTo>
                <a:close/>
              </a:path>
            </a:pathLst>
          </a:custGeom>
          <a:solidFill>
            <a:srgbClr val="001845">
              <a:alpha val="50000"/>
            </a:srgbClr>
          </a:solidFill>
        </xdr:spPr>
      </xdr:sp>
      <xdr:sp macro="" textlink="">
        <xdr:nvSpPr>
          <xdr:cNvPr id="23" name="Shape 23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SpPr/>
        </xdr:nvSpPr>
        <xdr:spPr>
          <a:xfrm>
            <a:off x="6350" y="6350"/>
            <a:ext cx="107950" cy="144145"/>
          </a:xfrm>
          <a:custGeom>
            <a:avLst/>
            <a:gdLst/>
            <a:ahLst/>
            <a:cxnLst/>
            <a:rect l="0" t="0" r="0" b="0"/>
            <a:pathLst>
              <a:path w="107950" h="144145">
                <a:moveTo>
                  <a:pt x="0" y="144017"/>
                </a:moveTo>
                <a:lnTo>
                  <a:pt x="107950" y="144017"/>
                </a:lnTo>
                <a:lnTo>
                  <a:pt x="107950" y="0"/>
                </a:lnTo>
                <a:lnTo>
                  <a:pt x="0" y="0"/>
                </a:lnTo>
                <a:lnTo>
                  <a:pt x="0" y="144017"/>
                </a:lnTo>
                <a:close/>
              </a:path>
            </a:pathLst>
          </a:custGeom>
          <a:ln w="12700">
            <a:solidFill>
              <a:srgbClr val="001845"/>
            </a:solidFill>
          </a:ln>
        </xdr:spPr>
      </xdr:sp>
    </xdr:grpSp>
    <xdr:clientData/>
  </xdr:oneCellAnchor>
  <xdr:oneCellAnchor>
    <xdr:from>
      <xdr:col>35</xdr:col>
      <xdr:colOff>247650</xdr:colOff>
      <xdr:row>86</xdr:row>
      <xdr:rowOff>141224</xdr:rowOff>
    </xdr:from>
    <xdr:ext cx="120650" cy="156845"/>
    <xdr:grpSp>
      <xdr:nvGrpSpPr>
        <xdr:cNvPr id="24" name="Group 2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6191250" y="14314424"/>
          <a:ext cx="120650" cy="156845"/>
          <a:chOff x="0" y="0"/>
          <a:chExt cx="120650" cy="156845"/>
        </a:xfrm>
      </xdr:grpSpPr>
      <xdr:sp macro="" textlink="">
        <xdr:nvSpPr>
          <xdr:cNvPr id="25" name="Shape 25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6350" y="6350"/>
            <a:ext cx="107950" cy="144145"/>
          </a:xfrm>
          <a:custGeom>
            <a:avLst/>
            <a:gdLst/>
            <a:ahLst/>
            <a:cxnLst/>
            <a:rect l="0" t="0" r="0" b="0"/>
            <a:pathLst>
              <a:path w="107950" h="144145">
                <a:moveTo>
                  <a:pt x="107950" y="0"/>
                </a:moveTo>
                <a:lnTo>
                  <a:pt x="0" y="0"/>
                </a:lnTo>
                <a:lnTo>
                  <a:pt x="0" y="144018"/>
                </a:lnTo>
                <a:lnTo>
                  <a:pt x="107950" y="144018"/>
                </a:lnTo>
                <a:lnTo>
                  <a:pt x="107950" y="0"/>
                </a:lnTo>
                <a:close/>
              </a:path>
            </a:pathLst>
          </a:custGeom>
          <a:solidFill>
            <a:srgbClr val="001845">
              <a:alpha val="50000"/>
            </a:srgbClr>
          </a:solidFill>
        </xdr:spPr>
      </xdr:sp>
      <xdr:sp macro="" textlink="">
        <xdr:nvSpPr>
          <xdr:cNvPr id="26" name="Shape 2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6350" y="6350"/>
            <a:ext cx="107950" cy="144145"/>
          </a:xfrm>
          <a:custGeom>
            <a:avLst/>
            <a:gdLst/>
            <a:ahLst/>
            <a:cxnLst/>
            <a:rect l="0" t="0" r="0" b="0"/>
            <a:pathLst>
              <a:path w="107950" h="144145">
                <a:moveTo>
                  <a:pt x="0" y="144018"/>
                </a:moveTo>
                <a:lnTo>
                  <a:pt x="107950" y="144018"/>
                </a:lnTo>
                <a:lnTo>
                  <a:pt x="107950" y="0"/>
                </a:lnTo>
                <a:lnTo>
                  <a:pt x="0" y="0"/>
                </a:lnTo>
                <a:lnTo>
                  <a:pt x="0" y="144018"/>
                </a:lnTo>
                <a:close/>
              </a:path>
            </a:pathLst>
          </a:custGeom>
          <a:ln w="12700">
            <a:solidFill>
              <a:srgbClr val="001845"/>
            </a:solidFill>
          </a:ln>
        </xdr:spPr>
      </xdr:sp>
    </xdr:grpSp>
    <xdr:clientData/>
  </xdr:oneCellAnchor>
  <xdr:oneCellAnchor>
    <xdr:from>
      <xdr:col>2</xdr:col>
      <xdr:colOff>267080</xdr:colOff>
      <xdr:row>104</xdr:row>
      <xdr:rowOff>347979</xdr:rowOff>
    </xdr:from>
    <xdr:ext cx="1080135" cy="948055"/>
    <xdr:grpSp>
      <xdr:nvGrpSpPr>
        <xdr:cNvPr id="27" name="Group 27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GrpSpPr/>
      </xdr:nvGrpSpPr>
      <xdr:grpSpPr>
        <a:xfrm>
          <a:off x="657605" y="17369154"/>
          <a:ext cx="1080135" cy="948055"/>
          <a:chOff x="0" y="0"/>
          <a:chExt cx="1080135" cy="948055"/>
        </a:xfrm>
      </xdr:grpSpPr>
      <xdr:sp macro="" textlink="">
        <xdr:nvSpPr>
          <xdr:cNvPr id="28" name="Shape 28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72009" y="220852"/>
            <a:ext cx="1008380" cy="727710"/>
          </a:xfrm>
          <a:custGeom>
            <a:avLst/>
            <a:gdLst/>
            <a:ahLst/>
            <a:cxnLst/>
            <a:rect l="0" t="0" r="0" b="0"/>
            <a:pathLst>
              <a:path w="1008380" h="727710">
                <a:moveTo>
                  <a:pt x="503936" y="0"/>
                </a:moveTo>
                <a:lnTo>
                  <a:pt x="575945" y="0"/>
                </a:lnTo>
              </a:path>
              <a:path w="1008380" h="727710">
                <a:moveTo>
                  <a:pt x="72009" y="0"/>
                </a:moveTo>
                <a:lnTo>
                  <a:pt x="359918" y="0"/>
                </a:lnTo>
              </a:path>
              <a:path w="1008380" h="727710">
                <a:moveTo>
                  <a:pt x="719963" y="0"/>
                </a:moveTo>
                <a:lnTo>
                  <a:pt x="1007999" y="0"/>
                </a:lnTo>
              </a:path>
              <a:path w="1008380" h="727710">
                <a:moveTo>
                  <a:pt x="935990" y="223266"/>
                </a:moveTo>
                <a:lnTo>
                  <a:pt x="1007999" y="223266"/>
                </a:lnTo>
              </a:path>
              <a:path w="1008380" h="727710">
                <a:moveTo>
                  <a:pt x="503936" y="223266"/>
                </a:moveTo>
                <a:lnTo>
                  <a:pt x="575945" y="223266"/>
                </a:lnTo>
              </a:path>
              <a:path w="1008380" h="727710">
                <a:moveTo>
                  <a:pt x="72009" y="223266"/>
                </a:moveTo>
                <a:lnTo>
                  <a:pt x="359918" y="223266"/>
                </a:lnTo>
              </a:path>
              <a:path w="1008380" h="727710">
                <a:moveTo>
                  <a:pt x="719963" y="223266"/>
                </a:moveTo>
                <a:lnTo>
                  <a:pt x="791972" y="223266"/>
                </a:lnTo>
              </a:path>
              <a:path w="1008380" h="727710">
                <a:moveTo>
                  <a:pt x="935990" y="446405"/>
                </a:moveTo>
                <a:lnTo>
                  <a:pt x="1007999" y="446405"/>
                </a:lnTo>
              </a:path>
              <a:path w="1008380" h="727710">
                <a:moveTo>
                  <a:pt x="503936" y="446405"/>
                </a:moveTo>
                <a:lnTo>
                  <a:pt x="575945" y="446405"/>
                </a:lnTo>
              </a:path>
              <a:path w="1008380" h="727710">
                <a:moveTo>
                  <a:pt x="72009" y="446405"/>
                </a:moveTo>
                <a:lnTo>
                  <a:pt x="144018" y="446405"/>
                </a:lnTo>
              </a:path>
              <a:path w="1008380" h="727710">
                <a:moveTo>
                  <a:pt x="719963" y="446405"/>
                </a:moveTo>
                <a:lnTo>
                  <a:pt x="791972" y="446405"/>
                </a:lnTo>
              </a:path>
              <a:path w="1008380" h="727710">
                <a:moveTo>
                  <a:pt x="287909" y="446405"/>
                </a:moveTo>
                <a:lnTo>
                  <a:pt x="359918" y="446405"/>
                </a:lnTo>
              </a:path>
              <a:path w="1008380" h="727710">
                <a:moveTo>
                  <a:pt x="0" y="691261"/>
                </a:moveTo>
                <a:lnTo>
                  <a:pt x="0" y="727202"/>
                </a:lnTo>
              </a:path>
              <a:path w="1008380" h="727710">
                <a:moveTo>
                  <a:pt x="215900" y="691261"/>
                </a:moveTo>
                <a:lnTo>
                  <a:pt x="215900" y="727202"/>
                </a:lnTo>
              </a:path>
              <a:path w="1008380" h="727710">
                <a:moveTo>
                  <a:pt x="431926" y="691261"/>
                </a:moveTo>
                <a:lnTo>
                  <a:pt x="431926" y="727202"/>
                </a:lnTo>
              </a:path>
              <a:path w="1008380" h="727710">
                <a:moveTo>
                  <a:pt x="647954" y="691261"/>
                </a:moveTo>
                <a:lnTo>
                  <a:pt x="647954" y="727202"/>
                </a:lnTo>
              </a:path>
              <a:path w="1008380" h="727710">
                <a:moveTo>
                  <a:pt x="827913" y="691261"/>
                </a:moveTo>
                <a:lnTo>
                  <a:pt x="827913" y="727202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 macro="" textlink="">
        <xdr:nvSpPr>
          <xdr:cNvPr id="29" name="Shape 29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SpPr/>
        </xdr:nvSpPr>
        <xdr:spPr>
          <a:xfrm>
            <a:off x="0" y="143002"/>
            <a:ext cx="72390" cy="765810"/>
          </a:xfrm>
          <a:custGeom>
            <a:avLst/>
            <a:gdLst/>
            <a:ahLst/>
            <a:cxnLst/>
            <a:rect l="0" t="0" r="0" b="0"/>
            <a:pathLst>
              <a:path w="72390" h="765810">
                <a:moveTo>
                  <a:pt x="72009" y="0"/>
                </a:moveTo>
                <a:lnTo>
                  <a:pt x="0" y="0"/>
                </a:lnTo>
                <a:lnTo>
                  <a:pt x="0" y="765428"/>
                </a:lnTo>
                <a:lnTo>
                  <a:pt x="72009" y="765428"/>
                </a:lnTo>
                <a:lnTo>
                  <a:pt x="72009" y="0"/>
                </a:lnTo>
                <a:close/>
              </a:path>
            </a:pathLst>
          </a:custGeom>
          <a:solidFill>
            <a:srgbClr val="435466">
              <a:alpha val="50000"/>
            </a:srgbClr>
          </a:solidFill>
        </xdr:spPr>
      </xdr:sp>
      <xdr:sp macro="" textlink="">
        <xdr:nvSpPr>
          <xdr:cNvPr id="30" name="Shape 30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/>
        </xdr:nvSpPr>
        <xdr:spPr>
          <a:xfrm>
            <a:off x="72009" y="143002"/>
            <a:ext cx="72390" cy="765810"/>
          </a:xfrm>
          <a:custGeom>
            <a:avLst/>
            <a:gdLst/>
            <a:ahLst/>
            <a:cxnLst/>
            <a:rect l="0" t="0" r="0" b="0"/>
            <a:pathLst>
              <a:path w="72390" h="765810">
                <a:moveTo>
                  <a:pt x="72009" y="0"/>
                </a:moveTo>
                <a:lnTo>
                  <a:pt x="0" y="0"/>
                </a:lnTo>
                <a:lnTo>
                  <a:pt x="0" y="765428"/>
                </a:lnTo>
                <a:lnTo>
                  <a:pt x="72009" y="765428"/>
                </a:lnTo>
                <a:lnTo>
                  <a:pt x="72009" y="0"/>
                </a:lnTo>
                <a:close/>
              </a:path>
            </a:pathLst>
          </a:custGeom>
          <a:solidFill>
            <a:srgbClr val="85AACD">
              <a:alpha val="50000"/>
            </a:srgbClr>
          </a:solidFill>
        </xdr:spPr>
      </xdr:sp>
      <xdr:sp macro="" textlink="">
        <xdr:nvSpPr>
          <xdr:cNvPr id="31" name="Shape 31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216027" y="554355"/>
            <a:ext cx="72390" cy="354330"/>
          </a:xfrm>
          <a:custGeom>
            <a:avLst/>
            <a:gdLst/>
            <a:ahLst/>
            <a:cxnLst/>
            <a:rect l="0" t="0" r="0" b="0"/>
            <a:pathLst>
              <a:path w="72390" h="354330">
                <a:moveTo>
                  <a:pt x="72009" y="0"/>
                </a:moveTo>
                <a:lnTo>
                  <a:pt x="0" y="0"/>
                </a:lnTo>
                <a:lnTo>
                  <a:pt x="0" y="354075"/>
                </a:lnTo>
                <a:lnTo>
                  <a:pt x="72009" y="354075"/>
                </a:lnTo>
                <a:lnTo>
                  <a:pt x="72009" y="0"/>
                </a:lnTo>
                <a:close/>
              </a:path>
            </a:pathLst>
          </a:custGeom>
          <a:solidFill>
            <a:srgbClr val="435466">
              <a:alpha val="50000"/>
            </a:srgbClr>
          </a:solidFill>
        </xdr:spPr>
      </xdr:sp>
      <xdr:sp macro="" textlink="">
        <xdr:nvSpPr>
          <xdr:cNvPr id="32" name="Shape 32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SpPr/>
        </xdr:nvSpPr>
        <xdr:spPr>
          <a:xfrm>
            <a:off x="287909" y="554355"/>
            <a:ext cx="72390" cy="354330"/>
          </a:xfrm>
          <a:custGeom>
            <a:avLst/>
            <a:gdLst/>
            <a:ahLst/>
            <a:cxnLst/>
            <a:rect l="0" t="0" r="0" b="0"/>
            <a:pathLst>
              <a:path w="72390" h="354330">
                <a:moveTo>
                  <a:pt x="72009" y="0"/>
                </a:moveTo>
                <a:lnTo>
                  <a:pt x="0" y="0"/>
                </a:lnTo>
                <a:lnTo>
                  <a:pt x="0" y="354075"/>
                </a:lnTo>
                <a:lnTo>
                  <a:pt x="72009" y="354075"/>
                </a:lnTo>
                <a:lnTo>
                  <a:pt x="72009" y="0"/>
                </a:lnTo>
                <a:close/>
              </a:path>
            </a:pathLst>
          </a:custGeom>
          <a:solidFill>
            <a:srgbClr val="85AACD">
              <a:alpha val="50000"/>
            </a:srgbClr>
          </a:solidFill>
        </xdr:spPr>
      </xdr:sp>
      <xdr:sp macro="" textlink="">
        <xdr:nvSpPr>
          <xdr:cNvPr id="33" name="Shape 33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/>
        </xdr:nvSpPr>
        <xdr:spPr>
          <a:xfrm>
            <a:off x="431926" y="195071"/>
            <a:ext cx="72390" cy="713740"/>
          </a:xfrm>
          <a:custGeom>
            <a:avLst/>
            <a:gdLst/>
            <a:ahLst/>
            <a:cxnLst/>
            <a:rect l="0" t="0" r="0" b="0"/>
            <a:pathLst>
              <a:path w="72390" h="713740">
                <a:moveTo>
                  <a:pt x="72009" y="0"/>
                </a:moveTo>
                <a:lnTo>
                  <a:pt x="0" y="0"/>
                </a:lnTo>
                <a:lnTo>
                  <a:pt x="0" y="713359"/>
                </a:lnTo>
                <a:lnTo>
                  <a:pt x="72009" y="713359"/>
                </a:lnTo>
                <a:lnTo>
                  <a:pt x="72009" y="0"/>
                </a:lnTo>
                <a:close/>
              </a:path>
            </a:pathLst>
          </a:custGeom>
          <a:solidFill>
            <a:srgbClr val="435466">
              <a:alpha val="50000"/>
            </a:srgbClr>
          </a:solidFill>
        </xdr:spPr>
      </xdr:sp>
      <xdr:sp macro="" textlink="">
        <xdr:nvSpPr>
          <xdr:cNvPr id="34" name="Shape 34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503936" y="164845"/>
            <a:ext cx="72390" cy="743585"/>
          </a:xfrm>
          <a:custGeom>
            <a:avLst/>
            <a:gdLst/>
            <a:ahLst/>
            <a:cxnLst/>
            <a:rect l="0" t="0" r="0" b="0"/>
            <a:pathLst>
              <a:path w="72390" h="743585">
                <a:moveTo>
                  <a:pt x="72009" y="0"/>
                </a:moveTo>
                <a:lnTo>
                  <a:pt x="0" y="0"/>
                </a:lnTo>
                <a:lnTo>
                  <a:pt x="0" y="743585"/>
                </a:lnTo>
                <a:lnTo>
                  <a:pt x="72009" y="743585"/>
                </a:lnTo>
                <a:lnTo>
                  <a:pt x="72009" y="0"/>
                </a:lnTo>
                <a:close/>
              </a:path>
            </a:pathLst>
          </a:custGeom>
          <a:solidFill>
            <a:srgbClr val="85AACD">
              <a:alpha val="50000"/>
            </a:srgbClr>
          </a:solidFill>
        </xdr:spPr>
      </xdr:sp>
      <xdr:sp macro="" textlink="">
        <xdr:nvSpPr>
          <xdr:cNvPr id="35" name="Shape 35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/>
        </xdr:nvSpPr>
        <xdr:spPr>
          <a:xfrm>
            <a:off x="647954" y="40386"/>
            <a:ext cx="72390" cy="868044"/>
          </a:xfrm>
          <a:custGeom>
            <a:avLst/>
            <a:gdLst/>
            <a:ahLst/>
            <a:cxnLst/>
            <a:rect l="0" t="0" r="0" b="0"/>
            <a:pathLst>
              <a:path w="72390" h="868044">
                <a:moveTo>
                  <a:pt x="72009" y="0"/>
                </a:moveTo>
                <a:lnTo>
                  <a:pt x="0" y="0"/>
                </a:lnTo>
                <a:lnTo>
                  <a:pt x="0" y="868044"/>
                </a:lnTo>
                <a:lnTo>
                  <a:pt x="72009" y="868044"/>
                </a:lnTo>
                <a:lnTo>
                  <a:pt x="72009" y="0"/>
                </a:lnTo>
                <a:close/>
              </a:path>
            </a:pathLst>
          </a:custGeom>
          <a:solidFill>
            <a:srgbClr val="435466">
              <a:alpha val="50000"/>
            </a:srgbClr>
          </a:solidFill>
        </xdr:spPr>
      </xdr:sp>
      <xdr:sp macro="" textlink="">
        <xdr:nvSpPr>
          <xdr:cNvPr id="36" name="Shape 36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/>
        </xdr:nvSpPr>
        <xdr:spPr>
          <a:xfrm>
            <a:off x="719962" y="0"/>
            <a:ext cx="72390" cy="908685"/>
          </a:xfrm>
          <a:custGeom>
            <a:avLst/>
            <a:gdLst/>
            <a:ahLst/>
            <a:cxnLst/>
            <a:rect l="0" t="0" r="0" b="0"/>
            <a:pathLst>
              <a:path w="72390" h="908685">
                <a:moveTo>
                  <a:pt x="72009" y="0"/>
                </a:moveTo>
                <a:lnTo>
                  <a:pt x="0" y="0"/>
                </a:lnTo>
                <a:lnTo>
                  <a:pt x="0" y="908431"/>
                </a:lnTo>
                <a:lnTo>
                  <a:pt x="72009" y="908431"/>
                </a:lnTo>
                <a:lnTo>
                  <a:pt x="72009" y="0"/>
                </a:lnTo>
                <a:close/>
              </a:path>
            </a:pathLst>
          </a:custGeom>
          <a:solidFill>
            <a:srgbClr val="85AACD">
              <a:alpha val="50000"/>
            </a:srgbClr>
          </a:solidFill>
        </xdr:spPr>
      </xdr:sp>
      <xdr:sp macro="" textlink="">
        <xdr:nvSpPr>
          <xdr:cNvPr id="37" name="Shape 37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/>
        </xdr:nvSpPr>
        <xdr:spPr>
          <a:xfrm>
            <a:off x="863980" y="350265"/>
            <a:ext cx="72390" cy="558165"/>
          </a:xfrm>
          <a:custGeom>
            <a:avLst/>
            <a:gdLst/>
            <a:ahLst/>
            <a:cxnLst/>
            <a:rect l="0" t="0" r="0" b="0"/>
            <a:pathLst>
              <a:path w="72390" h="558165">
                <a:moveTo>
                  <a:pt x="72009" y="0"/>
                </a:moveTo>
                <a:lnTo>
                  <a:pt x="0" y="0"/>
                </a:lnTo>
                <a:lnTo>
                  <a:pt x="0" y="558164"/>
                </a:lnTo>
                <a:lnTo>
                  <a:pt x="72009" y="558164"/>
                </a:lnTo>
                <a:lnTo>
                  <a:pt x="72009" y="0"/>
                </a:lnTo>
                <a:close/>
              </a:path>
            </a:pathLst>
          </a:custGeom>
          <a:solidFill>
            <a:srgbClr val="435466">
              <a:alpha val="50000"/>
            </a:srgbClr>
          </a:solidFill>
        </xdr:spPr>
      </xdr:sp>
      <xdr:sp macro="" textlink="">
        <xdr:nvSpPr>
          <xdr:cNvPr id="38" name="Shape 38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SpPr/>
        </xdr:nvSpPr>
        <xdr:spPr>
          <a:xfrm>
            <a:off x="935989" y="350265"/>
            <a:ext cx="72390" cy="558165"/>
          </a:xfrm>
          <a:custGeom>
            <a:avLst/>
            <a:gdLst/>
            <a:ahLst/>
            <a:cxnLst/>
            <a:rect l="0" t="0" r="0" b="0"/>
            <a:pathLst>
              <a:path w="72390" h="558165">
                <a:moveTo>
                  <a:pt x="72009" y="0"/>
                </a:moveTo>
                <a:lnTo>
                  <a:pt x="0" y="0"/>
                </a:lnTo>
                <a:lnTo>
                  <a:pt x="0" y="558164"/>
                </a:lnTo>
                <a:lnTo>
                  <a:pt x="72009" y="558164"/>
                </a:lnTo>
                <a:lnTo>
                  <a:pt x="72009" y="0"/>
                </a:lnTo>
                <a:close/>
              </a:path>
            </a:pathLst>
          </a:custGeom>
          <a:solidFill>
            <a:srgbClr val="85AACD">
              <a:alpha val="50000"/>
            </a:srgbClr>
          </a:solidFill>
        </xdr:spPr>
      </xdr:sp>
    </xdr:grpSp>
    <xdr:clientData/>
  </xdr:oneCellAnchor>
  <xdr:oneCellAnchor>
    <xdr:from>
      <xdr:col>13</xdr:col>
      <xdr:colOff>44323</xdr:colOff>
      <xdr:row>104</xdr:row>
      <xdr:rowOff>680847</xdr:rowOff>
    </xdr:from>
    <xdr:ext cx="78740" cy="78740"/>
    <xdr:grpSp>
      <xdr:nvGrpSpPr>
        <xdr:cNvPr id="39" name="Group 39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GrpSpPr/>
      </xdr:nvGrpSpPr>
      <xdr:grpSpPr>
        <a:xfrm>
          <a:off x="2044573" y="17702022"/>
          <a:ext cx="78740" cy="78740"/>
          <a:chOff x="0" y="0"/>
          <a:chExt cx="78740" cy="78740"/>
        </a:xfrm>
      </xdr:grpSpPr>
      <xdr:sp macro="" textlink="">
        <xdr:nvSpPr>
          <xdr:cNvPr id="40" name="Shape 40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/>
        </xdr:nvSpPr>
        <xdr:spPr>
          <a:xfrm>
            <a:off x="3175" y="3175"/>
            <a:ext cx="72390" cy="72390"/>
          </a:xfrm>
          <a:custGeom>
            <a:avLst/>
            <a:gdLst/>
            <a:ahLst/>
            <a:cxnLst/>
            <a:rect l="0" t="0" r="0" b="0"/>
            <a:pathLst>
              <a:path w="72390" h="72390">
                <a:moveTo>
                  <a:pt x="72008" y="0"/>
                </a:moveTo>
                <a:lnTo>
                  <a:pt x="0" y="0"/>
                </a:lnTo>
                <a:lnTo>
                  <a:pt x="0" y="72009"/>
                </a:lnTo>
                <a:lnTo>
                  <a:pt x="72008" y="72009"/>
                </a:lnTo>
                <a:lnTo>
                  <a:pt x="72008" y="0"/>
                </a:lnTo>
                <a:close/>
              </a:path>
            </a:pathLst>
          </a:custGeom>
          <a:solidFill>
            <a:srgbClr val="435466"/>
          </a:solidFill>
        </xdr:spPr>
      </xdr:sp>
      <xdr:sp macro="" textlink="">
        <xdr:nvSpPr>
          <xdr:cNvPr id="41" name="Shape 41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SpPr/>
        </xdr:nvSpPr>
        <xdr:spPr>
          <a:xfrm>
            <a:off x="3175" y="3175"/>
            <a:ext cx="72390" cy="72390"/>
          </a:xfrm>
          <a:custGeom>
            <a:avLst/>
            <a:gdLst/>
            <a:ahLst/>
            <a:cxnLst/>
            <a:rect l="0" t="0" r="0" b="0"/>
            <a:pathLst>
              <a:path w="72390" h="72390">
                <a:moveTo>
                  <a:pt x="0" y="0"/>
                </a:moveTo>
                <a:lnTo>
                  <a:pt x="72008" y="0"/>
                </a:lnTo>
                <a:lnTo>
                  <a:pt x="72008" y="72009"/>
                </a:lnTo>
                <a:lnTo>
                  <a:pt x="0" y="72009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13</xdr:col>
      <xdr:colOff>44323</xdr:colOff>
      <xdr:row>104</xdr:row>
      <xdr:rowOff>824865</xdr:rowOff>
    </xdr:from>
    <xdr:ext cx="78740" cy="78740"/>
    <xdr:grpSp>
      <xdr:nvGrpSpPr>
        <xdr:cNvPr id="42" name="Group 4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GrpSpPr/>
      </xdr:nvGrpSpPr>
      <xdr:grpSpPr>
        <a:xfrm>
          <a:off x="2044573" y="17846040"/>
          <a:ext cx="78740" cy="78740"/>
          <a:chOff x="0" y="0"/>
          <a:chExt cx="78740" cy="78740"/>
        </a:xfrm>
      </xdr:grpSpPr>
      <xdr:sp macro="" textlink="">
        <xdr:nvSpPr>
          <xdr:cNvPr id="43" name="Shape 43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3175" y="3175"/>
            <a:ext cx="72390" cy="72390"/>
          </a:xfrm>
          <a:custGeom>
            <a:avLst/>
            <a:gdLst/>
            <a:ahLst/>
            <a:cxnLst/>
            <a:rect l="0" t="0" r="0" b="0"/>
            <a:pathLst>
              <a:path w="72390" h="72390">
                <a:moveTo>
                  <a:pt x="72008" y="0"/>
                </a:moveTo>
                <a:lnTo>
                  <a:pt x="0" y="0"/>
                </a:lnTo>
                <a:lnTo>
                  <a:pt x="0" y="72009"/>
                </a:lnTo>
                <a:lnTo>
                  <a:pt x="72008" y="72009"/>
                </a:lnTo>
                <a:lnTo>
                  <a:pt x="72008" y="0"/>
                </a:lnTo>
                <a:close/>
              </a:path>
            </a:pathLst>
          </a:custGeom>
          <a:solidFill>
            <a:srgbClr val="85AACD"/>
          </a:solidFill>
        </xdr:spPr>
      </xdr:sp>
      <xdr:sp macro="" textlink="">
        <xdr:nvSpPr>
          <xdr:cNvPr id="44" name="Shape 44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SpPr/>
        </xdr:nvSpPr>
        <xdr:spPr>
          <a:xfrm>
            <a:off x="3175" y="3175"/>
            <a:ext cx="72390" cy="72390"/>
          </a:xfrm>
          <a:custGeom>
            <a:avLst/>
            <a:gdLst/>
            <a:ahLst/>
            <a:cxnLst/>
            <a:rect l="0" t="0" r="0" b="0"/>
            <a:pathLst>
              <a:path w="72390" h="72390">
                <a:moveTo>
                  <a:pt x="0" y="0"/>
                </a:moveTo>
                <a:lnTo>
                  <a:pt x="72008" y="0"/>
                </a:lnTo>
                <a:lnTo>
                  <a:pt x="72008" y="72009"/>
                </a:lnTo>
                <a:lnTo>
                  <a:pt x="0" y="72009"/>
                </a:lnTo>
                <a:lnTo>
                  <a:pt x="0" y="0"/>
                </a:lnTo>
                <a:close/>
              </a:path>
            </a:pathLst>
          </a:custGeom>
          <a:ln w="6350">
            <a:solidFill>
              <a:srgbClr val="000000"/>
            </a:solidFill>
          </a:ln>
        </xdr:spPr>
      </xdr:sp>
    </xdr:grpSp>
    <xdr:clientData/>
  </xdr:oneCellAnchor>
  <xdr:oneCellAnchor>
    <xdr:from>
      <xdr:col>35</xdr:col>
      <xdr:colOff>247650</xdr:colOff>
      <xdr:row>95</xdr:row>
      <xdr:rowOff>142239</xdr:rowOff>
    </xdr:from>
    <xdr:ext cx="120650" cy="156845"/>
    <xdr:grpSp>
      <xdr:nvGrpSpPr>
        <xdr:cNvPr id="45" name="Group 45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GrpSpPr/>
      </xdr:nvGrpSpPr>
      <xdr:grpSpPr>
        <a:xfrm>
          <a:off x="6191250" y="15839439"/>
          <a:ext cx="120650" cy="156845"/>
          <a:chOff x="0" y="0"/>
          <a:chExt cx="120650" cy="156845"/>
        </a:xfrm>
      </xdr:grpSpPr>
      <xdr:sp macro="" textlink="">
        <xdr:nvSpPr>
          <xdr:cNvPr id="46" name="Shape 46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6350" y="6350"/>
            <a:ext cx="107950" cy="144145"/>
          </a:xfrm>
          <a:custGeom>
            <a:avLst/>
            <a:gdLst/>
            <a:ahLst/>
            <a:cxnLst/>
            <a:rect l="0" t="0" r="0" b="0"/>
            <a:pathLst>
              <a:path w="107950" h="144145">
                <a:moveTo>
                  <a:pt x="107950" y="0"/>
                </a:moveTo>
                <a:lnTo>
                  <a:pt x="0" y="0"/>
                </a:lnTo>
                <a:lnTo>
                  <a:pt x="0" y="144018"/>
                </a:lnTo>
                <a:lnTo>
                  <a:pt x="107950" y="144018"/>
                </a:lnTo>
                <a:lnTo>
                  <a:pt x="107950" y="0"/>
                </a:lnTo>
                <a:close/>
              </a:path>
            </a:pathLst>
          </a:custGeom>
          <a:solidFill>
            <a:srgbClr val="001845">
              <a:alpha val="50000"/>
            </a:srgbClr>
          </a:solidFill>
        </xdr:spPr>
      </xdr:sp>
      <xdr:sp macro="" textlink="">
        <xdr:nvSpPr>
          <xdr:cNvPr id="47" name="Shape 47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SpPr/>
        </xdr:nvSpPr>
        <xdr:spPr>
          <a:xfrm>
            <a:off x="6350" y="6350"/>
            <a:ext cx="107950" cy="144145"/>
          </a:xfrm>
          <a:custGeom>
            <a:avLst/>
            <a:gdLst/>
            <a:ahLst/>
            <a:cxnLst/>
            <a:rect l="0" t="0" r="0" b="0"/>
            <a:pathLst>
              <a:path w="107950" h="144145">
                <a:moveTo>
                  <a:pt x="0" y="144018"/>
                </a:moveTo>
                <a:lnTo>
                  <a:pt x="107950" y="144018"/>
                </a:lnTo>
                <a:lnTo>
                  <a:pt x="107950" y="0"/>
                </a:lnTo>
                <a:lnTo>
                  <a:pt x="0" y="0"/>
                </a:lnTo>
                <a:lnTo>
                  <a:pt x="0" y="144018"/>
                </a:lnTo>
                <a:close/>
              </a:path>
            </a:pathLst>
          </a:custGeom>
          <a:ln w="12700">
            <a:solidFill>
              <a:srgbClr val="001845"/>
            </a:solidFill>
          </a:ln>
        </xdr:spPr>
      </xdr:sp>
    </xdr:grpSp>
    <xdr:clientData/>
  </xdr:oneCellAnchor>
  <xdr:oneCellAnchor>
    <xdr:from>
      <xdr:col>2</xdr:col>
      <xdr:colOff>159004</xdr:colOff>
      <xdr:row>129</xdr:row>
      <xdr:rowOff>-1</xdr:rowOff>
    </xdr:from>
    <xdr:ext cx="3960495" cy="325120"/>
    <xdr:sp macro="" textlink="">
      <xdr:nvSpPr>
        <xdr:cNvPr id="48" name="Shape 48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0" y="0"/>
          <a:ext cx="3960495" cy="325120"/>
        </a:xfrm>
        <a:custGeom>
          <a:avLst/>
          <a:gdLst/>
          <a:ahLst/>
          <a:cxnLst/>
          <a:rect l="0" t="0" r="0" b="0"/>
          <a:pathLst>
            <a:path w="3960495" h="325120">
              <a:moveTo>
                <a:pt x="2375916" y="0"/>
              </a:moveTo>
              <a:lnTo>
                <a:pt x="1583944" y="0"/>
              </a:lnTo>
              <a:lnTo>
                <a:pt x="791972" y="0"/>
              </a:lnTo>
              <a:lnTo>
                <a:pt x="0" y="0"/>
              </a:lnTo>
              <a:lnTo>
                <a:pt x="0" y="144018"/>
              </a:lnTo>
              <a:lnTo>
                <a:pt x="0" y="181102"/>
              </a:lnTo>
              <a:lnTo>
                <a:pt x="0" y="325120"/>
              </a:lnTo>
              <a:lnTo>
                <a:pt x="791972" y="325120"/>
              </a:lnTo>
              <a:lnTo>
                <a:pt x="1583944" y="325120"/>
              </a:lnTo>
              <a:lnTo>
                <a:pt x="2375916" y="325120"/>
              </a:lnTo>
              <a:lnTo>
                <a:pt x="2375916" y="181102"/>
              </a:lnTo>
              <a:lnTo>
                <a:pt x="2375916" y="144018"/>
              </a:lnTo>
              <a:lnTo>
                <a:pt x="2375916" y="0"/>
              </a:lnTo>
              <a:close/>
            </a:path>
            <a:path w="3960495" h="325120">
              <a:moveTo>
                <a:pt x="3959987" y="0"/>
              </a:moveTo>
              <a:lnTo>
                <a:pt x="3168015" y="0"/>
              </a:lnTo>
              <a:lnTo>
                <a:pt x="2376043" y="0"/>
              </a:lnTo>
              <a:lnTo>
                <a:pt x="2376043" y="144018"/>
              </a:lnTo>
              <a:lnTo>
                <a:pt x="2376043" y="181102"/>
              </a:lnTo>
              <a:lnTo>
                <a:pt x="2376043" y="325120"/>
              </a:lnTo>
              <a:lnTo>
                <a:pt x="3168015" y="325120"/>
              </a:lnTo>
              <a:lnTo>
                <a:pt x="3959987" y="325120"/>
              </a:lnTo>
              <a:lnTo>
                <a:pt x="3959987" y="181102"/>
              </a:lnTo>
              <a:lnTo>
                <a:pt x="3959987" y="144018"/>
              </a:lnTo>
              <a:lnTo>
                <a:pt x="39599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twoCellAnchor editAs="oneCell">
    <xdr:from>
      <xdr:col>39</xdr:col>
      <xdr:colOff>466725</xdr:colOff>
      <xdr:row>61</xdr:row>
      <xdr:rowOff>19050</xdr:rowOff>
    </xdr:from>
    <xdr:to>
      <xdr:col>55</xdr:col>
      <xdr:colOff>306181</xdr:colOff>
      <xdr:row>105</xdr:row>
      <xdr:rowOff>58300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91E26810-094A-D535-6AEB-BEEB0344C4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24800" y="10382250"/>
          <a:ext cx="9897856" cy="82402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277495</xdr:colOff>
      <xdr:row>32</xdr:row>
      <xdr:rowOff>290195</xdr:rowOff>
    </xdr:from>
    <xdr:ext cx="719963" cy="719962"/>
    <xdr:pic>
      <xdr:nvPicPr>
        <xdr:cNvPr id="2" name="image1.png">
          <a:extLst>
            <a:ext uri="{FF2B5EF4-FFF2-40B4-BE49-F238E27FC236}">
              <a16:creationId xmlns:a16="http://schemas.microsoft.com/office/drawing/2014/main" id="{4469CCF9-A462-4356-A32F-023562884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4295" y="9100820"/>
          <a:ext cx="719963" cy="71996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1845564</xdr:rowOff>
    </xdr:from>
    <xdr:ext cx="213995" cy="112522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296DAFD3-AAC1-4C9E-BF19-D8342B51DB03}"/>
            </a:ext>
          </a:extLst>
        </xdr:cNvPr>
        <xdr:cNvSpPr/>
      </xdr:nvSpPr>
      <xdr:spPr>
        <a:xfrm>
          <a:off x="0" y="7817739"/>
          <a:ext cx="213995" cy="1125220"/>
        </a:xfrm>
        <a:custGeom>
          <a:avLst/>
          <a:gdLst/>
          <a:ahLst/>
          <a:cxnLst/>
          <a:rect l="0" t="0" r="0" b="0"/>
          <a:pathLst>
            <a:path w="213995" h="1125220">
              <a:moveTo>
                <a:pt x="213372" y="1106424"/>
              </a:moveTo>
              <a:lnTo>
                <a:pt x="0" y="1106424"/>
              </a:lnTo>
              <a:lnTo>
                <a:pt x="0" y="1124712"/>
              </a:lnTo>
              <a:lnTo>
                <a:pt x="213372" y="1124712"/>
              </a:lnTo>
              <a:lnTo>
                <a:pt x="213372" y="1106424"/>
              </a:lnTo>
              <a:close/>
            </a:path>
            <a:path w="213995" h="1125220">
              <a:moveTo>
                <a:pt x="213372" y="1088136"/>
              </a:moveTo>
              <a:lnTo>
                <a:pt x="0" y="1088136"/>
              </a:lnTo>
              <a:lnTo>
                <a:pt x="0" y="1097280"/>
              </a:lnTo>
              <a:lnTo>
                <a:pt x="213372" y="1097280"/>
              </a:lnTo>
              <a:lnTo>
                <a:pt x="213372" y="1088136"/>
              </a:lnTo>
              <a:close/>
            </a:path>
            <a:path w="213995" h="1125220">
              <a:moveTo>
                <a:pt x="213372" y="1042416"/>
              </a:moveTo>
              <a:lnTo>
                <a:pt x="0" y="1042416"/>
              </a:lnTo>
              <a:lnTo>
                <a:pt x="0" y="1069848"/>
              </a:lnTo>
              <a:lnTo>
                <a:pt x="213372" y="1069848"/>
              </a:lnTo>
              <a:lnTo>
                <a:pt x="213372" y="1042416"/>
              </a:lnTo>
              <a:close/>
            </a:path>
            <a:path w="213995" h="1125220">
              <a:moveTo>
                <a:pt x="213372" y="996696"/>
              </a:moveTo>
              <a:lnTo>
                <a:pt x="0" y="996696"/>
              </a:lnTo>
              <a:lnTo>
                <a:pt x="0" y="1024128"/>
              </a:lnTo>
              <a:lnTo>
                <a:pt x="213372" y="1024128"/>
              </a:lnTo>
              <a:lnTo>
                <a:pt x="213372" y="996696"/>
              </a:lnTo>
              <a:close/>
            </a:path>
            <a:path w="213995" h="1125220">
              <a:moveTo>
                <a:pt x="213372" y="978408"/>
              </a:moveTo>
              <a:lnTo>
                <a:pt x="0" y="978408"/>
              </a:lnTo>
              <a:lnTo>
                <a:pt x="0" y="987552"/>
              </a:lnTo>
              <a:lnTo>
                <a:pt x="213372" y="987552"/>
              </a:lnTo>
              <a:lnTo>
                <a:pt x="213372" y="978408"/>
              </a:lnTo>
              <a:close/>
            </a:path>
            <a:path w="213995" h="1125220">
              <a:moveTo>
                <a:pt x="213372" y="932688"/>
              </a:moveTo>
              <a:lnTo>
                <a:pt x="0" y="932688"/>
              </a:lnTo>
              <a:lnTo>
                <a:pt x="0" y="950976"/>
              </a:lnTo>
              <a:lnTo>
                <a:pt x="213372" y="950976"/>
              </a:lnTo>
              <a:lnTo>
                <a:pt x="213372" y="932688"/>
              </a:lnTo>
              <a:close/>
            </a:path>
            <a:path w="213995" h="1125220">
              <a:moveTo>
                <a:pt x="213372" y="886968"/>
              </a:moveTo>
              <a:lnTo>
                <a:pt x="0" y="886968"/>
              </a:lnTo>
              <a:lnTo>
                <a:pt x="0" y="923544"/>
              </a:lnTo>
              <a:lnTo>
                <a:pt x="213372" y="923544"/>
              </a:lnTo>
              <a:lnTo>
                <a:pt x="213372" y="886968"/>
              </a:lnTo>
              <a:close/>
            </a:path>
            <a:path w="213995" h="1125220">
              <a:moveTo>
                <a:pt x="213372" y="868680"/>
              </a:moveTo>
              <a:lnTo>
                <a:pt x="0" y="868680"/>
              </a:lnTo>
              <a:lnTo>
                <a:pt x="0" y="877824"/>
              </a:lnTo>
              <a:lnTo>
                <a:pt x="213372" y="877824"/>
              </a:lnTo>
              <a:lnTo>
                <a:pt x="213372" y="868680"/>
              </a:lnTo>
              <a:close/>
            </a:path>
            <a:path w="213995" h="1125220">
              <a:moveTo>
                <a:pt x="213372" y="841248"/>
              </a:moveTo>
              <a:lnTo>
                <a:pt x="0" y="841248"/>
              </a:lnTo>
              <a:lnTo>
                <a:pt x="0" y="850392"/>
              </a:lnTo>
              <a:lnTo>
                <a:pt x="213372" y="850392"/>
              </a:lnTo>
              <a:lnTo>
                <a:pt x="213372" y="841248"/>
              </a:lnTo>
              <a:close/>
            </a:path>
            <a:path w="213995" h="1125220">
              <a:moveTo>
                <a:pt x="213372" y="813816"/>
              </a:moveTo>
              <a:lnTo>
                <a:pt x="0" y="813816"/>
              </a:lnTo>
              <a:lnTo>
                <a:pt x="0" y="822960"/>
              </a:lnTo>
              <a:lnTo>
                <a:pt x="213372" y="822960"/>
              </a:lnTo>
              <a:lnTo>
                <a:pt x="213372" y="813816"/>
              </a:lnTo>
              <a:close/>
            </a:path>
            <a:path w="213995" h="1125220">
              <a:moveTo>
                <a:pt x="213372" y="758952"/>
              </a:moveTo>
              <a:lnTo>
                <a:pt x="0" y="758952"/>
              </a:lnTo>
              <a:lnTo>
                <a:pt x="0" y="795528"/>
              </a:lnTo>
              <a:lnTo>
                <a:pt x="213372" y="795528"/>
              </a:lnTo>
              <a:lnTo>
                <a:pt x="213372" y="758952"/>
              </a:lnTo>
              <a:close/>
            </a:path>
            <a:path w="213995" h="1125220">
              <a:moveTo>
                <a:pt x="213372" y="731520"/>
              </a:moveTo>
              <a:lnTo>
                <a:pt x="0" y="731520"/>
              </a:lnTo>
              <a:lnTo>
                <a:pt x="0" y="740664"/>
              </a:lnTo>
              <a:lnTo>
                <a:pt x="213372" y="740664"/>
              </a:lnTo>
              <a:lnTo>
                <a:pt x="213372" y="731520"/>
              </a:lnTo>
              <a:close/>
            </a:path>
            <a:path w="213995" h="1125220">
              <a:moveTo>
                <a:pt x="213372" y="704088"/>
              </a:moveTo>
              <a:lnTo>
                <a:pt x="0" y="704088"/>
              </a:lnTo>
              <a:lnTo>
                <a:pt x="0" y="722376"/>
              </a:lnTo>
              <a:lnTo>
                <a:pt x="213372" y="722376"/>
              </a:lnTo>
              <a:lnTo>
                <a:pt x="213372" y="704088"/>
              </a:lnTo>
              <a:close/>
            </a:path>
            <a:path w="213995" h="1125220">
              <a:moveTo>
                <a:pt x="213372" y="676656"/>
              </a:moveTo>
              <a:lnTo>
                <a:pt x="0" y="676656"/>
              </a:lnTo>
              <a:lnTo>
                <a:pt x="0" y="685800"/>
              </a:lnTo>
              <a:lnTo>
                <a:pt x="213372" y="685800"/>
              </a:lnTo>
              <a:lnTo>
                <a:pt x="213372" y="676656"/>
              </a:lnTo>
              <a:close/>
            </a:path>
            <a:path w="213995" h="1125220">
              <a:moveTo>
                <a:pt x="213372" y="640080"/>
              </a:moveTo>
              <a:lnTo>
                <a:pt x="0" y="640080"/>
              </a:lnTo>
              <a:lnTo>
                <a:pt x="0" y="649224"/>
              </a:lnTo>
              <a:lnTo>
                <a:pt x="213372" y="649224"/>
              </a:lnTo>
              <a:lnTo>
                <a:pt x="213372" y="640080"/>
              </a:lnTo>
              <a:close/>
            </a:path>
            <a:path w="213995" h="1125220">
              <a:moveTo>
                <a:pt x="213372" y="603504"/>
              </a:moveTo>
              <a:lnTo>
                <a:pt x="0" y="603504"/>
              </a:lnTo>
              <a:lnTo>
                <a:pt x="0" y="621792"/>
              </a:lnTo>
              <a:lnTo>
                <a:pt x="213372" y="621792"/>
              </a:lnTo>
              <a:lnTo>
                <a:pt x="213372" y="603504"/>
              </a:lnTo>
              <a:close/>
            </a:path>
            <a:path w="213995" h="1125220">
              <a:moveTo>
                <a:pt x="213372" y="576072"/>
              </a:moveTo>
              <a:lnTo>
                <a:pt x="0" y="576072"/>
              </a:lnTo>
              <a:lnTo>
                <a:pt x="0" y="594360"/>
              </a:lnTo>
              <a:lnTo>
                <a:pt x="213372" y="594360"/>
              </a:lnTo>
              <a:lnTo>
                <a:pt x="213372" y="576072"/>
              </a:lnTo>
              <a:close/>
            </a:path>
            <a:path w="213995" h="1125220">
              <a:moveTo>
                <a:pt x="213372" y="539496"/>
              </a:moveTo>
              <a:lnTo>
                <a:pt x="0" y="539496"/>
              </a:lnTo>
              <a:lnTo>
                <a:pt x="0" y="557784"/>
              </a:lnTo>
              <a:lnTo>
                <a:pt x="213372" y="557784"/>
              </a:lnTo>
              <a:lnTo>
                <a:pt x="213372" y="539496"/>
              </a:lnTo>
              <a:close/>
            </a:path>
            <a:path w="213995" h="1125220">
              <a:moveTo>
                <a:pt x="213372" y="512064"/>
              </a:moveTo>
              <a:lnTo>
                <a:pt x="0" y="512064"/>
              </a:lnTo>
              <a:lnTo>
                <a:pt x="0" y="521208"/>
              </a:lnTo>
              <a:lnTo>
                <a:pt x="213372" y="521208"/>
              </a:lnTo>
              <a:lnTo>
                <a:pt x="213372" y="512064"/>
              </a:lnTo>
              <a:close/>
            </a:path>
            <a:path w="213995" h="1125220">
              <a:moveTo>
                <a:pt x="213372" y="484632"/>
              </a:moveTo>
              <a:lnTo>
                <a:pt x="0" y="484632"/>
              </a:lnTo>
              <a:lnTo>
                <a:pt x="0" y="493776"/>
              </a:lnTo>
              <a:lnTo>
                <a:pt x="213372" y="493776"/>
              </a:lnTo>
              <a:lnTo>
                <a:pt x="213372" y="484632"/>
              </a:lnTo>
              <a:close/>
            </a:path>
            <a:path w="213995" h="1125220">
              <a:moveTo>
                <a:pt x="213372" y="438912"/>
              </a:moveTo>
              <a:lnTo>
                <a:pt x="0" y="438912"/>
              </a:lnTo>
              <a:lnTo>
                <a:pt x="0" y="457200"/>
              </a:lnTo>
              <a:lnTo>
                <a:pt x="213372" y="457200"/>
              </a:lnTo>
              <a:lnTo>
                <a:pt x="213372" y="438912"/>
              </a:lnTo>
              <a:close/>
            </a:path>
            <a:path w="213995" h="1125220">
              <a:moveTo>
                <a:pt x="213372" y="411480"/>
              </a:moveTo>
              <a:lnTo>
                <a:pt x="0" y="411480"/>
              </a:lnTo>
              <a:lnTo>
                <a:pt x="0" y="420624"/>
              </a:lnTo>
              <a:lnTo>
                <a:pt x="213372" y="420624"/>
              </a:lnTo>
              <a:lnTo>
                <a:pt x="213372" y="411480"/>
              </a:lnTo>
              <a:close/>
            </a:path>
            <a:path w="213995" h="1125220">
              <a:moveTo>
                <a:pt x="213372" y="384048"/>
              </a:moveTo>
              <a:lnTo>
                <a:pt x="0" y="384048"/>
              </a:lnTo>
              <a:lnTo>
                <a:pt x="0" y="402336"/>
              </a:lnTo>
              <a:lnTo>
                <a:pt x="213372" y="402336"/>
              </a:lnTo>
              <a:lnTo>
                <a:pt x="213372" y="384048"/>
              </a:lnTo>
              <a:close/>
            </a:path>
            <a:path w="213995" h="1125220">
              <a:moveTo>
                <a:pt x="213372" y="338328"/>
              </a:moveTo>
              <a:lnTo>
                <a:pt x="0" y="338328"/>
              </a:lnTo>
              <a:lnTo>
                <a:pt x="0" y="365760"/>
              </a:lnTo>
              <a:lnTo>
                <a:pt x="213372" y="365760"/>
              </a:lnTo>
              <a:lnTo>
                <a:pt x="213372" y="338328"/>
              </a:lnTo>
              <a:close/>
            </a:path>
            <a:path w="213995" h="1125220">
              <a:moveTo>
                <a:pt x="213372" y="310896"/>
              </a:moveTo>
              <a:lnTo>
                <a:pt x="0" y="310896"/>
              </a:lnTo>
              <a:lnTo>
                <a:pt x="0" y="320040"/>
              </a:lnTo>
              <a:lnTo>
                <a:pt x="213372" y="320040"/>
              </a:lnTo>
              <a:lnTo>
                <a:pt x="213372" y="310896"/>
              </a:lnTo>
              <a:close/>
            </a:path>
            <a:path w="213995" h="1125220">
              <a:moveTo>
                <a:pt x="213372" y="283464"/>
              </a:moveTo>
              <a:lnTo>
                <a:pt x="0" y="283464"/>
              </a:lnTo>
              <a:lnTo>
                <a:pt x="0" y="292608"/>
              </a:lnTo>
              <a:lnTo>
                <a:pt x="213372" y="292608"/>
              </a:lnTo>
              <a:lnTo>
                <a:pt x="213372" y="283464"/>
              </a:lnTo>
              <a:close/>
            </a:path>
            <a:path w="213995" h="1125220">
              <a:moveTo>
                <a:pt x="213372" y="228600"/>
              </a:moveTo>
              <a:lnTo>
                <a:pt x="0" y="228600"/>
              </a:lnTo>
              <a:lnTo>
                <a:pt x="0" y="265176"/>
              </a:lnTo>
              <a:lnTo>
                <a:pt x="213372" y="265176"/>
              </a:lnTo>
              <a:lnTo>
                <a:pt x="213372" y="228600"/>
              </a:lnTo>
              <a:close/>
            </a:path>
            <a:path w="213995" h="1125220">
              <a:moveTo>
                <a:pt x="213372" y="201168"/>
              </a:moveTo>
              <a:lnTo>
                <a:pt x="0" y="201168"/>
              </a:lnTo>
              <a:lnTo>
                <a:pt x="0" y="219456"/>
              </a:lnTo>
              <a:lnTo>
                <a:pt x="213372" y="219456"/>
              </a:lnTo>
              <a:lnTo>
                <a:pt x="213372" y="201168"/>
              </a:lnTo>
              <a:close/>
            </a:path>
            <a:path w="213995" h="1125220">
              <a:moveTo>
                <a:pt x="213372" y="164592"/>
              </a:moveTo>
              <a:lnTo>
                <a:pt x="0" y="164592"/>
              </a:lnTo>
              <a:lnTo>
                <a:pt x="0" y="192024"/>
              </a:lnTo>
              <a:lnTo>
                <a:pt x="213372" y="192024"/>
              </a:lnTo>
              <a:lnTo>
                <a:pt x="213372" y="164592"/>
              </a:lnTo>
              <a:close/>
            </a:path>
            <a:path w="213995" h="1125220">
              <a:moveTo>
                <a:pt x="213372" y="128016"/>
              </a:moveTo>
              <a:lnTo>
                <a:pt x="0" y="128016"/>
              </a:lnTo>
              <a:lnTo>
                <a:pt x="0" y="137160"/>
              </a:lnTo>
              <a:lnTo>
                <a:pt x="213372" y="137160"/>
              </a:lnTo>
              <a:lnTo>
                <a:pt x="213372" y="128016"/>
              </a:lnTo>
              <a:close/>
            </a:path>
            <a:path w="213995" h="1125220">
              <a:moveTo>
                <a:pt x="213372" y="100584"/>
              </a:moveTo>
              <a:lnTo>
                <a:pt x="0" y="100584"/>
              </a:lnTo>
              <a:lnTo>
                <a:pt x="0" y="118872"/>
              </a:lnTo>
              <a:lnTo>
                <a:pt x="213372" y="118872"/>
              </a:lnTo>
              <a:lnTo>
                <a:pt x="213372" y="100584"/>
              </a:lnTo>
              <a:close/>
            </a:path>
            <a:path w="213995" h="1125220">
              <a:moveTo>
                <a:pt x="213372" y="45720"/>
              </a:moveTo>
              <a:lnTo>
                <a:pt x="0" y="45720"/>
              </a:lnTo>
              <a:lnTo>
                <a:pt x="0" y="73152"/>
              </a:lnTo>
              <a:lnTo>
                <a:pt x="213372" y="73152"/>
              </a:lnTo>
              <a:lnTo>
                <a:pt x="213372" y="45720"/>
              </a:lnTo>
              <a:close/>
            </a:path>
            <a:path w="213995" h="1125220">
              <a:moveTo>
                <a:pt x="213372" y="27432"/>
              </a:moveTo>
              <a:lnTo>
                <a:pt x="0" y="27432"/>
              </a:lnTo>
              <a:lnTo>
                <a:pt x="0" y="36576"/>
              </a:lnTo>
              <a:lnTo>
                <a:pt x="213372" y="36576"/>
              </a:lnTo>
              <a:lnTo>
                <a:pt x="213372" y="27432"/>
              </a:lnTo>
              <a:close/>
            </a:path>
            <a:path w="213995" h="1125220">
              <a:moveTo>
                <a:pt x="213372" y="0"/>
              </a:moveTo>
              <a:lnTo>
                <a:pt x="0" y="0"/>
              </a:lnTo>
              <a:lnTo>
                <a:pt x="0" y="18288"/>
              </a:lnTo>
              <a:lnTo>
                <a:pt x="213372" y="18288"/>
              </a:lnTo>
              <a:lnTo>
                <a:pt x="213372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15</xdr:col>
      <xdr:colOff>116585</xdr:colOff>
      <xdr:row>4</xdr:row>
      <xdr:rowOff>55752</xdr:rowOff>
    </xdr:from>
    <xdr:ext cx="2162175" cy="304800"/>
    <xdr:grpSp>
      <xdr:nvGrpSpPr>
        <xdr:cNvPr id="4" name="Group 4">
          <a:extLst>
            <a:ext uri="{FF2B5EF4-FFF2-40B4-BE49-F238E27FC236}">
              <a16:creationId xmlns:a16="http://schemas.microsoft.com/office/drawing/2014/main" id="{13D7F56B-7899-45EF-9CA0-6B066DCE172E}"/>
            </a:ext>
          </a:extLst>
        </xdr:cNvPr>
        <xdr:cNvGrpSpPr/>
      </xdr:nvGrpSpPr>
      <xdr:grpSpPr>
        <a:xfrm>
          <a:off x="4889668" y="690752"/>
          <a:ext cx="2162175" cy="304800"/>
          <a:chOff x="0" y="0"/>
          <a:chExt cx="2162175" cy="304800"/>
        </a:xfrm>
      </xdr:grpSpPr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91ABD173-C348-4208-01B1-CDEE7490B978}"/>
              </a:ext>
            </a:extLst>
          </xdr:cNvPr>
          <xdr:cNvSpPr/>
        </xdr:nvSpPr>
        <xdr:spPr>
          <a:xfrm>
            <a:off x="0" y="0"/>
            <a:ext cx="2121535" cy="304800"/>
          </a:xfrm>
          <a:custGeom>
            <a:avLst/>
            <a:gdLst/>
            <a:ahLst/>
            <a:cxnLst/>
            <a:rect l="0" t="0" r="0" b="0"/>
            <a:pathLst>
              <a:path w="2121535" h="304800">
                <a:moveTo>
                  <a:pt x="16256" y="0"/>
                </a:moveTo>
                <a:lnTo>
                  <a:pt x="0" y="0"/>
                </a:lnTo>
                <a:lnTo>
                  <a:pt x="0" y="304800"/>
                </a:lnTo>
                <a:lnTo>
                  <a:pt x="16256" y="304800"/>
                </a:lnTo>
                <a:lnTo>
                  <a:pt x="16256" y="0"/>
                </a:lnTo>
                <a:close/>
              </a:path>
              <a:path w="2121535" h="304800">
                <a:moveTo>
                  <a:pt x="32512" y="0"/>
                </a:moveTo>
                <a:lnTo>
                  <a:pt x="24384" y="0"/>
                </a:lnTo>
                <a:lnTo>
                  <a:pt x="24384" y="304800"/>
                </a:lnTo>
                <a:lnTo>
                  <a:pt x="32512" y="304800"/>
                </a:lnTo>
                <a:lnTo>
                  <a:pt x="32512" y="0"/>
                </a:lnTo>
                <a:close/>
              </a:path>
              <a:path w="2121535" h="304800">
                <a:moveTo>
                  <a:pt x="73152" y="0"/>
                </a:moveTo>
                <a:lnTo>
                  <a:pt x="48768" y="0"/>
                </a:lnTo>
                <a:lnTo>
                  <a:pt x="48768" y="304800"/>
                </a:lnTo>
                <a:lnTo>
                  <a:pt x="73152" y="304800"/>
                </a:lnTo>
                <a:lnTo>
                  <a:pt x="73152" y="0"/>
                </a:lnTo>
                <a:close/>
              </a:path>
              <a:path w="2121535" h="304800">
                <a:moveTo>
                  <a:pt x="105664" y="0"/>
                </a:moveTo>
                <a:lnTo>
                  <a:pt x="89408" y="0"/>
                </a:lnTo>
                <a:lnTo>
                  <a:pt x="89408" y="304800"/>
                </a:lnTo>
                <a:lnTo>
                  <a:pt x="105664" y="304800"/>
                </a:lnTo>
                <a:lnTo>
                  <a:pt x="105664" y="0"/>
                </a:lnTo>
                <a:close/>
              </a:path>
              <a:path w="2121535" h="304800">
                <a:moveTo>
                  <a:pt x="130048" y="0"/>
                </a:moveTo>
                <a:lnTo>
                  <a:pt x="121920" y="0"/>
                </a:lnTo>
                <a:lnTo>
                  <a:pt x="121920" y="304800"/>
                </a:lnTo>
                <a:lnTo>
                  <a:pt x="130048" y="304800"/>
                </a:lnTo>
                <a:lnTo>
                  <a:pt x="130048" y="0"/>
                </a:lnTo>
                <a:close/>
              </a:path>
              <a:path w="2121535" h="304800">
                <a:moveTo>
                  <a:pt x="170688" y="0"/>
                </a:moveTo>
                <a:lnTo>
                  <a:pt x="146304" y="0"/>
                </a:lnTo>
                <a:lnTo>
                  <a:pt x="146304" y="304800"/>
                </a:lnTo>
                <a:lnTo>
                  <a:pt x="170688" y="304800"/>
                </a:lnTo>
                <a:lnTo>
                  <a:pt x="170688" y="0"/>
                </a:lnTo>
                <a:close/>
              </a:path>
              <a:path w="2121535" h="304800">
                <a:moveTo>
                  <a:pt x="203200" y="0"/>
                </a:moveTo>
                <a:lnTo>
                  <a:pt x="178816" y="0"/>
                </a:lnTo>
                <a:lnTo>
                  <a:pt x="178816" y="304800"/>
                </a:lnTo>
                <a:lnTo>
                  <a:pt x="203200" y="304800"/>
                </a:lnTo>
                <a:lnTo>
                  <a:pt x="203200" y="0"/>
                </a:lnTo>
                <a:close/>
              </a:path>
              <a:path w="2121535" h="304800">
                <a:moveTo>
                  <a:pt x="227584" y="0"/>
                </a:moveTo>
                <a:lnTo>
                  <a:pt x="219456" y="0"/>
                </a:lnTo>
                <a:lnTo>
                  <a:pt x="219456" y="304800"/>
                </a:lnTo>
                <a:lnTo>
                  <a:pt x="227584" y="304800"/>
                </a:lnTo>
                <a:lnTo>
                  <a:pt x="227584" y="0"/>
                </a:lnTo>
                <a:close/>
              </a:path>
              <a:path w="2121535" h="304800">
                <a:moveTo>
                  <a:pt x="251968" y="0"/>
                </a:moveTo>
                <a:lnTo>
                  <a:pt x="235712" y="0"/>
                </a:lnTo>
                <a:lnTo>
                  <a:pt x="235712" y="304800"/>
                </a:lnTo>
                <a:lnTo>
                  <a:pt x="251968" y="304800"/>
                </a:lnTo>
                <a:lnTo>
                  <a:pt x="251968" y="0"/>
                </a:lnTo>
                <a:close/>
              </a:path>
              <a:path w="2121535" h="304800">
                <a:moveTo>
                  <a:pt x="276352" y="0"/>
                </a:moveTo>
                <a:lnTo>
                  <a:pt x="268224" y="0"/>
                </a:lnTo>
                <a:lnTo>
                  <a:pt x="268224" y="304800"/>
                </a:lnTo>
                <a:lnTo>
                  <a:pt x="276352" y="304800"/>
                </a:lnTo>
                <a:lnTo>
                  <a:pt x="276352" y="0"/>
                </a:lnTo>
                <a:close/>
              </a:path>
              <a:path w="2121535" h="304800">
                <a:moveTo>
                  <a:pt x="300736" y="0"/>
                </a:moveTo>
                <a:lnTo>
                  <a:pt x="292608" y="0"/>
                </a:lnTo>
                <a:lnTo>
                  <a:pt x="292608" y="304800"/>
                </a:lnTo>
                <a:lnTo>
                  <a:pt x="300736" y="304800"/>
                </a:lnTo>
                <a:lnTo>
                  <a:pt x="300736" y="0"/>
                </a:lnTo>
                <a:close/>
              </a:path>
              <a:path w="2121535" h="304800">
                <a:moveTo>
                  <a:pt x="341376" y="0"/>
                </a:moveTo>
                <a:lnTo>
                  <a:pt x="325120" y="0"/>
                </a:lnTo>
                <a:lnTo>
                  <a:pt x="325120" y="304800"/>
                </a:lnTo>
                <a:lnTo>
                  <a:pt x="341376" y="304800"/>
                </a:lnTo>
                <a:lnTo>
                  <a:pt x="341376" y="0"/>
                </a:lnTo>
                <a:close/>
              </a:path>
              <a:path w="2121535" h="304800">
                <a:moveTo>
                  <a:pt x="382016" y="0"/>
                </a:moveTo>
                <a:lnTo>
                  <a:pt x="357632" y="0"/>
                </a:lnTo>
                <a:lnTo>
                  <a:pt x="357632" y="304800"/>
                </a:lnTo>
                <a:lnTo>
                  <a:pt x="382016" y="304800"/>
                </a:lnTo>
                <a:lnTo>
                  <a:pt x="382016" y="0"/>
                </a:lnTo>
                <a:close/>
              </a:path>
              <a:path w="2121535" h="304800">
                <a:moveTo>
                  <a:pt x="406400" y="0"/>
                </a:moveTo>
                <a:lnTo>
                  <a:pt x="398272" y="0"/>
                </a:lnTo>
                <a:lnTo>
                  <a:pt x="398272" y="304800"/>
                </a:lnTo>
                <a:lnTo>
                  <a:pt x="406400" y="304800"/>
                </a:lnTo>
                <a:lnTo>
                  <a:pt x="406400" y="0"/>
                </a:lnTo>
                <a:close/>
              </a:path>
              <a:path w="2121535" h="304800">
                <a:moveTo>
                  <a:pt x="430784" y="0"/>
                </a:moveTo>
                <a:lnTo>
                  <a:pt x="414528" y="0"/>
                </a:lnTo>
                <a:lnTo>
                  <a:pt x="414528" y="304800"/>
                </a:lnTo>
                <a:lnTo>
                  <a:pt x="430784" y="304800"/>
                </a:lnTo>
                <a:lnTo>
                  <a:pt x="430784" y="0"/>
                </a:lnTo>
                <a:close/>
              </a:path>
              <a:path w="2121535" h="304800">
                <a:moveTo>
                  <a:pt x="471424" y="0"/>
                </a:moveTo>
                <a:lnTo>
                  <a:pt x="447040" y="0"/>
                </a:lnTo>
                <a:lnTo>
                  <a:pt x="447040" y="304800"/>
                </a:lnTo>
                <a:lnTo>
                  <a:pt x="471424" y="304800"/>
                </a:lnTo>
                <a:lnTo>
                  <a:pt x="471424" y="0"/>
                </a:lnTo>
                <a:close/>
              </a:path>
              <a:path w="2121535" h="304800">
                <a:moveTo>
                  <a:pt x="487680" y="0"/>
                </a:moveTo>
                <a:lnTo>
                  <a:pt x="479552" y="0"/>
                </a:lnTo>
                <a:lnTo>
                  <a:pt x="479552" y="304800"/>
                </a:lnTo>
                <a:lnTo>
                  <a:pt x="487680" y="304800"/>
                </a:lnTo>
                <a:lnTo>
                  <a:pt x="487680" y="0"/>
                </a:lnTo>
                <a:close/>
              </a:path>
              <a:path w="2121535" h="304800">
                <a:moveTo>
                  <a:pt x="528320" y="0"/>
                </a:moveTo>
                <a:lnTo>
                  <a:pt x="512064" y="0"/>
                </a:lnTo>
                <a:lnTo>
                  <a:pt x="512064" y="304800"/>
                </a:lnTo>
                <a:lnTo>
                  <a:pt x="528320" y="304800"/>
                </a:lnTo>
                <a:lnTo>
                  <a:pt x="528320" y="0"/>
                </a:lnTo>
                <a:close/>
              </a:path>
              <a:path w="2121535" h="304800">
                <a:moveTo>
                  <a:pt x="544576" y="0"/>
                </a:moveTo>
                <a:lnTo>
                  <a:pt x="536448" y="0"/>
                </a:lnTo>
                <a:lnTo>
                  <a:pt x="536448" y="304800"/>
                </a:lnTo>
                <a:lnTo>
                  <a:pt x="544576" y="304800"/>
                </a:lnTo>
                <a:lnTo>
                  <a:pt x="544576" y="0"/>
                </a:lnTo>
                <a:close/>
              </a:path>
              <a:path w="2121535" h="304800">
                <a:moveTo>
                  <a:pt x="560832" y="0"/>
                </a:moveTo>
                <a:lnTo>
                  <a:pt x="552704" y="0"/>
                </a:lnTo>
                <a:lnTo>
                  <a:pt x="552704" y="304800"/>
                </a:lnTo>
                <a:lnTo>
                  <a:pt x="560832" y="304800"/>
                </a:lnTo>
                <a:lnTo>
                  <a:pt x="560832" y="0"/>
                </a:lnTo>
                <a:close/>
              </a:path>
              <a:path w="2121535" h="304800">
                <a:moveTo>
                  <a:pt x="609600" y="0"/>
                </a:moveTo>
                <a:lnTo>
                  <a:pt x="577088" y="0"/>
                </a:lnTo>
                <a:lnTo>
                  <a:pt x="577088" y="304800"/>
                </a:lnTo>
                <a:lnTo>
                  <a:pt x="609600" y="304800"/>
                </a:lnTo>
                <a:lnTo>
                  <a:pt x="609600" y="0"/>
                </a:lnTo>
                <a:close/>
              </a:path>
              <a:path w="2121535" h="304800">
                <a:moveTo>
                  <a:pt x="633984" y="0"/>
                </a:moveTo>
                <a:lnTo>
                  <a:pt x="625856" y="0"/>
                </a:lnTo>
                <a:lnTo>
                  <a:pt x="625856" y="304800"/>
                </a:lnTo>
                <a:lnTo>
                  <a:pt x="633984" y="304800"/>
                </a:lnTo>
                <a:lnTo>
                  <a:pt x="633984" y="0"/>
                </a:lnTo>
                <a:close/>
              </a:path>
              <a:path w="2121535" h="304800">
                <a:moveTo>
                  <a:pt x="658368" y="0"/>
                </a:moveTo>
                <a:lnTo>
                  <a:pt x="650240" y="0"/>
                </a:lnTo>
                <a:lnTo>
                  <a:pt x="650240" y="304800"/>
                </a:lnTo>
                <a:lnTo>
                  <a:pt x="658368" y="304800"/>
                </a:lnTo>
                <a:lnTo>
                  <a:pt x="658368" y="0"/>
                </a:lnTo>
                <a:close/>
              </a:path>
              <a:path w="2121535" h="304800">
                <a:moveTo>
                  <a:pt x="699008" y="0"/>
                </a:moveTo>
                <a:lnTo>
                  <a:pt x="682752" y="0"/>
                </a:lnTo>
                <a:lnTo>
                  <a:pt x="682752" y="304800"/>
                </a:lnTo>
                <a:lnTo>
                  <a:pt x="699008" y="304800"/>
                </a:lnTo>
                <a:lnTo>
                  <a:pt x="699008" y="0"/>
                </a:lnTo>
                <a:close/>
              </a:path>
              <a:path w="2121535" h="304800">
                <a:moveTo>
                  <a:pt x="723392" y="0"/>
                </a:moveTo>
                <a:lnTo>
                  <a:pt x="715264" y="0"/>
                </a:lnTo>
                <a:lnTo>
                  <a:pt x="715264" y="304800"/>
                </a:lnTo>
                <a:lnTo>
                  <a:pt x="723392" y="304800"/>
                </a:lnTo>
                <a:lnTo>
                  <a:pt x="723392" y="0"/>
                </a:lnTo>
                <a:close/>
              </a:path>
              <a:path w="2121535" h="304800">
                <a:moveTo>
                  <a:pt x="747776" y="0"/>
                </a:moveTo>
                <a:lnTo>
                  <a:pt x="731520" y="0"/>
                </a:lnTo>
                <a:lnTo>
                  <a:pt x="731520" y="304800"/>
                </a:lnTo>
                <a:lnTo>
                  <a:pt x="747776" y="304800"/>
                </a:lnTo>
                <a:lnTo>
                  <a:pt x="747776" y="0"/>
                </a:lnTo>
                <a:close/>
              </a:path>
              <a:path w="2121535" h="304800">
                <a:moveTo>
                  <a:pt x="788416" y="0"/>
                </a:moveTo>
                <a:lnTo>
                  <a:pt x="764032" y="0"/>
                </a:lnTo>
                <a:lnTo>
                  <a:pt x="764032" y="304800"/>
                </a:lnTo>
                <a:lnTo>
                  <a:pt x="788416" y="304800"/>
                </a:lnTo>
                <a:lnTo>
                  <a:pt x="788416" y="0"/>
                </a:lnTo>
                <a:close/>
              </a:path>
              <a:path w="2121535" h="304800">
                <a:moveTo>
                  <a:pt x="812800" y="0"/>
                </a:moveTo>
                <a:lnTo>
                  <a:pt x="804672" y="0"/>
                </a:lnTo>
                <a:lnTo>
                  <a:pt x="804672" y="304800"/>
                </a:lnTo>
                <a:lnTo>
                  <a:pt x="812800" y="304800"/>
                </a:lnTo>
                <a:lnTo>
                  <a:pt x="812800" y="0"/>
                </a:lnTo>
                <a:close/>
              </a:path>
              <a:path w="2121535" h="304800">
                <a:moveTo>
                  <a:pt x="837184" y="0"/>
                </a:moveTo>
                <a:lnTo>
                  <a:pt x="829056" y="0"/>
                </a:lnTo>
                <a:lnTo>
                  <a:pt x="829056" y="304800"/>
                </a:lnTo>
                <a:lnTo>
                  <a:pt x="837184" y="304800"/>
                </a:lnTo>
                <a:lnTo>
                  <a:pt x="837184" y="0"/>
                </a:lnTo>
                <a:close/>
              </a:path>
              <a:path w="2121535" h="304800">
                <a:moveTo>
                  <a:pt x="885952" y="0"/>
                </a:moveTo>
                <a:lnTo>
                  <a:pt x="853440" y="0"/>
                </a:lnTo>
                <a:lnTo>
                  <a:pt x="853440" y="304800"/>
                </a:lnTo>
                <a:lnTo>
                  <a:pt x="885952" y="304800"/>
                </a:lnTo>
                <a:lnTo>
                  <a:pt x="885952" y="0"/>
                </a:lnTo>
                <a:close/>
              </a:path>
              <a:path w="2121535" h="304800">
                <a:moveTo>
                  <a:pt x="902208" y="0"/>
                </a:moveTo>
                <a:lnTo>
                  <a:pt x="894080" y="0"/>
                </a:lnTo>
                <a:lnTo>
                  <a:pt x="894080" y="304800"/>
                </a:lnTo>
                <a:lnTo>
                  <a:pt x="902208" y="304800"/>
                </a:lnTo>
                <a:lnTo>
                  <a:pt x="902208" y="0"/>
                </a:lnTo>
                <a:close/>
              </a:path>
              <a:path w="2121535" h="304800">
                <a:moveTo>
                  <a:pt x="942848" y="0"/>
                </a:moveTo>
                <a:lnTo>
                  <a:pt x="910336" y="0"/>
                </a:lnTo>
                <a:lnTo>
                  <a:pt x="910336" y="304800"/>
                </a:lnTo>
                <a:lnTo>
                  <a:pt x="942848" y="304800"/>
                </a:lnTo>
                <a:lnTo>
                  <a:pt x="942848" y="0"/>
                </a:lnTo>
                <a:close/>
              </a:path>
              <a:path w="2121535" h="304800">
                <a:moveTo>
                  <a:pt x="975360" y="0"/>
                </a:moveTo>
                <a:lnTo>
                  <a:pt x="950976" y="0"/>
                </a:lnTo>
                <a:lnTo>
                  <a:pt x="950976" y="304800"/>
                </a:lnTo>
                <a:lnTo>
                  <a:pt x="975360" y="304800"/>
                </a:lnTo>
                <a:lnTo>
                  <a:pt x="975360" y="0"/>
                </a:lnTo>
                <a:close/>
              </a:path>
              <a:path w="2121535" h="304800">
                <a:moveTo>
                  <a:pt x="991616" y="0"/>
                </a:moveTo>
                <a:lnTo>
                  <a:pt x="983488" y="0"/>
                </a:lnTo>
                <a:lnTo>
                  <a:pt x="983488" y="304800"/>
                </a:lnTo>
                <a:lnTo>
                  <a:pt x="991616" y="304800"/>
                </a:lnTo>
                <a:lnTo>
                  <a:pt x="991616" y="0"/>
                </a:lnTo>
                <a:close/>
              </a:path>
              <a:path w="2121535" h="304800">
                <a:moveTo>
                  <a:pt x="1032256" y="0"/>
                </a:moveTo>
                <a:lnTo>
                  <a:pt x="1016000" y="0"/>
                </a:lnTo>
                <a:lnTo>
                  <a:pt x="1016000" y="304800"/>
                </a:lnTo>
                <a:lnTo>
                  <a:pt x="1032256" y="304800"/>
                </a:lnTo>
                <a:lnTo>
                  <a:pt x="1032256" y="0"/>
                </a:lnTo>
                <a:close/>
              </a:path>
              <a:path w="2121535" h="304800">
                <a:moveTo>
                  <a:pt x="1064768" y="0"/>
                </a:moveTo>
                <a:lnTo>
                  <a:pt x="1056640" y="0"/>
                </a:lnTo>
                <a:lnTo>
                  <a:pt x="1056640" y="304800"/>
                </a:lnTo>
                <a:lnTo>
                  <a:pt x="1064768" y="304800"/>
                </a:lnTo>
                <a:lnTo>
                  <a:pt x="1064768" y="0"/>
                </a:lnTo>
                <a:close/>
              </a:path>
              <a:path w="2121535" h="304800">
                <a:moveTo>
                  <a:pt x="1081024" y="0"/>
                </a:moveTo>
                <a:lnTo>
                  <a:pt x="1072896" y="0"/>
                </a:lnTo>
                <a:lnTo>
                  <a:pt x="1072896" y="304800"/>
                </a:lnTo>
                <a:lnTo>
                  <a:pt x="1081024" y="304800"/>
                </a:lnTo>
                <a:lnTo>
                  <a:pt x="1081024" y="0"/>
                </a:lnTo>
                <a:close/>
              </a:path>
              <a:path w="2121535" h="304800">
                <a:moveTo>
                  <a:pt x="1113536" y="0"/>
                </a:moveTo>
                <a:lnTo>
                  <a:pt x="1089152" y="0"/>
                </a:lnTo>
                <a:lnTo>
                  <a:pt x="1089152" y="304800"/>
                </a:lnTo>
                <a:lnTo>
                  <a:pt x="1113536" y="304800"/>
                </a:lnTo>
                <a:lnTo>
                  <a:pt x="1113536" y="0"/>
                </a:lnTo>
                <a:close/>
              </a:path>
              <a:path w="2121535" h="304800">
                <a:moveTo>
                  <a:pt x="1137920" y="0"/>
                </a:moveTo>
                <a:lnTo>
                  <a:pt x="1121664" y="0"/>
                </a:lnTo>
                <a:lnTo>
                  <a:pt x="1121664" y="304800"/>
                </a:lnTo>
                <a:lnTo>
                  <a:pt x="1137920" y="304800"/>
                </a:lnTo>
                <a:lnTo>
                  <a:pt x="1137920" y="0"/>
                </a:lnTo>
                <a:close/>
              </a:path>
              <a:path w="2121535" h="304800">
                <a:moveTo>
                  <a:pt x="1170432" y="0"/>
                </a:moveTo>
                <a:lnTo>
                  <a:pt x="1162304" y="0"/>
                </a:lnTo>
                <a:lnTo>
                  <a:pt x="1162304" y="304800"/>
                </a:lnTo>
                <a:lnTo>
                  <a:pt x="1170432" y="304800"/>
                </a:lnTo>
                <a:lnTo>
                  <a:pt x="1170432" y="0"/>
                </a:lnTo>
                <a:close/>
              </a:path>
              <a:path w="2121535" h="304800">
                <a:moveTo>
                  <a:pt x="1202944" y="0"/>
                </a:moveTo>
                <a:lnTo>
                  <a:pt x="1194816" y="0"/>
                </a:lnTo>
                <a:lnTo>
                  <a:pt x="1194816" y="304800"/>
                </a:lnTo>
                <a:lnTo>
                  <a:pt x="1202944" y="304800"/>
                </a:lnTo>
                <a:lnTo>
                  <a:pt x="1202944" y="0"/>
                </a:lnTo>
                <a:close/>
              </a:path>
              <a:path w="2121535" h="304800">
                <a:moveTo>
                  <a:pt x="1243584" y="0"/>
                </a:moveTo>
                <a:lnTo>
                  <a:pt x="1227328" y="0"/>
                </a:lnTo>
                <a:lnTo>
                  <a:pt x="1227328" y="304800"/>
                </a:lnTo>
                <a:lnTo>
                  <a:pt x="1243584" y="304800"/>
                </a:lnTo>
                <a:lnTo>
                  <a:pt x="1243584" y="0"/>
                </a:lnTo>
                <a:close/>
              </a:path>
              <a:path w="2121535" h="304800">
                <a:moveTo>
                  <a:pt x="1267968" y="0"/>
                </a:moveTo>
                <a:lnTo>
                  <a:pt x="1251712" y="0"/>
                </a:lnTo>
                <a:lnTo>
                  <a:pt x="1251712" y="304800"/>
                </a:lnTo>
                <a:lnTo>
                  <a:pt x="1267968" y="304800"/>
                </a:lnTo>
                <a:lnTo>
                  <a:pt x="1267968" y="0"/>
                </a:lnTo>
                <a:close/>
              </a:path>
              <a:path w="2121535" h="304800">
                <a:moveTo>
                  <a:pt x="1300480" y="0"/>
                </a:moveTo>
                <a:lnTo>
                  <a:pt x="1276096" y="0"/>
                </a:lnTo>
                <a:lnTo>
                  <a:pt x="1276096" y="304800"/>
                </a:lnTo>
                <a:lnTo>
                  <a:pt x="1300480" y="304800"/>
                </a:lnTo>
                <a:lnTo>
                  <a:pt x="1300480" y="0"/>
                </a:lnTo>
                <a:close/>
              </a:path>
              <a:path w="2121535" h="304800">
                <a:moveTo>
                  <a:pt x="1332992" y="0"/>
                </a:moveTo>
                <a:lnTo>
                  <a:pt x="1324864" y="0"/>
                </a:lnTo>
                <a:lnTo>
                  <a:pt x="1324864" y="304800"/>
                </a:lnTo>
                <a:lnTo>
                  <a:pt x="1332992" y="304800"/>
                </a:lnTo>
                <a:lnTo>
                  <a:pt x="1332992" y="0"/>
                </a:lnTo>
                <a:close/>
              </a:path>
              <a:path w="2121535" h="304800">
                <a:moveTo>
                  <a:pt x="1349248" y="0"/>
                </a:moveTo>
                <a:lnTo>
                  <a:pt x="1341120" y="0"/>
                </a:lnTo>
                <a:lnTo>
                  <a:pt x="1341120" y="304800"/>
                </a:lnTo>
                <a:lnTo>
                  <a:pt x="1349248" y="304800"/>
                </a:lnTo>
                <a:lnTo>
                  <a:pt x="1349248" y="0"/>
                </a:lnTo>
                <a:close/>
              </a:path>
              <a:path w="2121535" h="304800">
                <a:moveTo>
                  <a:pt x="1381760" y="0"/>
                </a:moveTo>
                <a:lnTo>
                  <a:pt x="1373632" y="0"/>
                </a:lnTo>
                <a:lnTo>
                  <a:pt x="1373632" y="304800"/>
                </a:lnTo>
                <a:lnTo>
                  <a:pt x="1381760" y="304800"/>
                </a:lnTo>
                <a:lnTo>
                  <a:pt x="1381760" y="0"/>
                </a:lnTo>
                <a:close/>
              </a:path>
              <a:path w="2121535" h="304800">
                <a:moveTo>
                  <a:pt x="1422400" y="0"/>
                </a:moveTo>
                <a:lnTo>
                  <a:pt x="1406144" y="0"/>
                </a:lnTo>
                <a:lnTo>
                  <a:pt x="1406144" y="304800"/>
                </a:lnTo>
                <a:lnTo>
                  <a:pt x="1422400" y="304800"/>
                </a:lnTo>
                <a:lnTo>
                  <a:pt x="1422400" y="0"/>
                </a:lnTo>
                <a:close/>
              </a:path>
              <a:path w="2121535" h="304800">
                <a:moveTo>
                  <a:pt x="1438656" y="0"/>
                </a:moveTo>
                <a:lnTo>
                  <a:pt x="1430528" y="0"/>
                </a:lnTo>
                <a:lnTo>
                  <a:pt x="1430528" y="304800"/>
                </a:lnTo>
                <a:lnTo>
                  <a:pt x="1438656" y="304800"/>
                </a:lnTo>
                <a:lnTo>
                  <a:pt x="1438656" y="0"/>
                </a:lnTo>
                <a:close/>
              </a:path>
              <a:path w="2121535" h="304800">
                <a:moveTo>
                  <a:pt x="1471168" y="0"/>
                </a:moveTo>
                <a:lnTo>
                  <a:pt x="1446784" y="0"/>
                </a:lnTo>
                <a:lnTo>
                  <a:pt x="1446784" y="304800"/>
                </a:lnTo>
                <a:lnTo>
                  <a:pt x="1471168" y="304800"/>
                </a:lnTo>
                <a:lnTo>
                  <a:pt x="1471168" y="0"/>
                </a:lnTo>
                <a:close/>
              </a:path>
              <a:path w="2121535" h="304800">
                <a:moveTo>
                  <a:pt x="1511808" y="0"/>
                </a:moveTo>
                <a:lnTo>
                  <a:pt x="1479296" y="0"/>
                </a:lnTo>
                <a:lnTo>
                  <a:pt x="1479296" y="304800"/>
                </a:lnTo>
                <a:lnTo>
                  <a:pt x="1511808" y="304800"/>
                </a:lnTo>
                <a:lnTo>
                  <a:pt x="1511808" y="0"/>
                </a:lnTo>
                <a:close/>
              </a:path>
              <a:path w="2121535" h="304800">
                <a:moveTo>
                  <a:pt x="1536192" y="0"/>
                </a:moveTo>
                <a:lnTo>
                  <a:pt x="1519936" y="0"/>
                </a:lnTo>
                <a:lnTo>
                  <a:pt x="1519936" y="304800"/>
                </a:lnTo>
                <a:lnTo>
                  <a:pt x="1536192" y="304800"/>
                </a:lnTo>
                <a:lnTo>
                  <a:pt x="1536192" y="0"/>
                </a:lnTo>
                <a:close/>
              </a:path>
              <a:path w="2121535" h="304800">
                <a:moveTo>
                  <a:pt x="1560576" y="0"/>
                </a:moveTo>
                <a:lnTo>
                  <a:pt x="1544320" y="0"/>
                </a:lnTo>
                <a:lnTo>
                  <a:pt x="1544320" y="304800"/>
                </a:lnTo>
                <a:lnTo>
                  <a:pt x="1560576" y="304800"/>
                </a:lnTo>
                <a:lnTo>
                  <a:pt x="1560576" y="0"/>
                </a:lnTo>
                <a:close/>
              </a:path>
              <a:path w="2121535" h="304800">
                <a:moveTo>
                  <a:pt x="1593088" y="0"/>
                </a:moveTo>
                <a:lnTo>
                  <a:pt x="1576832" y="0"/>
                </a:lnTo>
                <a:lnTo>
                  <a:pt x="1576832" y="304800"/>
                </a:lnTo>
                <a:lnTo>
                  <a:pt x="1593088" y="304800"/>
                </a:lnTo>
                <a:lnTo>
                  <a:pt x="1593088" y="0"/>
                </a:lnTo>
                <a:close/>
              </a:path>
              <a:path w="2121535" h="304800">
                <a:moveTo>
                  <a:pt x="1625600" y="0"/>
                </a:moveTo>
                <a:lnTo>
                  <a:pt x="1609344" y="0"/>
                </a:lnTo>
                <a:lnTo>
                  <a:pt x="1609344" y="304800"/>
                </a:lnTo>
                <a:lnTo>
                  <a:pt x="1625600" y="304800"/>
                </a:lnTo>
                <a:lnTo>
                  <a:pt x="1625600" y="0"/>
                </a:lnTo>
                <a:close/>
              </a:path>
              <a:path w="2121535" h="304800">
                <a:moveTo>
                  <a:pt x="1649984" y="0"/>
                </a:moveTo>
                <a:lnTo>
                  <a:pt x="1633728" y="0"/>
                </a:lnTo>
                <a:lnTo>
                  <a:pt x="1633728" y="304800"/>
                </a:lnTo>
                <a:lnTo>
                  <a:pt x="1649984" y="304800"/>
                </a:lnTo>
                <a:lnTo>
                  <a:pt x="1649984" y="0"/>
                </a:lnTo>
                <a:close/>
              </a:path>
              <a:path w="2121535" h="304800">
                <a:moveTo>
                  <a:pt x="1682496" y="0"/>
                </a:moveTo>
                <a:lnTo>
                  <a:pt x="1666240" y="0"/>
                </a:lnTo>
                <a:lnTo>
                  <a:pt x="1666240" y="304800"/>
                </a:lnTo>
                <a:lnTo>
                  <a:pt x="1682496" y="304800"/>
                </a:lnTo>
                <a:lnTo>
                  <a:pt x="1682496" y="0"/>
                </a:lnTo>
                <a:close/>
              </a:path>
              <a:path w="2121535" h="304800">
                <a:moveTo>
                  <a:pt x="1715008" y="0"/>
                </a:moveTo>
                <a:lnTo>
                  <a:pt x="1698752" y="0"/>
                </a:lnTo>
                <a:lnTo>
                  <a:pt x="1698752" y="304800"/>
                </a:lnTo>
                <a:lnTo>
                  <a:pt x="1715008" y="304800"/>
                </a:lnTo>
                <a:lnTo>
                  <a:pt x="1715008" y="0"/>
                </a:lnTo>
                <a:close/>
              </a:path>
              <a:path w="2121535" h="304800">
                <a:moveTo>
                  <a:pt x="1747520" y="0"/>
                </a:moveTo>
                <a:lnTo>
                  <a:pt x="1731264" y="0"/>
                </a:lnTo>
                <a:lnTo>
                  <a:pt x="1731264" y="304800"/>
                </a:lnTo>
                <a:lnTo>
                  <a:pt x="1747520" y="304800"/>
                </a:lnTo>
                <a:lnTo>
                  <a:pt x="1747520" y="0"/>
                </a:lnTo>
                <a:close/>
              </a:path>
              <a:path w="2121535" h="304800">
                <a:moveTo>
                  <a:pt x="1771904" y="0"/>
                </a:moveTo>
                <a:lnTo>
                  <a:pt x="1755648" y="0"/>
                </a:lnTo>
                <a:lnTo>
                  <a:pt x="1755648" y="304800"/>
                </a:lnTo>
                <a:lnTo>
                  <a:pt x="1771904" y="304800"/>
                </a:lnTo>
                <a:lnTo>
                  <a:pt x="1771904" y="0"/>
                </a:lnTo>
                <a:close/>
              </a:path>
              <a:path w="2121535" h="304800">
                <a:moveTo>
                  <a:pt x="1796288" y="0"/>
                </a:moveTo>
                <a:lnTo>
                  <a:pt x="1788160" y="0"/>
                </a:lnTo>
                <a:lnTo>
                  <a:pt x="1788160" y="304800"/>
                </a:lnTo>
                <a:lnTo>
                  <a:pt x="1796288" y="304800"/>
                </a:lnTo>
                <a:lnTo>
                  <a:pt x="1796288" y="0"/>
                </a:lnTo>
                <a:close/>
              </a:path>
              <a:path w="2121535" h="304800">
                <a:moveTo>
                  <a:pt x="1836928" y="0"/>
                </a:moveTo>
                <a:lnTo>
                  <a:pt x="1812544" y="0"/>
                </a:lnTo>
                <a:lnTo>
                  <a:pt x="1812544" y="304800"/>
                </a:lnTo>
                <a:lnTo>
                  <a:pt x="1836928" y="304800"/>
                </a:lnTo>
                <a:lnTo>
                  <a:pt x="1836928" y="0"/>
                </a:lnTo>
                <a:close/>
              </a:path>
              <a:path w="2121535" h="304800">
                <a:moveTo>
                  <a:pt x="1869440" y="0"/>
                </a:moveTo>
                <a:lnTo>
                  <a:pt x="1853184" y="0"/>
                </a:lnTo>
                <a:lnTo>
                  <a:pt x="1853184" y="304800"/>
                </a:lnTo>
                <a:lnTo>
                  <a:pt x="1869440" y="304800"/>
                </a:lnTo>
                <a:lnTo>
                  <a:pt x="1869440" y="0"/>
                </a:lnTo>
                <a:close/>
              </a:path>
              <a:path w="2121535" h="304800">
                <a:moveTo>
                  <a:pt x="1885696" y="0"/>
                </a:moveTo>
                <a:lnTo>
                  <a:pt x="1877568" y="0"/>
                </a:lnTo>
                <a:lnTo>
                  <a:pt x="1877568" y="304800"/>
                </a:lnTo>
                <a:lnTo>
                  <a:pt x="1885696" y="304800"/>
                </a:lnTo>
                <a:lnTo>
                  <a:pt x="1885696" y="0"/>
                </a:lnTo>
                <a:close/>
              </a:path>
              <a:path w="2121535" h="304800">
                <a:moveTo>
                  <a:pt x="1910080" y="0"/>
                </a:moveTo>
                <a:lnTo>
                  <a:pt x="1901952" y="0"/>
                </a:lnTo>
                <a:lnTo>
                  <a:pt x="1901952" y="304800"/>
                </a:lnTo>
                <a:lnTo>
                  <a:pt x="1910080" y="304800"/>
                </a:lnTo>
                <a:lnTo>
                  <a:pt x="1910080" y="0"/>
                </a:lnTo>
                <a:close/>
              </a:path>
              <a:path w="2121535" h="304800">
                <a:moveTo>
                  <a:pt x="1958848" y="0"/>
                </a:moveTo>
                <a:lnTo>
                  <a:pt x="1942592" y="0"/>
                </a:lnTo>
                <a:lnTo>
                  <a:pt x="1942592" y="304800"/>
                </a:lnTo>
                <a:lnTo>
                  <a:pt x="1958848" y="304800"/>
                </a:lnTo>
                <a:lnTo>
                  <a:pt x="1958848" y="0"/>
                </a:lnTo>
                <a:close/>
              </a:path>
              <a:path w="2121535" h="304800">
                <a:moveTo>
                  <a:pt x="1983232" y="0"/>
                </a:moveTo>
                <a:lnTo>
                  <a:pt x="1966976" y="0"/>
                </a:lnTo>
                <a:lnTo>
                  <a:pt x="1966976" y="304800"/>
                </a:lnTo>
                <a:lnTo>
                  <a:pt x="1983232" y="304800"/>
                </a:lnTo>
                <a:lnTo>
                  <a:pt x="1983232" y="0"/>
                </a:lnTo>
                <a:close/>
              </a:path>
              <a:path w="2121535" h="304800">
                <a:moveTo>
                  <a:pt x="2015744" y="0"/>
                </a:moveTo>
                <a:lnTo>
                  <a:pt x="2007616" y="0"/>
                </a:lnTo>
                <a:lnTo>
                  <a:pt x="2007616" y="304800"/>
                </a:lnTo>
                <a:lnTo>
                  <a:pt x="2015744" y="304800"/>
                </a:lnTo>
                <a:lnTo>
                  <a:pt x="2015744" y="0"/>
                </a:lnTo>
                <a:close/>
              </a:path>
              <a:path w="2121535" h="304800">
                <a:moveTo>
                  <a:pt x="2048256" y="0"/>
                </a:moveTo>
                <a:lnTo>
                  <a:pt x="2040128" y="0"/>
                </a:lnTo>
                <a:lnTo>
                  <a:pt x="2040128" y="304800"/>
                </a:lnTo>
                <a:lnTo>
                  <a:pt x="2048256" y="304800"/>
                </a:lnTo>
                <a:lnTo>
                  <a:pt x="2048256" y="0"/>
                </a:lnTo>
                <a:close/>
              </a:path>
              <a:path w="2121535" h="304800">
                <a:moveTo>
                  <a:pt x="2072640" y="0"/>
                </a:moveTo>
                <a:lnTo>
                  <a:pt x="2056384" y="0"/>
                </a:lnTo>
                <a:lnTo>
                  <a:pt x="2056384" y="304800"/>
                </a:lnTo>
                <a:lnTo>
                  <a:pt x="2072640" y="304800"/>
                </a:lnTo>
                <a:lnTo>
                  <a:pt x="2072640" y="0"/>
                </a:lnTo>
                <a:close/>
              </a:path>
              <a:path w="2121535" h="304800">
                <a:moveTo>
                  <a:pt x="2121408" y="0"/>
                </a:moveTo>
                <a:lnTo>
                  <a:pt x="2097024" y="0"/>
                </a:lnTo>
                <a:lnTo>
                  <a:pt x="2097024" y="304800"/>
                </a:lnTo>
                <a:lnTo>
                  <a:pt x="2121408" y="304800"/>
                </a:lnTo>
                <a:lnTo>
                  <a:pt x="2121408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903E3907-96E9-AFB6-4B9C-AE7F19E9DCD7}"/>
              </a:ext>
            </a:extLst>
          </xdr:cNvPr>
          <xdr:cNvSpPr/>
        </xdr:nvSpPr>
        <xdr:spPr>
          <a:xfrm>
            <a:off x="2097024" y="0"/>
            <a:ext cx="65405" cy="304800"/>
          </a:xfrm>
          <a:custGeom>
            <a:avLst/>
            <a:gdLst/>
            <a:ahLst/>
            <a:cxnLst/>
            <a:rect l="0" t="0" r="0" b="0"/>
            <a:pathLst>
              <a:path w="65405" h="304800">
                <a:moveTo>
                  <a:pt x="24384" y="0"/>
                </a:moveTo>
                <a:lnTo>
                  <a:pt x="0" y="0"/>
                </a:lnTo>
                <a:lnTo>
                  <a:pt x="0" y="304800"/>
                </a:lnTo>
                <a:lnTo>
                  <a:pt x="24384" y="304800"/>
                </a:lnTo>
                <a:lnTo>
                  <a:pt x="24384" y="0"/>
                </a:lnTo>
                <a:close/>
              </a:path>
              <a:path w="65405" h="304800">
                <a:moveTo>
                  <a:pt x="40640" y="0"/>
                </a:moveTo>
                <a:lnTo>
                  <a:pt x="32512" y="0"/>
                </a:lnTo>
                <a:lnTo>
                  <a:pt x="32512" y="304800"/>
                </a:lnTo>
                <a:lnTo>
                  <a:pt x="40640" y="304800"/>
                </a:lnTo>
                <a:lnTo>
                  <a:pt x="40640" y="0"/>
                </a:lnTo>
                <a:close/>
              </a:path>
              <a:path w="65405" h="304800">
                <a:moveTo>
                  <a:pt x="65024" y="0"/>
                </a:moveTo>
                <a:lnTo>
                  <a:pt x="48768" y="0"/>
                </a:lnTo>
                <a:lnTo>
                  <a:pt x="48768" y="304800"/>
                </a:lnTo>
                <a:lnTo>
                  <a:pt x="65024" y="304800"/>
                </a:lnTo>
                <a:lnTo>
                  <a:pt x="65024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13</xdr:col>
      <xdr:colOff>129135</xdr:colOff>
      <xdr:row>27</xdr:row>
      <xdr:rowOff>1321565</xdr:rowOff>
    </xdr:from>
    <xdr:ext cx="844469" cy="166743"/>
    <xdr:pic>
      <xdr:nvPicPr>
        <xdr:cNvPr id="7" name="image2.png">
          <a:extLst>
            <a:ext uri="{FF2B5EF4-FFF2-40B4-BE49-F238E27FC236}">
              <a16:creationId xmlns:a16="http://schemas.microsoft.com/office/drawing/2014/main" id="{D6A27066-34EA-4D16-890C-FAF1184FAC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8210" y="7293740"/>
          <a:ext cx="844469" cy="166743"/>
        </a:xfrm>
        <a:prstGeom prst="rect">
          <a:avLst/>
        </a:prstGeom>
      </xdr:spPr>
    </xdr:pic>
    <xdr:clientData/>
  </xdr:oneCellAnchor>
  <xdr:oneCellAnchor>
    <xdr:from>
      <xdr:col>6</xdr:col>
      <xdr:colOff>95504</xdr:colOff>
      <xdr:row>32</xdr:row>
      <xdr:rowOff>31750</xdr:rowOff>
    </xdr:from>
    <xdr:ext cx="107950" cy="7239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453D2559-B926-4396-BB51-B0A64FEB619C}"/>
            </a:ext>
          </a:extLst>
        </xdr:cNvPr>
        <xdr:cNvSpPr/>
      </xdr:nvSpPr>
      <xdr:spPr>
        <a:xfrm>
          <a:off x="2638679" y="8842375"/>
          <a:ext cx="107950" cy="72390"/>
        </a:xfrm>
        <a:custGeom>
          <a:avLst/>
          <a:gdLst/>
          <a:ahLst/>
          <a:cxnLst/>
          <a:rect l="0" t="0" r="0" b="0"/>
          <a:pathLst>
            <a:path w="107950" h="72390">
              <a:moveTo>
                <a:pt x="0" y="0"/>
              </a:moveTo>
              <a:lnTo>
                <a:pt x="107950" y="0"/>
              </a:lnTo>
              <a:lnTo>
                <a:pt x="107950" y="72009"/>
              </a:lnTo>
              <a:lnTo>
                <a:pt x="0" y="72009"/>
              </a:lnTo>
              <a:lnTo>
                <a:pt x="0" y="0"/>
              </a:lnTo>
              <a:close/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6</xdr:col>
      <xdr:colOff>95504</xdr:colOff>
      <xdr:row>32</xdr:row>
      <xdr:rowOff>175767</xdr:rowOff>
    </xdr:from>
    <xdr:ext cx="107950" cy="7239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FF7D7156-74E1-48AA-929B-1F3804E180AE}"/>
            </a:ext>
          </a:extLst>
        </xdr:cNvPr>
        <xdr:cNvSpPr/>
      </xdr:nvSpPr>
      <xdr:spPr>
        <a:xfrm>
          <a:off x="2638679" y="8986392"/>
          <a:ext cx="107950" cy="72390"/>
        </a:xfrm>
        <a:custGeom>
          <a:avLst/>
          <a:gdLst/>
          <a:ahLst/>
          <a:cxnLst/>
          <a:rect l="0" t="0" r="0" b="0"/>
          <a:pathLst>
            <a:path w="107950" h="72390">
              <a:moveTo>
                <a:pt x="0" y="0"/>
              </a:moveTo>
              <a:lnTo>
                <a:pt x="107950" y="0"/>
              </a:lnTo>
              <a:lnTo>
                <a:pt x="107950" y="72008"/>
              </a:lnTo>
              <a:lnTo>
                <a:pt x="0" y="72008"/>
              </a:lnTo>
              <a:lnTo>
                <a:pt x="0" y="0"/>
              </a:lnTo>
              <a:close/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20</xdr:col>
      <xdr:colOff>32003</xdr:colOff>
      <xdr:row>32</xdr:row>
      <xdr:rowOff>31750</xdr:rowOff>
    </xdr:from>
    <xdr:ext cx="107950" cy="7239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4AAD1E90-9BC1-4277-94C5-1C844A2AFCB5}"/>
            </a:ext>
          </a:extLst>
        </xdr:cNvPr>
        <xdr:cNvSpPr/>
      </xdr:nvSpPr>
      <xdr:spPr>
        <a:xfrm>
          <a:off x="6213728" y="8842375"/>
          <a:ext cx="107950" cy="72390"/>
        </a:xfrm>
        <a:custGeom>
          <a:avLst/>
          <a:gdLst/>
          <a:ahLst/>
          <a:cxnLst/>
          <a:rect l="0" t="0" r="0" b="0"/>
          <a:pathLst>
            <a:path w="107950" h="72390">
              <a:moveTo>
                <a:pt x="0" y="0"/>
              </a:moveTo>
              <a:lnTo>
                <a:pt x="107950" y="0"/>
              </a:lnTo>
              <a:lnTo>
                <a:pt x="107950" y="72009"/>
              </a:lnTo>
              <a:lnTo>
                <a:pt x="0" y="72009"/>
              </a:lnTo>
              <a:lnTo>
                <a:pt x="0" y="0"/>
              </a:lnTo>
              <a:close/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20</xdr:col>
      <xdr:colOff>32003</xdr:colOff>
      <xdr:row>32</xdr:row>
      <xdr:rowOff>175767</xdr:rowOff>
    </xdr:from>
    <xdr:ext cx="107950" cy="7239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2DEB571C-B76A-4C24-AA40-0B34E44B2344}"/>
            </a:ext>
          </a:extLst>
        </xdr:cNvPr>
        <xdr:cNvSpPr/>
      </xdr:nvSpPr>
      <xdr:spPr>
        <a:xfrm>
          <a:off x="6213728" y="8986392"/>
          <a:ext cx="107950" cy="72390"/>
        </a:xfrm>
        <a:custGeom>
          <a:avLst/>
          <a:gdLst/>
          <a:ahLst/>
          <a:cxnLst/>
          <a:rect l="0" t="0" r="0" b="0"/>
          <a:pathLst>
            <a:path w="107950" h="72390">
              <a:moveTo>
                <a:pt x="0" y="0"/>
              </a:moveTo>
              <a:lnTo>
                <a:pt x="107950" y="0"/>
              </a:lnTo>
              <a:lnTo>
                <a:pt x="107950" y="72008"/>
              </a:lnTo>
              <a:lnTo>
                <a:pt x="0" y="72008"/>
              </a:lnTo>
              <a:lnTo>
                <a:pt x="0" y="0"/>
              </a:lnTo>
              <a:close/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twoCellAnchor editAs="oneCell">
    <xdr:from>
      <xdr:col>37</xdr:col>
      <xdr:colOff>0</xdr:colOff>
      <xdr:row>40</xdr:row>
      <xdr:rowOff>0</xdr:rowOff>
    </xdr:from>
    <xdr:to>
      <xdr:col>55</xdr:col>
      <xdr:colOff>214106</xdr:colOff>
      <xdr:row>91</xdr:row>
      <xdr:rowOff>144025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8D658FE-5069-FA4A-322E-65F1F384E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462000" y="6731000"/>
          <a:ext cx="9897856" cy="82402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429451</xdr:colOff>
      <xdr:row>49</xdr:row>
      <xdr:rowOff>48739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493E68E-580F-AE7A-C9F3-CC20F2898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915851" cy="7983064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17</xdr:col>
      <xdr:colOff>467556</xdr:colOff>
      <xdr:row>42</xdr:row>
      <xdr:rowOff>153370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3A57ADD-9539-4EE7-142F-07F2E1CA0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72200" y="0"/>
          <a:ext cx="5953956" cy="6954220"/>
        </a:xfrm>
        <a:prstGeom prst="rect">
          <a:avLst/>
        </a:prstGeom>
      </xdr:spPr>
    </xdr:pic>
    <xdr:clientData/>
  </xdr:twoCellAnchor>
  <xdr:twoCellAnchor editAs="oneCell">
    <xdr:from>
      <xdr:col>17</xdr:col>
      <xdr:colOff>571500</xdr:colOff>
      <xdr:row>0</xdr:row>
      <xdr:rowOff>76200</xdr:rowOff>
    </xdr:from>
    <xdr:to>
      <xdr:col>26</xdr:col>
      <xdr:colOff>286572</xdr:colOff>
      <xdr:row>41</xdr:row>
      <xdr:rowOff>10442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E46AE64-6E4D-5B65-1392-852429B232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30100" y="76200"/>
          <a:ext cx="5887272" cy="657316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10</xdr:col>
      <xdr:colOff>467747</xdr:colOff>
      <xdr:row>93</xdr:row>
      <xdr:rowOff>67656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1FA4C90-FD33-7F9A-ADD4-65A399500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8096250"/>
          <a:ext cx="7325747" cy="70304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://www.cmfchile.cl/" TargetMode="External"/><Relationship Id="rId1" Type="http://schemas.openxmlformats.org/officeDocument/2006/relationships/hyperlink" Target="mailto:KRISTAL.OAKES@DESWIK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cmfchile.cl/" TargetMode="External"/><Relationship Id="rId1" Type="http://schemas.openxmlformats.org/officeDocument/2006/relationships/hyperlink" Target="mailto:KRISTAL.OAKES@DESWIK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51"/>
  <sheetViews>
    <sheetView tabSelected="1" topLeftCell="B26" workbookViewId="0">
      <selection activeCell="AO41" sqref="AO41"/>
    </sheetView>
  </sheetViews>
  <sheetFormatPr baseColWidth="10" defaultColWidth="9.33203125" defaultRowHeight="12.75"/>
  <cols>
    <col min="1" max="1" width="2.1640625" customWidth="1"/>
    <col min="2" max="2" width="4.6640625" customWidth="1"/>
    <col min="3" max="3" width="5.83203125" customWidth="1"/>
    <col min="4" max="4" width="1.1640625" customWidth="1"/>
    <col min="5" max="5" width="2.1640625" customWidth="1"/>
    <col min="6" max="8" width="3.33203125" customWidth="1"/>
    <col min="9" max="9" width="2.1640625" customWidth="1"/>
    <col min="10" max="10" width="3.33203125" customWidth="1"/>
    <col min="11" max="13" width="1.1640625" customWidth="1"/>
    <col min="14" max="16" width="2.1640625" customWidth="1"/>
    <col min="17" max="17" width="3.33203125" customWidth="1"/>
    <col min="18" max="19" width="2.1640625" customWidth="1"/>
    <col min="20" max="21" width="1.1640625" customWidth="1"/>
    <col min="22" max="22" width="2.1640625" customWidth="1"/>
    <col min="23" max="25" width="1.1640625" customWidth="1"/>
    <col min="26" max="26" width="3.33203125" customWidth="1"/>
    <col min="27" max="27" width="6.83203125" customWidth="1"/>
    <col min="28" max="28" width="2.1640625" customWidth="1"/>
    <col min="29" max="29" width="5.83203125" customWidth="1"/>
    <col min="30" max="30" width="1.1640625" customWidth="1"/>
    <col min="31" max="31" width="4.6640625" customWidth="1"/>
    <col min="32" max="32" width="2.1640625" customWidth="1"/>
    <col min="33" max="33" width="5.83203125" customWidth="1"/>
    <col min="34" max="34" width="8" customWidth="1"/>
    <col min="35" max="35" width="6.83203125" customWidth="1"/>
    <col min="36" max="36" width="4.6640625" customWidth="1"/>
    <col min="37" max="37" width="2.1640625" customWidth="1"/>
    <col min="38" max="38" width="14" customWidth="1"/>
    <col min="39" max="39" width="5.6640625" customWidth="1"/>
    <col min="40" max="40" width="20.83203125" bestFit="1" customWidth="1"/>
    <col min="42" max="42" width="10.1640625" bestFit="1" customWidth="1"/>
    <col min="45" max="45" width="22" bestFit="1" customWidth="1"/>
    <col min="46" max="46" width="8.1640625" bestFit="1" customWidth="1"/>
    <col min="47" max="47" width="10.1640625" bestFit="1" customWidth="1"/>
    <col min="48" max="48" width="11.33203125" bestFit="1" customWidth="1"/>
  </cols>
  <sheetData>
    <row r="1" spans="1:39" ht="12" customHeight="1">
      <c r="A1" s="108" t="s">
        <v>0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258"/>
    </row>
    <row r="2" spans="1:39" ht="12" customHeight="1">
      <c r="A2" s="46" t="s">
        <v>1</v>
      </c>
      <c r="B2" s="47"/>
      <c r="C2" s="47"/>
      <c r="D2" s="47"/>
      <c r="E2" s="47"/>
      <c r="F2" s="47"/>
      <c r="G2" s="47"/>
      <c r="H2" s="47"/>
      <c r="I2" s="48"/>
      <c r="J2" s="46" t="s">
        <v>2</v>
      </c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8"/>
    </row>
    <row r="3" spans="1:39" ht="12" customHeight="1">
      <c r="A3" s="49" t="s">
        <v>3</v>
      </c>
      <c r="B3" s="50"/>
      <c r="C3" s="50"/>
      <c r="D3" s="50"/>
      <c r="E3" s="50"/>
      <c r="F3" s="50"/>
      <c r="G3" s="50"/>
      <c r="H3" s="50"/>
      <c r="I3" s="51"/>
      <c r="J3" s="49" t="s">
        <v>4</v>
      </c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1"/>
    </row>
    <row r="4" spans="1:39" ht="15" customHeight="1">
      <c r="A4" s="52" t="s">
        <v>5</v>
      </c>
      <c r="B4" s="53"/>
      <c r="C4" s="53"/>
      <c r="D4" s="53"/>
      <c r="E4" s="53"/>
      <c r="F4" s="53"/>
      <c r="G4" s="53"/>
      <c r="H4" s="53"/>
      <c r="I4" s="54"/>
      <c r="J4" s="259">
        <v>45772</v>
      </c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  <c r="X4" s="260"/>
      <c r="Y4" s="260"/>
      <c r="Z4" s="260"/>
      <c r="AA4" s="260"/>
      <c r="AB4" s="260"/>
      <c r="AC4" s="260"/>
      <c r="AD4" s="260"/>
      <c r="AE4" s="260"/>
      <c r="AF4" s="260"/>
      <c r="AG4" s="260"/>
      <c r="AH4" s="260"/>
      <c r="AI4" s="260"/>
      <c r="AJ4" s="260"/>
      <c r="AK4" s="260"/>
      <c r="AL4" s="261"/>
    </row>
    <row r="5" spans="1:39" ht="12" customHeight="1">
      <c r="A5" s="262">
        <v>558</v>
      </c>
      <c r="B5" s="262"/>
      <c r="C5" s="262"/>
      <c r="D5" s="262"/>
      <c r="E5" s="262"/>
      <c r="F5" s="262"/>
      <c r="G5" s="262"/>
      <c r="H5" s="262"/>
      <c r="I5" s="262"/>
      <c r="J5" s="262"/>
      <c r="K5" s="262"/>
      <c r="L5" s="262"/>
      <c r="M5" s="262"/>
      <c r="N5" s="262"/>
      <c r="O5" s="262"/>
      <c r="P5" s="262"/>
      <c r="Q5" s="262"/>
      <c r="R5" s="262"/>
      <c r="S5" s="262"/>
      <c r="T5" s="262"/>
      <c r="U5" s="262"/>
      <c r="V5" s="262"/>
      <c r="W5" s="262"/>
      <c r="X5" s="262"/>
      <c r="Y5" s="262"/>
      <c r="Z5" s="262"/>
      <c r="AA5" s="262"/>
      <c r="AB5" s="262"/>
      <c r="AC5" s="262"/>
      <c r="AD5" s="262"/>
      <c r="AE5" s="262"/>
      <c r="AF5" s="262"/>
      <c r="AG5" s="262"/>
      <c r="AH5" s="262"/>
      <c r="AI5" s="262"/>
      <c r="AJ5" s="262"/>
      <c r="AK5" s="262"/>
      <c r="AL5" s="262"/>
      <c r="AM5" s="262"/>
    </row>
    <row r="6" spans="1:39" ht="20.45" customHeight="1">
      <c r="A6" s="263" t="s">
        <v>6</v>
      </c>
      <c r="B6" s="263"/>
      <c r="C6" s="263"/>
      <c r="D6" s="263"/>
      <c r="E6" s="263"/>
      <c r="F6" s="263"/>
      <c r="G6" s="263"/>
      <c r="H6" s="263"/>
      <c r="I6" s="263"/>
      <c r="J6" s="263"/>
      <c r="K6" s="263"/>
      <c r="L6" s="263"/>
      <c r="M6" s="263"/>
      <c r="N6" s="263"/>
      <c r="O6" s="263"/>
      <c r="P6" s="263"/>
      <c r="Q6" s="263"/>
      <c r="R6" s="263"/>
      <c r="S6" s="263"/>
      <c r="T6" s="263"/>
      <c r="U6" s="263"/>
      <c r="V6" s="263"/>
      <c r="W6" s="263"/>
      <c r="X6" s="263"/>
      <c r="Y6" s="263"/>
      <c r="Z6" s="263"/>
      <c r="AA6" s="263"/>
      <c r="AB6" s="263"/>
      <c r="AC6" s="263"/>
      <c r="AD6" s="263"/>
      <c r="AE6" s="263"/>
      <c r="AF6" s="263"/>
      <c r="AG6" s="263"/>
      <c r="AH6" s="263"/>
      <c r="AI6" s="263"/>
      <c r="AJ6" s="263"/>
      <c r="AK6" s="263"/>
      <c r="AL6" s="263"/>
      <c r="AM6" s="263"/>
    </row>
    <row r="7" spans="1:39" ht="12" customHeight="1">
      <c r="A7" s="234" t="s">
        <v>7</v>
      </c>
      <c r="B7" s="235"/>
      <c r="C7" s="235"/>
      <c r="D7" s="235"/>
      <c r="E7" s="235"/>
      <c r="F7" s="235"/>
      <c r="G7" s="235"/>
      <c r="H7" s="235"/>
      <c r="I7" s="235"/>
      <c r="J7" s="235"/>
      <c r="K7" s="235"/>
      <c r="L7" s="235"/>
      <c r="M7" s="235"/>
      <c r="N7" s="235"/>
      <c r="O7" s="235"/>
      <c r="P7" s="235"/>
      <c r="Q7" s="235"/>
      <c r="R7" s="235"/>
      <c r="S7" s="235"/>
      <c r="T7" s="235"/>
      <c r="U7" s="235"/>
      <c r="V7" s="235"/>
      <c r="W7" s="235"/>
      <c r="X7" s="235"/>
      <c r="Y7" s="235"/>
      <c r="Z7" s="235"/>
      <c r="AA7" s="235"/>
      <c r="AB7" s="235"/>
      <c r="AC7" s="235"/>
      <c r="AD7" s="235"/>
      <c r="AE7" s="235"/>
      <c r="AF7" s="235"/>
      <c r="AG7" s="235"/>
      <c r="AH7" s="235"/>
      <c r="AI7" s="235"/>
      <c r="AJ7" s="235"/>
      <c r="AK7" s="235"/>
      <c r="AL7" s="236"/>
    </row>
    <row r="8" spans="1:39" ht="12" customHeight="1">
      <c r="A8" s="66"/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7"/>
      <c r="O8" s="68" t="s">
        <v>8</v>
      </c>
      <c r="P8" s="69"/>
      <c r="Q8" s="69"/>
      <c r="R8" s="69"/>
      <c r="S8" s="69"/>
      <c r="T8" s="69"/>
      <c r="U8" s="69"/>
      <c r="V8" s="69"/>
      <c r="W8" s="69"/>
      <c r="X8" s="70"/>
      <c r="Y8" s="68" t="s">
        <v>9</v>
      </c>
      <c r="Z8" s="69"/>
      <c r="AA8" s="69"/>
      <c r="AB8" s="69"/>
      <c r="AC8" s="69"/>
      <c r="AD8" s="70"/>
      <c r="AE8" s="68" t="s">
        <v>10</v>
      </c>
      <c r="AF8" s="69"/>
      <c r="AG8" s="69"/>
      <c r="AH8" s="70"/>
    </row>
    <row r="9" spans="1:39" ht="12" customHeight="1">
      <c r="A9" s="215" t="s">
        <v>11</v>
      </c>
      <c r="B9" s="219"/>
      <c r="C9" s="219"/>
      <c r="D9" s="219"/>
      <c r="E9" s="219"/>
      <c r="F9" s="219"/>
      <c r="G9" s="219"/>
      <c r="H9" s="219"/>
      <c r="I9" s="219"/>
      <c r="J9" s="219"/>
      <c r="K9" s="219"/>
      <c r="L9" s="219"/>
      <c r="M9" s="219"/>
      <c r="N9" s="216"/>
      <c r="O9" s="212">
        <v>5000000</v>
      </c>
      <c r="P9" s="213"/>
      <c r="Q9" s="213"/>
      <c r="R9" s="213"/>
      <c r="S9" s="213"/>
      <c r="T9" s="213"/>
      <c r="U9" s="213"/>
      <c r="V9" s="213"/>
      <c r="W9" s="213"/>
      <c r="X9" s="214"/>
      <c r="Y9" s="212">
        <v>3070443</v>
      </c>
      <c r="Z9" s="213"/>
      <c r="AA9" s="213"/>
      <c r="AB9" s="213"/>
      <c r="AC9" s="213"/>
      <c r="AD9" s="214"/>
      <c r="AE9" s="212">
        <v>1929557</v>
      </c>
      <c r="AF9" s="213"/>
      <c r="AG9" s="213"/>
      <c r="AH9" s="214"/>
    </row>
    <row r="10" spans="1:39" ht="12" customHeight="1">
      <c r="A10" s="215" t="s">
        <v>12</v>
      </c>
      <c r="B10" s="219"/>
      <c r="C10" s="219"/>
      <c r="D10" s="219"/>
      <c r="E10" s="219"/>
      <c r="F10" s="219"/>
      <c r="G10" s="219"/>
      <c r="H10" s="219"/>
      <c r="I10" s="219"/>
      <c r="J10" s="219"/>
      <c r="K10" s="219"/>
      <c r="L10" s="219"/>
      <c r="M10" s="219"/>
      <c r="N10" s="216"/>
      <c r="O10" s="212">
        <v>4750000</v>
      </c>
      <c r="P10" s="213"/>
      <c r="Q10" s="213"/>
      <c r="R10" s="213"/>
      <c r="S10" s="213"/>
      <c r="T10" s="213"/>
      <c r="U10" s="213"/>
      <c r="V10" s="213"/>
      <c r="W10" s="213"/>
      <c r="X10" s="214"/>
      <c r="Y10" s="240">
        <v>0</v>
      </c>
      <c r="Z10" s="241"/>
      <c r="AA10" s="241"/>
      <c r="AB10" s="241"/>
      <c r="AC10" s="241"/>
      <c r="AD10" s="242"/>
      <c r="AE10" s="212">
        <v>1929557</v>
      </c>
      <c r="AF10" s="213"/>
      <c r="AG10" s="213"/>
      <c r="AH10" s="214"/>
    </row>
    <row r="11" spans="1:39" ht="18" customHeight="1">
      <c r="A11" s="243" t="s">
        <v>13</v>
      </c>
      <c r="B11" s="244"/>
      <c r="C11" s="244"/>
      <c r="D11" s="244"/>
      <c r="E11" s="244"/>
      <c r="F11" s="245"/>
    </row>
    <row r="12" spans="1:39" ht="22.7" customHeight="1">
      <c r="A12" s="246">
        <v>0</v>
      </c>
      <c r="B12" s="247"/>
      <c r="C12" s="247"/>
      <c r="D12" s="247"/>
      <c r="E12" s="247"/>
      <c r="F12" s="248"/>
    </row>
    <row r="13" spans="1:39" ht="28.35" customHeight="1">
      <c r="A13" s="249" t="s">
        <v>14</v>
      </c>
      <c r="B13" s="250"/>
      <c r="C13" s="250"/>
      <c r="D13" s="250"/>
      <c r="E13" s="250"/>
      <c r="F13" s="251"/>
    </row>
    <row r="14" spans="1:39" ht="12" customHeight="1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7"/>
      <c r="O14" s="92" t="s">
        <v>15</v>
      </c>
      <c r="P14" s="93"/>
      <c r="Q14" s="93"/>
      <c r="R14" s="93"/>
      <c r="S14" s="93"/>
      <c r="T14" s="93"/>
      <c r="U14" s="93"/>
      <c r="V14" s="93"/>
      <c r="W14" s="93"/>
      <c r="X14" s="94"/>
      <c r="Y14" s="252" t="s">
        <v>16</v>
      </c>
      <c r="Z14" s="253"/>
      <c r="AA14" s="253"/>
      <c r="AB14" s="253"/>
      <c r="AC14" s="253"/>
      <c r="AD14" s="254"/>
      <c r="AE14" s="255" t="s">
        <v>17</v>
      </c>
      <c r="AF14" s="256"/>
      <c r="AG14" s="256"/>
      <c r="AH14" s="257"/>
    </row>
    <row r="15" spans="1:39" ht="12" customHeight="1">
      <c r="A15" s="215" t="s">
        <v>18</v>
      </c>
      <c r="B15" s="219"/>
      <c r="C15" s="219"/>
      <c r="D15" s="219"/>
      <c r="E15" s="219"/>
      <c r="F15" s="219"/>
      <c r="G15" s="219"/>
      <c r="H15" s="219"/>
      <c r="I15" s="219"/>
      <c r="J15" s="219"/>
      <c r="K15" s="219"/>
      <c r="L15" s="219"/>
      <c r="M15" s="219"/>
      <c r="N15" s="216"/>
      <c r="O15" s="237">
        <v>2.5999999999999999E-2</v>
      </c>
      <c r="P15" s="238"/>
      <c r="Q15" s="238"/>
      <c r="R15" s="238"/>
      <c r="S15" s="238"/>
      <c r="T15" s="238"/>
      <c r="U15" s="238"/>
      <c r="V15" s="238"/>
      <c r="W15" s="238"/>
      <c r="X15" s="239"/>
      <c r="Y15" s="237">
        <v>2.5999999999999999E-2</v>
      </c>
      <c r="Z15" s="238"/>
      <c r="AA15" s="238"/>
      <c r="AB15" s="238"/>
      <c r="AC15" s="238"/>
      <c r="AD15" s="239"/>
      <c r="AE15" s="237">
        <v>2.5999999999999999E-2</v>
      </c>
      <c r="AF15" s="238"/>
      <c r="AG15" s="238"/>
      <c r="AH15" s="239"/>
    </row>
    <row r="16" spans="1:39" ht="12" customHeight="1">
      <c r="A16" s="215" t="s">
        <v>19</v>
      </c>
      <c r="B16" s="219"/>
      <c r="C16" s="219"/>
      <c r="D16" s="219"/>
      <c r="E16" s="219"/>
      <c r="F16" s="219"/>
      <c r="G16" s="219"/>
      <c r="H16" s="219"/>
      <c r="I16" s="219"/>
      <c r="J16" s="219"/>
      <c r="K16" s="219"/>
      <c r="L16" s="219"/>
      <c r="M16" s="219"/>
      <c r="N16" s="216"/>
      <c r="O16" s="237">
        <v>0.4168</v>
      </c>
      <c r="P16" s="238"/>
      <c r="Q16" s="238"/>
      <c r="R16" s="238"/>
      <c r="S16" s="238"/>
      <c r="T16" s="238"/>
      <c r="U16" s="238"/>
      <c r="V16" s="238"/>
      <c r="W16" s="238"/>
      <c r="X16" s="239"/>
      <c r="Y16" s="237">
        <v>0.44219999999999998</v>
      </c>
      <c r="Z16" s="238"/>
      <c r="AA16" s="238"/>
      <c r="AB16" s="238"/>
      <c r="AC16" s="238"/>
      <c r="AD16" s="239"/>
      <c r="AE16" s="237">
        <v>0.44219999999999998</v>
      </c>
      <c r="AF16" s="238"/>
      <c r="AG16" s="238"/>
      <c r="AH16" s="239"/>
    </row>
    <row r="17" spans="1:39" ht="12" customHeight="1">
      <c r="A17" s="66"/>
      <c r="B17" s="66"/>
      <c r="C17" s="66"/>
      <c r="D17" s="66"/>
      <c r="E17" s="66"/>
      <c r="F17" s="66"/>
      <c r="G17" s="67"/>
      <c r="H17" s="43" t="s">
        <v>20</v>
      </c>
      <c r="I17" s="44"/>
      <c r="J17" s="45"/>
      <c r="K17" s="43" t="s">
        <v>21</v>
      </c>
      <c r="L17" s="44"/>
      <c r="M17" s="44"/>
      <c r="N17" s="44"/>
      <c r="O17" s="44"/>
      <c r="P17" s="45"/>
    </row>
    <row r="18" spans="1:39" ht="12" customHeight="1">
      <c r="A18" s="215" t="s">
        <v>22</v>
      </c>
      <c r="B18" s="219"/>
      <c r="C18" s="219"/>
      <c r="D18" s="219"/>
      <c r="E18" s="219"/>
      <c r="F18" s="219"/>
      <c r="G18" s="216"/>
      <c r="H18" s="71">
        <v>45744</v>
      </c>
      <c r="I18" s="72"/>
      <c r="J18" s="73"/>
      <c r="K18" s="71">
        <v>45772</v>
      </c>
      <c r="L18" s="72"/>
      <c r="M18" s="72"/>
      <c r="N18" s="72"/>
      <c r="O18" s="72"/>
      <c r="P18" s="73"/>
    </row>
    <row r="19" spans="1:39" ht="12" customHeight="1">
      <c r="A19" s="215" t="s">
        <v>23</v>
      </c>
      <c r="B19" s="219"/>
      <c r="C19" s="219"/>
      <c r="D19" s="219"/>
      <c r="E19" s="219"/>
      <c r="F19" s="219"/>
      <c r="G19" s="216"/>
      <c r="H19" s="230">
        <v>45792</v>
      </c>
      <c r="I19" s="231"/>
      <c r="J19" s="231"/>
      <c r="K19" s="231"/>
      <c r="L19" s="231"/>
      <c r="M19" s="231"/>
      <c r="N19" s="231"/>
      <c r="O19" s="231"/>
      <c r="P19" s="232"/>
    </row>
    <row r="20" spans="1:39" ht="28.7" customHeight="1">
      <c r="A20" s="233" t="s">
        <v>24</v>
      </c>
      <c r="B20" s="233"/>
      <c r="C20" s="233"/>
      <c r="D20" s="233"/>
      <c r="E20" s="233"/>
      <c r="F20" s="233"/>
      <c r="G20" s="233"/>
      <c r="H20" s="233"/>
      <c r="I20" s="233"/>
      <c r="J20" s="233"/>
      <c r="K20" s="233"/>
      <c r="L20" s="233"/>
      <c r="M20" s="233"/>
      <c r="N20" s="233"/>
      <c r="O20" s="233"/>
      <c r="P20" s="233"/>
      <c r="Q20" s="233"/>
      <c r="R20" s="233"/>
      <c r="S20" s="233"/>
      <c r="T20" s="233"/>
      <c r="U20" s="233"/>
      <c r="V20" s="233"/>
      <c r="W20" s="233"/>
      <c r="X20" s="233"/>
      <c r="Y20" s="233"/>
      <c r="Z20" s="233"/>
      <c r="AA20" s="233"/>
      <c r="AB20" s="233"/>
      <c r="AC20" s="233"/>
      <c r="AD20" s="233"/>
      <c r="AE20" s="233"/>
      <c r="AF20" s="233"/>
      <c r="AG20" s="233"/>
      <c r="AH20" s="233"/>
      <c r="AI20" s="233"/>
      <c r="AJ20" s="233"/>
      <c r="AK20" s="233"/>
      <c r="AL20" s="233"/>
      <c r="AM20" s="233"/>
    </row>
    <row r="21" spans="1:39" ht="12" customHeight="1">
      <c r="A21" s="234" t="s">
        <v>25</v>
      </c>
      <c r="B21" s="235"/>
      <c r="C21" s="235"/>
      <c r="D21" s="235"/>
      <c r="E21" s="235"/>
      <c r="F21" s="235"/>
      <c r="G21" s="235"/>
      <c r="H21" s="235"/>
      <c r="I21" s="235"/>
      <c r="J21" s="235"/>
      <c r="K21" s="235"/>
      <c r="L21" s="235"/>
      <c r="M21" s="235"/>
      <c r="N21" s="235"/>
      <c r="O21" s="235"/>
      <c r="P21" s="235"/>
      <c r="Q21" s="235"/>
      <c r="R21" s="235"/>
      <c r="S21" s="235"/>
      <c r="T21" s="235"/>
      <c r="U21" s="235"/>
      <c r="V21" s="235"/>
      <c r="W21" s="235"/>
      <c r="X21" s="235"/>
      <c r="Y21" s="235"/>
      <c r="Z21" s="235"/>
      <c r="AA21" s="235"/>
      <c r="AB21" s="235"/>
      <c r="AC21" s="235"/>
      <c r="AD21" s="235"/>
      <c r="AE21" s="235"/>
      <c r="AF21" s="235"/>
      <c r="AG21" s="235"/>
      <c r="AH21" s="235"/>
      <c r="AI21" s="235"/>
      <c r="AJ21" s="235"/>
      <c r="AK21" s="235"/>
      <c r="AL21" s="236"/>
    </row>
    <row r="22" spans="1:39" ht="12" customHeight="1">
      <c r="A22" s="74" t="s">
        <v>26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6"/>
      <c r="V22" s="68" t="s">
        <v>27</v>
      </c>
      <c r="W22" s="69"/>
      <c r="X22" s="69"/>
      <c r="Y22" s="69"/>
      <c r="Z22" s="69"/>
      <c r="AA22" s="70"/>
      <c r="AB22" s="68" t="s">
        <v>28</v>
      </c>
      <c r="AC22" s="69"/>
      <c r="AD22" s="69"/>
      <c r="AE22" s="69"/>
      <c r="AF22" s="70"/>
    </row>
    <row r="23" spans="1:39" ht="12" customHeight="1">
      <c r="A23" s="215" t="s">
        <v>29</v>
      </c>
      <c r="B23" s="219"/>
      <c r="C23" s="219"/>
      <c r="D23" s="219"/>
      <c r="E23" s="219"/>
      <c r="F23" s="219"/>
      <c r="G23" s="219"/>
      <c r="H23" s="219"/>
      <c r="I23" s="219"/>
      <c r="J23" s="219"/>
      <c r="K23" s="219"/>
      <c r="L23" s="219"/>
      <c r="M23" s="219"/>
      <c r="N23" s="219"/>
      <c r="O23" s="219"/>
      <c r="P23" s="219"/>
      <c r="Q23" s="219"/>
      <c r="R23" s="219"/>
      <c r="S23" s="219"/>
      <c r="T23" s="219"/>
      <c r="U23" s="216"/>
      <c r="V23" s="71">
        <v>45715</v>
      </c>
      <c r="W23" s="72"/>
      <c r="X23" s="72"/>
      <c r="Y23" s="72"/>
      <c r="Z23" s="72"/>
      <c r="AA23" s="73"/>
      <c r="AB23" s="71">
        <v>45743</v>
      </c>
      <c r="AC23" s="72"/>
      <c r="AD23" s="72"/>
      <c r="AE23" s="72"/>
      <c r="AF23" s="73"/>
    </row>
    <row r="24" spans="1:39" ht="12" customHeight="1">
      <c r="A24" s="140" t="s">
        <v>30</v>
      </c>
      <c r="B24" s="220"/>
      <c r="C24" s="220"/>
      <c r="D24" s="220"/>
      <c r="E24" s="220"/>
      <c r="F24" s="220"/>
      <c r="G24" s="220"/>
      <c r="H24" s="220"/>
      <c r="I24" s="220"/>
      <c r="J24" s="220"/>
      <c r="K24" s="220"/>
      <c r="L24" s="220"/>
      <c r="M24" s="220"/>
      <c r="N24" s="220"/>
      <c r="O24" s="220"/>
      <c r="P24" s="220"/>
      <c r="Q24" s="220"/>
      <c r="R24" s="221"/>
      <c r="S24" s="221"/>
      <c r="T24" s="221"/>
      <c r="U24" s="222"/>
      <c r="V24" s="122">
        <v>-108373</v>
      </c>
      <c r="W24" s="123"/>
      <c r="X24" s="123"/>
      <c r="Y24" s="123"/>
      <c r="Z24" s="123"/>
      <c r="AA24" s="124"/>
      <c r="AB24" s="153"/>
      <c r="AC24" s="101"/>
      <c r="AD24" s="101"/>
      <c r="AE24" s="101"/>
      <c r="AF24" s="101"/>
    </row>
    <row r="25" spans="1:39" ht="12" customHeight="1">
      <c r="A25" s="179" t="s">
        <v>31</v>
      </c>
      <c r="B25" s="224"/>
      <c r="C25" s="224"/>
      <c r="D25" s="224"/>
      <c r="E25" s="224"/>
      <c r="F25" s="224"/>
      <c r="G25" s="224"/>
      <c r="H25" s="224"/>
      <c r="I25" s="224"/>
      <c r="J25" s="224"/>
      <c r="K25" s="224"/>
      <c r="L25" s="224"/>
      <c r="M25" s="224"/>
      <c r="N25" s="224"/>
      <c r="O25" s="224"/>
      <c r="P25" s="224"/>
      <c r="Q25" s="224"/>
      <c r="R25" s="225" t="s">
        <v>32</v>
      </c>
      <c r="S25" s="225"/>
      <c r="T25" s="225"/>
      <c r="U25" s="226"/>
      <c r="V25" s="86">
        <v>1497172</v>
      </c>
      <c r="W25" s="87"/>
      <c r="X25" s="87"/>
      <c r="Y25" s="87"/>
      <c r="Z25" s="87"/>
      <c r="AA25" s="88"/>
      <c r="AB25" s="223"/>
      <c r="AC25" s="103"/>
      <c r="AD25" s="103"/>
      <c r="AE25" s="103"/>
      <c r="AF25" s="103"/>
    </row>
    <row r="26" spans="1:39" ht="12" customHeight="1">
      <c r="A26" s="179" t="s">
        <v>33</v>
      </c>
      <c r="B26" s="224"/>
      <c r="C26" s="224"/>
      <c r="D26" s="224"/>
      <c r="E26" s="224"/>
      <c r="F26" s="224"/>
      <c r="G26" s="224"/>
      <c r="H26" s="224"/>
      <c r="I26" s="224"/>
      <c r="J26" s="224"/>
      <c r="K26" s="224"/>
      <c r="L26" s="224"/>
      <c r="M26" s="224"/>
      <c r="N26" s="224"/>
      <c r="O26" s="224"/>
      <c r="P26" s="224"/>
      <c r="Q26" s="224"/>
      <c r="R26" s="227"/>
      <c r="S26" s="227"/>
      <c r="T26" s="227"/>
      <c r="U26" s="228"/>
      <c r="V26" s="86">
        <v>-1497172</v>
      </c>
      <c r="W26" s="87"/>
      <c r="X26" s="87"/>
      <c r="Y26" s="87"/>
      <c r="Z26" s="87"/>
      <c r="AA26" s="88"/>
      <c r="AB26" s="223"/>
      <c r="AC26" s="103"/>
      <c r="AD26" s="103"/>
      <c r="AE26" s="103"/>
      <c r="AF26" s="103"/>
    </row>
    <row r="27" spans="1:39" ht="12" customHeight="1">
      <c r="A27" s="151" t="s">
        <v>34</v>
      </c>
      <c r="B27" s="229"/>
      <c r="C27" s="229"/>
      <c r="D27" s="229"/>
      <c r="E27" s="229"/>
      <c r="F27" s="229"/>
      <c r="G27" s="229"/>
      <c r="H27" s="229"/>
      <c r="I27" s="229"/>
      <c r="J27" s="229"/>
      <c r="K27" s="229"/>
      <c r="L27" s="229"/>
      <c r="M27" s="229"/>
      <c r="N27" s="229"/>
      <c r="O27" s="229"/>
      <c r="P27" s="229"/>
      <c r="Q27" s="229"/>
      <c r="R27" s="66"/>
      <c r="S27" s="66"/>
      <c r="T27" s="66"/>
      <c r="U27" s="67"/>
      <c r="V27" s="89">
        <v>0</v>
      </c>
      <c r="W27" s="90"/>
      <c r="X27" s="90"/>
      <c r="Y27" s="90"/>
      <c r="Z27" s="90"/>
      <c r="AA27" s="91"/>
      <c r="AB27" s="223"/>
      <c r="AC27" s="103"/>
      <c r="AD27" s="103"/>
      <c r="AE27" s="103"/>
      <c r="AF27" s="103"/>
    </row>
    <row r="28" spans="1:39" ht="12" customHeight="1">
      <c r="A28" s="74" t="s">
        <v>35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6"/>
    </row>
    <row r="29" spans="1:39" ht="12" customHeight="1">
      <c r="A29" s="46" t="s">
        <v>36</v>
      </c>
      <c r="B29" s="47"/>
      <c r="C29" s="48"/>
      <c r="D29" s="46" t="s">
        <v>37</v>
      </c>
      <c r="E29" s="47"/>
      <c r="F29" s="47"/>
      <c r="G29" s="48"/>
      <c r="H29" s="46" t="s">
        <v>38</v>
      </c>
      <c r="I29" s="47"/>
      <c r="J29" s="47"/>
      <c r="K29" s="47"/>
      <c r="L29" s="48"/>
      <c r="M29" s="46" t="s">
        <v>39</v>
      </c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8"/>
      <c r="AD29" s="153" t="s">
        <v>40</v>
      </c>
      <c r="AE29" s="101"/>
      <c r="AF29" s="101"/>
      <c r="AG29" s="154"/>
      <c r="AH29" s="153" t="s">
        <v>41</v>
      </c>
      <c r="AI29" s="154"/>
      <c r="AJ29" s="157" t="s">
        <v>42</v>
      </c>
      <c r="AK29" s="158"/>
      <c r="AL29" s="159"/>
    </row>
    <row r="30" spans="1:39" ht="24" customHeight="1">
      <c r="A30" s="52"/>
      <c r="B30" s="53"/>
      <c r="C30" s="54"/>
      <c r="D30" s="52"/>
      <c r="E30" s="53"/>
      <c r="F30" s="53"/>
      <c r="G30" s="54"/>
      <c r="H30" s="52"/>
      <c r="I30" s="53"/>
      <c r="J30" s="53"/>
      <c r="K30" s="53"/>
      <c r="L30" s="54"/>
      <c r="M30" s="52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4"/>
      <c r="AD30" s="155"/>
      <c r="AE30" s="105"/>
      <c r="AF30" s="105"/>
      <c r="AG30" s="156"/>
      <c r="AH30" s="155"/>
      <c r="AI30" s="156"/>
      <c r="AJ30" s="58" t="s">
        <v>43</v>
      </c>
      <c r="AK30" s="60"/>
      <c r="AL30" s="5" t="s">
        <v>44</v>
      </c>
    </row>
    <row r="31" spans="1:39" ht="12" customHeight="1">
      <c r="A31" s="162" t="s">
        <v>45</v>
      </c>
      <c r="B31" s="163"/>
      <c r="C31" s="163"/>
      <c r="D31" s="163"/>
      <c r="E31" s="163"/>
      <c r="F31" s="163"/>
      <c r="G31" s="163"/>
      <c r="H31" s="163"/>
      <c r="I31" s="163"/>
      <c r="J31" s="163"/>
      <c r="K31" s="163"/>
      <c r="L31" s="163"/>
      <c r="M31" s="163"/>
      <c r="N31" s="163"/>
      <c r="O31" s="163"/>
      <c r="P31" s="163"/>
      <c r="Q31" s="163"/>
      <c r="R31" s="163"/>
      <c r="S31" s="163"/>
      <c r="T31" s="163"/>
      <c r="U31" s="163"/>
      <c r="V31" s="163"/>
      <c r="W31" s="163"/>
      <c r="X31" s="163"/>
      <c r="Y31" s="163"/>
      <c r="Z31" s="163"/>
      <c r="AA31" s="163"/>
      <c r="AB31" s="163"/>
      <c r="AC31" s="163"/>
      <c r="AD31" s="163"/>
      <c r="AE31" s="163"/>
      <c r="AF31" s="163"/>
      <c r="AG31" s="163"/>
      <c r="AH31" s="163"/>
      <c r="AI31" s="163"/>
      <c r="AJ31" s="163"/>
      <c r="AK31" s="163"/>
      <c r="AL31" s="164"/>
    </row>
    <row r="32" spans="1:39" ht="12" customHeight="1">
      <c r="A32" s="167"/>
      <c r="B32" s="168"/>
      <c r="C32" s="169"/>
      <c r="D32" s="71">
        <v>45762</v>
      </c>
      <c r="E32" s="72"/>
      <c r="F32" s="72"/>
      <c r="G32" s="73"/>
      <c r="H32" s="209">
        <v>150400000000</v>
      </c>
      <c r="I32" s="210"/>
      <c r="J32" s="210"/>
      <c r="K32" s="210"/>
      <c r="L32" s="211"/>
      <c r="M32" s="58" t="s">
        <v>46</v>
      </c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60"/>
      <c r="AD32" s="212">
        <v>-1497172</v>
      </c>
      <c r="AE32" s="213"/>
      <c r="AF32" s="213"/>
      <c r="AG32" s="214"/>
      <c r="AH32" s="212">
        <v>-1497172</v>
      </c>
      <c r="AI32" s="214"/>
      <c r="AJ32" s="215" t="s">
        <v>47</v>
      </c>
      <c r="AK32" s="216"/>
      <c r="AL32" s="1">
        <v>-1497172</v>
      </c>
    </row>
    <row r="33" spans="1:47" ht="12" customHeight="1">
      <c r="A33" s="217" t="s">
        <v>48</v>
      </c>
      <c r="B33" s="218"/>
      <c r="C33" s="218"/>
      <c r="D33" s="218"/>
      <c r="E33" s="218"/>
      <c r="F33" s="218"/>
      <c r="G33" s="218"/>
      <c r="H33" s="218"/>
      <c r="I33" s="218"/>
      <c r="J33" s="218"/>
      <c r="K33" s="218"/>
      <c r="L33" s="218"/>
      <c r="M33" s="218"/>
      <c r="N33" s="218"/>
      <c r="O33" s="218"/>
      <c r="P33" s="218"/>
      <c r="Q33" s="218"/>
      <c r="R33" s="218"/>
      <c r="S33" s="218"/>
      <c r="T33" s="218"/>
      <c r="U33" s="218"/>
      <c r="V33" s="218"/>
      <c r="W33" s="218"/>
      <c r="X33" s="218"/>
      <c r="Y33" s="218"/>
      <c r="Z33" s="218"/>
      <c r="AA33" s="218"/>
      <c r="AB33" s="218"/>
      <c r="AC33" s="218"/>
      <c r="AD33" s="218"/>
      <c r="AE33" s="218"/>
      <c r="AF33" s="218"/>
      <c r="AG33" s="218"/>
      <c r="AH33" s="218"/>
      <c r="AI33" s="218"/>
      <c r="AJ33" s="218"/>
      <c r="AK33" s="8" t="s">
        <v>49</v>
      </c>
      <c r="AL33" s="9" t="s">
        <v>50</v>
      </c>
    </row>
    <row r="34" spans="1:47" ht="12" customHeight="1">
      <c r="A34" s="167"/>
      <c r="B34" s="168"/>
      <c r="C34" s="169"/>
      <c r="D34" s="167"/>
      <c r="E34" s="168"/>
      <c r="F34" s="168"/>
      <c r="G34" s="169"/>
      <c r="H34" s="167"/>
      <c r="I34" s="168"/>
      <c r="J34" s="168"/>
      <c r="K34" s="168"/>
      <c r="L34" s="169"/>
      <c r="M34" s="58" t="s">
        <v>51</v>
      </c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60"/>
      <c r="AD34" s="167"/>
      <c r="AE34" s="168"/>
      <c r="AF34" s="168"/>
      <c r="AG34" s="169"/>
      <c r="AH34" s="167"/>
      <c r="AI34" s="169"/>
      <c r="AJ34" s="167"/>
      <c r="AK34" s="169"/>
      <c r="AL34" s="6"/>
    </row>
    <row r="35" spans="1:47" ht="12" customHeight="1">
      <c r="A35" s="207" t="s">
        <v>52</v>
      </c>
      <c r="B35" s="208"/>
      <c r="C35" s="208"/>
      <c r="D35" s="208"/>
      <c r="E35" s="208"/>
      <c r="F35" s="208"/>
      <c r="G35" s="208"/>
      <c r="H35" s="208"/>
      <c r="I35" s="208"/>
      <c r="J35" s="208"/>
      <c r="K35" s="208"/>
      <c r="L35" s="208"/>
      <c r="M35" s="208"/>
      <c r="N35" s="208"/>
      <c r="O35" s="208"/>
      <c r="P35" s="208"/>
      <c r="Q35" s="208"/>
      <c r="R35" s="208"/>
      <c r="S35" s="208"/>
      <c r="T35" s="208"/>
      <c r="U35" s="208"/>
      <c r="V35" s="208"/>
      <c r="W35" s="208"/>
      <c r="X35" s="208"/>
      <c r="Y35" s="208"/>
      <c r="Z35" s="208"/>
      <c r="AA35" s="208"/>
      <c r="AB35" s="208"/>
      <c r="AC35" s="208"/>
      <c r="AD35" s="208"/>
      <c r="AE35" s="208"/>
      <c r="AF35" s="208"/>
      <c r="AG35" s="208"/>
      <c r="AH35" s="208"/>
      <c r="AI35" s="208"/>
      <c r="AJ35" s="208"/>
      <c r="AK35" s="8" t="s">
        <v>53</v>
      </c>
      <c r="AL35" s="9" t="s">
        <v>54</v>
      </c>
      <c r="AN35" s="23" t="s">
        <v>133</v>
      </c>
      <c r="AO35" s="23" t="s">
        <v>134</v>
      </c>
      <c r="AP35" s="23" t="s">
        <v>135</v>
      </c>
      <c r="AQ35" s="23" t="s">
        <v>136</v>
      </c>
      <c r="AR35" s="16"/>
      <c r="AS35" s="16"/>
      <c r="AT35" s="16"/>
      <c r="AU35" s="16"/>
    </row>
    <row r="36" spans="1:47" ht="12" customHeight="1">
      <c r="A36" s="46" t="s">
        <v>55</v>
      </c>
      <c r="B36" s="47"/>
      <c r="C36" s="48"/>
      <c r="D36" s="134">
        <v>45743</v>
      </c>
      <c r="E36" s="135"/>
      <c r="F36" s="135"/>
      <c r="G36" s="136"/>
      <c r="H36" s="137">
        <v>280327215448</v>
      </c>
      <c r="I36" s="138"/>
      <c r="J36" s="138"/>
      <c r="K36" s="138"/>
      <c r="L36" s="139"/>
      <c r="M36" s="46" t="s">
        <v>56</v>
      </c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8"/>
      <c r="AD36" s="122">
        <v>16825</v>
      </c>
      <c r="AE36" s="123"/>
      <c r="AF36" s="123"/>
      <c r="AG36" s="124"/>
      <c r="AH36" s="122">
        <v>16825</v>
      </c>
      <c r="AI36" s="124"/>
      <c r="AJ36" s="140" t="s">
        <v>47</v>
      </c>
      <c r="AK36" s="141"/>
      <c r="AL36" s="2">
        <v>16825</v>
      </c>
      <c r="AN36" s="16" t="s">
        <v>138</v>
      </c>
      <c r="AO36" s="16"/>
      <c r="AP36" s="16"/>
      <c r="AQ36" s="16">
        <f t="shared" ref="AQ36:AQ96" si="0">VLOOKUP(AN36,AS:AT,2,0)</f>
        <v>8040708</v>
      </c>
      <c r="AR36" s="18"/>
      <c r="AS36" s="16"/>
      <c r="AT36" s="16"/>
      <c r="AU36" s="16"/>
    </row>
    <row r="37" spans="1:47" ht="12" customHeight="1">
      <c r="A37" s="49" t="s">
        <v>57</v>
      </c>
      <c r="B37" s="50"/>
      <c r="C37" s="51"/>
      <c r="D37" s="173">
        <v>45746</v>
      </c>
      <c r="E37" s="174"/>
      <c r="F37" s="174"/>
      <c r="G37" s="175"/>
      <c r="H37" s="176">
        <v>310310518226</v>
      </c>
      <c r="I37" s="177"/>
      <c r="J37" s="177"/>
      <c r="K37" s="177"/>
      <c r="L37" s="178"/>
      <c r="M37" s="203" t="s">
        <v>147</v>
      </c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1"/>
      <c r="AD37" s="86">
        <v>42675</v>
      </c>
      <c r="AE37" s="87"/>
      <c r="AF37" s="87"/>
      <c r="AG37" s="88"/>
      <c r="AH37" s="86">
        <v>42675</v>
      </c>
      <c r="AI37" s="88"/>
      <c r="AJ37" s="179" t="s">
        <v>47</v>
      </c>
      <c r="AK37" s="180"/>
      <c r="AL37" s="3">
        <v>42675</v>
      </c>
      <c r="AN37" s="19" t="s">
        <v>137</v>
      </c>
      <c r="AO37" s="16"/>
      <c r="AP37" s="16"/>
      <c r="AQ37" s="16">
        <f t="shared" si="0"/>
        <v>8040706</v>
      </c>
      <c r="AR37" s="16"/>
      <c r="AS37" s="16"/>
      <c r="AT37" s="16"/>
      <c r="AU37" s="16"/>
    </row>
    <row r="38" spans="1:47" ht="12" customHeight="1">
      <c r="A38" s="52" t="s">
        <v>57</v>
      </c>
      <c r="B38" s="53"/>
      <c r="C38" s="54"/>
      <c r="D38" s="142">
        <v>45747</v>
      </c>
      <c r="E38" s="143"/>
      <c r="F38" s="143"/>
      <c r="G38" s="144"/>
      <c r="H38" s="204">
        <v>10410660609</v>
      </c>
      <c r="I38" s="205"/>
      <c r="J38" s="205"/>
      <c r="K38" s="205"/>
      <c r="L38" s="206"/>
      <c r="M38" s="52" t="s">
        <v>58</v>
      </c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4"/>
      <c r="AD38" s="148">
        <v>32300</v>
      </c>
      <c r="AE38" s="149"/>
      <c r="AF38" s="149"/>
      <c r="AG38" s="150"/>
      <c r="AH38" s="148">
        <v>32300</v>
      </c>
      <c r="AI38" s="150"/>
      <c r="AJ38" s="151" t="s">
        <v>47</v>
      </c>
      <c r="AK38" s="152"/>
      <c r="AL38" s="10">
        <v>32300</v>
      </c>
      <c r="AN38" s="19" t="s">
        <v>137</v>
      </c>
      <c r="AO38" s="18"/>
      <c r="AP38" s="16"/>
      <c r="AQ38" s="16">
        <f t="shared" si="0"/>
        <v>8040706</v>
      </c>
      <c r="AR38" s="16"/>
      <c r="AS38" s="18" t="s">
        <v>138</v>
      </c>
      <c r="AT38" s="16">
        <v>8040708</v>
      </c>
      <c r="AU38" s="17">
        <f>SUMIF(AQ:AQ,AT38,AL:AL)</f>
        <v>327144</v>
      </c>
    </row>
    <row r="39" spans="1:47" ht="12" customHeight="1">
      <c r="A39" s="74" t="s">
        <v>35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75"/>
      <c r="AK39" s="75"/>
      <c r="AL39" s="76"/>
      <c r="AN39" s="18"/>
      <c r="AO39" s="16"/>
      <c r="AP39" s="16"/>
      <c r="AQ39" s="16"/>
      <c r="AR39" s="16"/>
      <c r="AS39" s="16" t="s">
        <v>139</v>
      </c>
      <c r="AT39" s="16">
        <v>8050701</v>
      </c>
      <c r="AU39" s="17">
        <f t="shared" ref="AU39:AU50" si="1">SUMIF(AQ:AQ,AT39,AL:AL)</f>
        <v>0</v>
      </c>
    </row>
    <row r="40" spans="1:47" ht="12" customHeight="1">
      <c r="A40" s="46" t="s">
        <v>36</v>
      </c>
      <c r="B40" s="47"/>
      <c r="C40" s="48"/>
      <c r="D40" s="46" t="s">
        <v>37</v>
      </c>
      <c r="E40" s="47"/>
      <c r="F40" s="47"/>
      <c r="G40" s="48"/>
      <c r="H40" s="46" t="s">
        <v>38</v>
      </c>
      <c r="I40" s="47"/>
      <c r="J40" s="47"/>
      <c r="K40" s="47"/>
      <c r="L40" s="48"/>
      <c r="M40" s="46" t="s">
        <v>39</v>
      </c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8"/>
      <c r="AD40" s="153" t="s">
        <v>68</v>
      </c>
      <c r="AE40" s="101"/>
      <c r="AF40" s="101"/>
      <c r="AG40" s="154"/>
      <c r="AH40" s="153" t="s">
        <v>69</v>
      </c>
      <c r="AI40" s="154"/>
      <c r="AJ40" s="157" t="s">
        <v>42</v>
      </c>
      <c r="AK40" s="158"/>
      <c r="AL40" s="159"/>
      <c r="AN40" s="16"/>
      <c r="AO40" s="16"/>
      <c r="AP40" s="16"/>
      <c r="AQ40" s="16"/>
      <c r="AR40" s="16"/>
      <c r="AS40" s="16" t="s">
        <v>137</v>
      </c>
      <c r="AT40" s="16">
        <v>8040706</v>
      </c>
      <c r="AU40" s="17">
        <f>SUMIF(AQ:AQ,AT40,AL:AL)</f>
        <v>728900</v>
      </c>
    </row>
    <row r="41" spans="1:47" ht="24" customHeight="1">
      <c r="A41" s="52"/>
      <c r="B41" s="53"/>
      <c r="C41" s="54"/>
      <c r="D41" s="52"/>
      <c r="E41" s="53"/>
      <c r="F41" s="53"/>
      <c r="G41" s="54"/>
      <c r="H41" s="52"/>
      <c r="I41" s="53"/>
      <c r="J41" s="53"/>
      <c r="K41" s="53"/>
      <c r="L41" s="54"/>
      <c r="M41" s="52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4"/>
      <c r="AD41" s="155"/>
      <c r="AE41" s="105"/>
      <c r="AF41" s="105"/>
      <c r="AG41" s="156"/>
      <c r="AH41" s="155"/>
      <c r="AI41" s="156"/>
      <c r="AJ41" s="58" t="s">
        <v>43</v>
      </c>
      <c r="AK41" s="60"/>
      <c r="AL41" s="5" t="s">
        <v>44</v>
      </c>
      <c r="AN41" s="18"/>
      <c r="AO41" s="16"/>
      <c r="AP41" s="16"/>
      <c r="AQ41" s="16"/>
      <c r="AR41" s="18"/>
      <c r="AS41" s="16" t="s">
        <v>140</v>
      </c>
      <c r="AT41" s="16">
        <v>8051420</v>
      </c>
      <c r="AU41" s="17">
        <f t="shared" si="1"/>
        <v>0</v>
      </c>
    </row>
    <row r="42" spans="1:47" ht="12" customHeight="1">
      <c r="A42" s="46" t="s">
        <v>57</v>
      </c>
      <c r="B42" s="47"/>
      <c r="C42" s="48"/>
      <c r="D42" s="134">
        <v>45748</v>
      </c>
      <c r="E42" s="135"/>
      <c r="F42" s="135"/>
      <c r="G42" s="136"/>
      <c r="H42" s="184">
        <v>20410537013</v>
      </c>
      <c r="I42" s="185"/>
      <c r="J42" s="185"/>
      <c r="K42" s="185"/>
      <c r="L42" s="186"/>
      <c r="M42" s="46" t="s">
        <v>70</v>
      </c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8"/>
      <c r="AD42" s="122">
        <v>116077</v>
      </c>
      <c r="AE42" s="123"/>
      <c r="AF42" s="123"/>
      <c r="AG42" s="124"/>
      <c r="AH42" s="122">
        <v>116077</v>
      </c>
      <c r="AI42" s="124"/>
      <c r="AJ42" s="140" t="s">
        <v>47</v>
      </c>
      <c r="AK42" s="141"/>
      <c r="AL42" s="22">
        <v>116077</v>
      </c>
      <c r="AN42" s="19" t="s">
        <v>148</v>
      </c>
      <c r="AO42" s="16">
        <v>40975</v>
      </c>
      <c r="AP42" s="16">
        <v>768552215</v>
      </c>
      <c r="AQ42" s="16">
        <f t="shared" si="0"/>
        <v>3030101</v>
      </c>
      <c r="AR42" s="18"/>
      <c r="AS42" s="16" t="s">
        <v>141</v>
      </c>
      <c r="AT42" s="16">
        <v>8051416</v>
      </c>
      <c r="AU42" s="17">
        <f t="shared" si="1"/>
        <v>382533</v>
      </c>
    </row>
    <row r="43" spans="1:47" ht="12" customHeight="1">
      <c r="A43" s="49" t="s">
        <v>57</v>
      </c>
      <c r="B43" s="50"/>
      <c r="C43" s="51"/>
      <c r="D43" s="173">
        <v>45748</v>
      </c>
      <c r="E43" s="174"/>
      <c r="F43" s="174"/>
      <c r="G43" s="175"/>
      <c r="H43" s="181">
        <v>20411592424</v>
      </c>
      <c r="I43" s="182"/>
      <c r="J43" s="182"/>
      <c r="K43" s="182"/>
      <c r="L43" s="183"/>
      <c r="M43" s="49" t="s">
        <v>71</v>
      </c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1"/>
      <c r="AD43" s="86">
        <v>135600</v>
      </c>
      <c r="AE43" s="87"/>
      <c r="AF43" s="87"/>
      <c r="AG43" s="88"/>
      <c r="AH43" s="86">
        <v>135600</v>
      </c>
      <c r="AI43" s="88"/>
      <c r="AJ43" s="179" t="s">
        <v>47</v>
      </c>
      <c r="AK43" s="180"/>
      <c r="AL43" s="3">
        <v>135600</v>
      </c>
      <c r="AN43" s="19" t="s">
        <v>137</v>
      </c>
      <c r="AO43" s="16"/>
      <c r="AP43" s="16"/>
      <c r="AQ43" s="16">
        <f t="shared" si="0"/>
        <v>8040706</v>
      </c>
      <c r="AR43" s="16"/>
      <c r="AS43" s="16" t="s">
        <v>142</v>
      </c>
      <c r="AT43" s="16">
        <v>8050901</v>
      </c>
      <c r="AU43" s="17">
        <f t="shared" si="1"/>
        <v>0</v>
      </c>
    </row>
    <row r="44" spans="1:47" ht="12" customHeight="1">
      <c r="A44" s="49" t="s">
        <v>57</v>
      </c>
      <c r="B44" s="50"/>
      <c r="C44" s="51"/>
      <c r="D44" s="173">
        <v>45748</v>
      </c>
      <c r="E44" s="174"/>
      <c r="F44" s="174"/>
      <c r="G44" s="175"/>
      <c r="H44" s="181">
        <v>20410581668</v>
      </c>
      <c r="I44" s="182"/>
      <c r="J44" s="182"/>
      <c r="K44" s="182"/>
      <c r="L44" s="183"/>
      <c r="M44" s="49" t="s">
        <v>58</v>
      </c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1"/>
      <c r="AD44" s="86">
        <v>39800</v>
      </c>
      <c r="AE44" s="87"/>
      <c r="AF44" s="87"/>
      <c r="AG44" s="88"/>
      <c r="AH44" s="86">
        <v>39800</v>
      </c>
      <c r="AI44" s="88"/>
      <c r="AJ44" s="179" t="s">
        <v>47</v>
      </c>
      <c r="AK44" s="180"/>
      <c r="AL44" s="3">
        <v>39800</v>
      </c>
      <c r="AN44" s="19" t="s">
        <v>137</v>
      </c>
      <c r="AO44" s="16"/>
      <c r="AP44" s="16"/>
      <c r="AQ44" s="16">
        <f t="shared" si="0"/>
        <v>8040706</v>
      </c>
      <c r="AR44" s="16"/>
      <c r="AS44" s="16" t="s">
        <v>143</v>
      </c>
      <c r="AT44" s="16">
        <v>8051301</v>
      </c>
      <c r="AU44" s="17">
        <f t="shared" si="1"/>
        <v>29639</v>
      </c>
    </row>
    <row r="45" spans="1:47" ht="12" customHeight="1">
      <c r="A45" s="49" t="s">
        <v>55</v>
      </c>
      <c r="B45" s="50"/>
      <c r="C45" s="51"/>
      <c r="D45" s="173">
        <v>45748</v>
      </c>
      <c r="E45" s="174"/>
      <c r="F45" s="174"/>
      <c r="G45" s="175"/>
      <c r="H45" s="181">
        <v>20439862602</v>
      </c>
      <c r="I45" s="182"/>
      <c r="J45" s="182"/>
      <c r="K45" s="182"/>
      <c r="L45" s="183"/>
      <c r="M45" s="49" t="s">
        <v>56</v>
      </c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1"/>
      <c r="AD45" s="86">
        <v>3017</v>
      </c>
      <c r="AE45" s="87"/>
      <c r="AF45" s="87"/>
      <c r="AG45" s="88"/>
      <c r="AH45" s="86">
        <v>3017</v>
      </c>
      <c r="AI45" s="88"/>
      <c r="AJ45" s="179" t="s">
        <v>47</v>
      </c>
      <c r="AK45" s="180"/>
      <c r="AL45" s="3">
        <v>3017</v>
      </c>
      <c r="AN45" s="16" t="s">
        <v>138</v>
      </c>
      <c r="AO45" s="16"/>
      <c r="AP45" s="16"/>
      <c r="AQ45" s="16">
        <f t="shared" si="0"/>
        <v>8040708</v>
      </c>
      <c r="AR45" s="18"/>
      <c r="AS45" s="16" t="s">
        <v>144</v>
      </c>
      <c r="AT45" s="16">
        <v>8040703</v>
      </c>
      <c r="AU45" s="17">
        <f t="shared" si="1"/>
        <v>0</v>
      </c>
    </row>
    <row r="46" spans="1:47" ht="12" customHeight="1">
      <c r="A46" s="49" t="s">
        <v>55</v>
      </c>
      <c r="B46" s="50"/>
      <c r="C46" s="51"/>
      <c r="D46" s="173">
        <v>45749</v>
      </c>
      <c r="E46" s="174"/>
      <c r="F46" s="174"/>
      <c r="G46" s="175"/>
      <c r="H46" s="181">
        <v>30442486462</v>
      </c>
      <c r="I46" s="182"/>
      <c r="J46" s="182"/>
      <c r="K46" s="182"/>
      <c r="L46" s="183"/>
      <c r="M46" s="49" t="s">
        <v>72</v>
      </c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1"/>
      <c r="AD46" s="86">
        <v>62979</v>
      </c>
      <c r="AE46" s="87"/>
      <c r="AF46" s="87"/>
      <c r="AG46" s="88"/>
      <c r="AH46" s="86">
        <v>62979</v>
      </c>
      <c r="AI46" s="88"/>
      <c r="AJ46" s="179" t="s">
        <v>47</v>
      </c>
      <c r="AK46" s="180"/>
      <c r="AL46" s="3">
        <v>62979</v>
      </c>
      <c r="AN46" s="19" t="s">
        <v>137</v>
      </c>
      <c r="AO46" s="16"/>
      <c r="AP46" s="16"/>
      <c r="AQ46" s="16">
        <f t="shared" si="0"/>
        <v>8040706</v>
      </c>
      <c r="AR46" s="16"/>
      <c r="AS46" s="16" t="s">
        <v>145</v>
      </c>
      <c r="AT46" s="16">
        <v>8050708</v>
      </c>
      <c r="AU46" s="17">
        <f t="shared" si="1"/>
        <v>0</v>
      </c>
    </row>
    <row r="47" spans="1:47" ht="12" customHeight="1">
      <c r="A47" s="49" t="s">
        <v>57</v>
      </c>
      <c r="B47" s="50"/>
      <c r="C47" s="51"/>
      <c r="D47" s="173">
        <v>45749</v>
      </c>
      <c r="E47" s="174"/>
      <c r="F47" s="174"/>
      <c r="G47" s="175"/>
      <c r="H47" s="181">
        <v>30410577318</v>
      </c>
      <c r="I47" s="182"/>
      <c r="J47" s="182"/>
      <c r="K47" s="182"/>
      <c r="L47" s="183"/>
      <c r="M47" s="49" t="s">
        <v>58</v>
      </c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1"/>
      <c r="AD47" s="86">
        <v>39800</v>
      </c>
      <c r="AE47" s="87"/>
      <c r="AF47" s="87"/>
      <c r="AG47" s="88"/>
      <c r="AH47" s="86">
        <v>39800</v>
      </c>
      <c r="AI47" s="88"/>
      <c r="AJ47" s="179" t="s">
        <v>47</v>
      </c>
      <c r="AK47" s="180"/>
      <c r="AL47" s="3">
        <v>39800</v>
      </c>
      <c r="AN47" s="19" t="s">
        <v>137</v>
      </c>
      <c r="AO47" s="16"/>
      <c r="AP47" s="16"/>
      <c r="AQ47" s="16">
        <f t="shared" si="0"/>
        <v>8040706</v>
      </c>
      <c r="AR47" s="16"/>
      <c r="AS47" s="16" t="s">
        <v>146</v>
      </c>
      <c r="AT47" s="16">
        <v>8040705</v>
      </c>
      <c r="AU47" s="17">
        <f t="shared" si="1"/>
        <v>0</v>
      </c>
    </row>
    <row r="48" spans="1:47" ht="12" customHeight="1">
      <c r="A48" s="49" t="s">
        <v>57</v>
      </c>
      <c r="B48" s="50"/>
      <c r="C48" s="51"/>
      <c r="D48" s="173">
        <v>45749</v>
      </c>
      <c r="E48" s="174"/>
      <c r="F48" s="174"/>
      <c r="G48" s="175"/>
      <c r="H48" s="181">
        <v>30412020543</v>
      </c>
      <c r="I48" s="182"/>
      <c r="J48" s="182"/>
      <c r="K48" s="182"/>
      <c r="L48" s="183"/>
      <c r="M48" s="49" t="s">
        <v>73</v>
      </c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1"/>
      <c r="AD48" s="86">
        <v>26090</v>
      </c>
      <c r="AE48" s="87"/>
      <c r="AF48" s="87"/>
      <c r="AG48" s="88"/>
      <c r="AH48" s="86">
        <v>26090</v>
      </c>
      <c r="AI48" s="88"/>
      <c r="AJ48" s="179" t="s">
        <v>47</v>
      </c>
      <c r="AK48" s="180"/>
      <c r="AL48" s="21">
        <v>26090</v>
      </c>
      <c r="AN48" s="19" t="s">
        <v>148</v>
      </c>
      <c r="AO48" s="16">
        <v>2842298</v>
      </c>
      <c r="AP48" s="16">
        <v>605030009</v>
      </c>
      <c r="AQ48" s="16">
        <f t="shared" si="0"/>
        <v>3030101</v>
      </c>
      <c r="AR48" s="16"/>
      <c r="AS48" s="20" t="s">
        <v>148</v>
      </c>
      <c r="AT48" s="16">
        <v>3030101</v>
      </c>
      <c r="AU48" s="17">
        <f t="shared" si="1"/>
        <v>636927</v>
      </c>
    </row>
    <row r="49" spans="1:48" ht="12" customHeight="1">
      <c r="A49" s="49" t="s">
        <v>57</v>
      </c>
      <c r="B49" s="50"/>
      <c r="C49" s="51"/>
      <c r="D49" s="173">
        <v>45750</v>
      </c>
      <c r="E49" s="174"/>
      <c r="F49" s="174"/>
      <c r="G49" s="175"/>
      <c r="H49" s="181">
        <v>40412095610</v>
      </c>
      <c r="I49" s="182"/>
      <c r="J49" s="182"/>
      <c r="K49" s="182"/>
      <c r="L49" s="183"/>
      <c r="M49" s="49" t="s">
        <v>74</v>
      </c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1"/>
      <c r="AD49" s="86">
        <v>17990</v>
      </c>
      <c r="AE49" s="87"/>
      <c r="AF49" s="87"/>
      <c r="AG49" s="88"/>
      <c r="AH49" s="86">
        <v>17990</v>
      </c>
      <c r="AI49" s="88"/>
      <c r="AJ49" s="179" t="s">
        <v>47</v>
      </c>
      <c r="AK49" s="180"/>
      <c r="AL49" s="3">
        <v>17990</v>
      </c>
      <c r="AN49" s="19" t="s">
        <v>137</v>
      </c>
      <c r="AO49" s="16"/>
      <c r="AP49" s="16"/>
      <c r="AQ49" s="16">
        <f t="shared" si="0"/>
        <v>8040706</v>
      </c>
      <c r="AR49" s="16"/>
      <c r="AS49" s="24" t="s">
        <v>150</v>
      </c>
      <c r="AT49" s="16">
        <v>3011302</v>
      </c>
      <c r="AU49" s="17">
        <f t="shared" si="1"/>
        <v>965300</v>
      </c>
    </row>
    <row r="50" spans="1:48" ht="12" customHeight="1">
      <c r="A50" s="49" t="s">
        <v>57</v>
      </c>
      <c r="B50" s="50"/>
      <c r="C50" s="51"/>
      <c r="D50" s="173">
        <v>45750</v>
      </c>
      <c r="E50" s="174"/>
      <c r="F50" s="174"/>
      <c r="G50" s="175"/>
      <c r="H50" s="181">
        <v>40410549478</v>
      </c>
      <c r="I50" s="182"/>
      <c r="J50" s="182"/>
      <c r="K50" s="182"/>
      <c r="L50" s="183"/>
      <c r="M50" s="49" t="s">
        <v>75</v>
      </c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1"/>
      <c r="AD50" s="86">
        <v>90000</v>
      </c>
      <c r="AE50" s="87"/>
      <c r="AF50" s="87"/>
      <c r="AG50" s="88"/>
      <c r="AH50" s="86">
        <v>90000</v>
      </c>
      <c r="AI50" s="88"/>
      <c r="AJ50" s="179" t="s">
        <v>47</v>
      </c>
      <c r="AK50" s="180"/>
      <c r="AL50" s="21">
        <v>90000</v>
      </c>
      <c r="AN50" s="19" t="s">
        <v>148</v>
      </c>
      <c r="AO50" s="16">
        <v>149</v>
      </c>
      <c r="AP50" s="16">
        <v>769513183</v>
      </c>
      <c r="AQ50" s="16">
        <f t="shared" si="0"/>
        <v>3030101</v>
      </c>
      <c r="AR50" s="16"/>
      <c r="AS50" s="20" t="s">
        <v>151</v>
      </c>
      <c r="AT50" s="16">
        <v>3011301</v>
      </c>
      <c r="AU50" s="17">
        <f t="shared" si="1"/>
        <v>0</v>
      </c>
      <c r="AV50" s="25">
        <f>SUM(AU38:AU49)</f>
        <v>3070443</v>
      </c>
    </row>
    <row r="51" spans="1:48" ht="12" customHeight="1">
      <c r="A51" s="49" t="s">
        <v>57</v>
      </c>
      <c r="B51" s="50"/>
      <c r="C51" s="51"/>
      <c r="D51" s="173">
        <v>45753</v>
      </c>
      <c r="E51" s="174"/>
      <c r="F51" s="174"/>
      <c r="G51" s="175"/>
      <c r="H51" s="181">
        <v>70410472352</v>
      </c>
      <c r="I51" s="182"/>
      <c r="J51" s="182"/>
      <c r="K51" s="182"/>
      <c r="L51" s="183"/>
      <c r="M51" s="49" t="s">
        <v>58</v>
      </c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1"/>
      <c r="AD51" s="86">
        <v>40300</v>
      </c>
      <c r="AE51" s="87"/>
      <c r="AF51" s="87"/>
      <c r="AG51" s="88"/>
      <c r="AH51" s="86">
        <v>40300</v>
      </c>
      <c r="AI51" s="88"/>
      <c r="AJ51" s="179" t="s">
        <v>47</v>
      </c>
      <c r="AK51" s="180"/>
      <c r="AL51" s="3">
        <v>40300</v>
      </c>
      <c r="AN51" s="19" t="s">
        <v>137</v>
      </c>
      <c r="AO51" s="16"/>
      <c r="AP51" s="16"/>
      <c r="AQ51" s="16">
        <f t="shared" si="0"/>
        <v>8040706</v>
      </c>
      <c r="AR51" s="16"/>
      <c r="AS51" s="16"/>
      <c r="AT51" s="16"/>
      <c r="AU51" s="20" t="s">
        <v>149</v>
      </c>
      <c r="AV51" s="26">
        <f>AV50-U99</f>
        <v>0</v>
      </c>
    </row>
    <row r="52" spans="1:48" ht="12" customHeight="1">
      <c r="A52" s="49" t="s">
        <v>76</v>
      </c>
      <c r="B52" s="50"/>
      <c r="C52" s="51"/>
      <c r="D52" s="173">
        <v>45754</v>
      </c>
      <c r="E52" s="174"/>
      <c r="F52" s="174"/>
      <c r="G52" s="175"/>
      <c r="H52" s="181">
        <v>80400549604</v>
      </c>
      <c r="I52" s="182"/>
      <c r="J52" s="182"/>
      <c r="K52" s="182"/>
      <c r="L52" s="183"/>
      <c r="M52" s="49" t="s">
        <v>77</v>
      </c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1"/>
      <c r="AD52" s="86">
        <v>322573</v>
      </c>
      <c r="AE52" s="87"/>
      <c r="AF52" s="87"/>
      <c r="AG52" s="88"/>
      <c r="AH52" s="86">
        <v>322573</v>
      </c>
      <c r="AI52" s="88"/>
      <c r="AJ52" s="179" t="s">
        <v>47</v>
      </c>
      <c r="AK52" s="180"/>
      <c r="AL52" s="3">
        <v>322573</v>
      </c>
      <c r="AN52" s="16" t="s">
        <v>141</v>
      </c>
      <c r="AO52" s="16"/>
      <c r="AP52" s="16"/>
      <c r="AQ52" s="16">
        <f t="shared" si="0"/>
        <v>8051416</v>
      </c>
      <c r="AR52" s="18"/>
      <c r="AS52" s="16"/>
      <c r="AT52" s="16"/>
      <c r="AU52" s="16"/>
    </row>
    <row r="53" spans="1:48" ht="12" customHeight="1">
      <c r="A53" s="49" t="s">
        <v>57</v>
      </c>
      <c r="B53" s="50"/>
      <c r="C53" s="51"/>
      <c r="D53" s="173">
        <v>45754</v>
      </c>
      <c r="E53" s="174"/>
      <c r="F53" s="174"/>
      <c r="G53" s="175"/>
      <c r="H53" s="181">
        <v>80410549049</v>
      </c>
      <c r="I53" s="182"/>
      <c r="J53" s="182"/>
      <c r="K53" s="182"/>
      <c r="L53" s="183"/>
      <c r="M53" s="49" t="s">
        <v>58</v>
      </c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1"/>
      <c r="AD53" s="86">
        <v>42300</v>
      </c>
      <c r="AE53" s="87"/>
      <c r="AF53" s="87"/>
      <c r="AG53" s="88"/>
      <c r="AH53" s="86">
        <v>42300</v>
      </c>
      <c r="AI53" s="88"/>
      <c r="AJ53" s="179" t="s">
        <v>47</v>
      </c>
      <c r="AK53" s="180"/>
      <c r="AL53" s="3">
        <v>42300</v>
      </c>
      <c r="AN53" s="16" t="s">
        <v>138</v>
      </c>
      <c r="AO53" s="16"/>
      <c r="AP53" s="16"/>
      <c r="AQ53" s="16">
        <f t="shared" si="0"/>
        <v>8040708</v>
      </c>
      <c r="AR53" s="16"/>
      <c r="AS53" s="16"/>
      <c r="AT53" s="16"/>
      <c r="AU53" s="16"/>
    </row>
    <row r="54" spans="1:48" ht="12" customHeight="1">
      <c r="A54" s="49" t="s">
        <v>57</v>
      </c>
      <c r="B54" s="50"/>
      <c r="C54" s="51"/>
      <c r="D54" s="173">
        <v>45755</v>
      </c>
      <c r="E54" s="174"/>
      <c r="F54" s="174"/>
      <c r="G54" s="175"/>
      <c r="H54" s="181">
        <v>90410533975</v>
      </c>
      <c r="I54" s="182"/>
      <c r="J54" s="182"/>
      <c r="K54" s="182"/>
      <c r="L54" s="183"/>
      <c r="M54" s="49" t="s">
        <v>58</v>
      </c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1"/>
      <c r="AD54" s="86">
        <v>43300</v>
      </c>
      <c r="AE54" s="87"/>
      <c r="AF54" s="87"/>
      <c r="AG54" s="88"/>
      <c r="AH54" s="86">
        <v>43300</v>
      </c>
      <c r="AI54" s="88"/>
      <c r="AJ54" s="179" t="s">
        <v>47</v>
      </c>
      <c r="AK54" s="180"/>
      <c r="AL54" s="21">
        <v>43300</v>
      </c>
      <c r="AN54" s="19" t="s">
        <v>148</v>
      </c>
      <c r="AO54" s="16">
        <v>3919</v>
      </c>
      <c r="AP54" s="16">
        <v>768064866</v>
      </c>
      <c r="AQ54" s="16">
        <f t="shared" si="0"/>
        <v>3030101</v>
      </c>
      <c r="AR54" s="16"/>
      <c r="AS54" s="16"/>
      <c r="AT54" s="16"/>
      <c r="AU54" s="16"/>
    </row>
    <row r="55" spans="1:48" ht="12" customHeight="1">
      <c r="A55" s="49" t="s">
        <v>57</v>
      </c>
      <c r="B55" s="50"/>
      <c r="C55" s="51"/>
      <c r="D55" s="173">
        <v>45756</v>
      </c>
      <c r="E55" s="174"/>
      <c r="F55" s="174"/>
      <c r="G55" s="175"/>
      <c r="H55" s="176">
        <v>100410536802</v>
      </c>
      <c r="I55" s="177"/>
      <c r="J55" s="177"/>
      <c r="K55" s="177"/>
      <c r="L55" s="178"/>
      <c r="M55" s="49" t="s">
        <v>58</v>
      </c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1"/>
      <c r="AD55" s="86">
        <v>43800</v>
      </c>
      <c r="AE55" s="87"/>
      <c r="AF55" s="87"/>
      <c r="AG55" s="88"/>
      <c r="AH55" s="86">
        <v>43800</v>
      </c>
      <c r="AI55" s="88"/>
      <c r="AJ55" s="179" t="s">
        <v>47</v>
      </c>
      <c r="AK55" s="180"/>
      <c r="AL55" s="3">
        <v>43800</v>
      </c>
      <c r="AN55" s="19" t="s">
        <v>148</v>
      </c>
      <c r="AO55" s="16">
        <v>3930</v>
      </c>
      <c r="AP55" s="16">
        <v>768064866</v>
      </c>
      <c r="AQ55" s="16">
        <f t="shared" si="0"/>
        <v>3030101</v>
      </c>
      <c r="AR55" s="16"/>
      <c r="AS55" s="16"/>
      <c r="AT55" s="16"/>
      <c r="AU55" s="16"/>
    </row>
    <row r="56" spans="1:48" ht="12" customHeight="1">
      <c r="A56" s="49" t="s">
        <v>57</v>
      </c>
      <c r="B56" s="50"/>
      <c r="C56" s="51"/>
      <c r="D56" s="173">
        <v>45757</v>
      </c>
      <c r="E56" s="174"/>
      <c r="F56" s="174"/>
      <c r="G56" s="175"/>
      <c r="H56" s="176">
        <v>110410546853</v>
      </c>
      <c r="I56" s="177"/>
      <c r="J56" s="177"/>
      <c r="K56" s="177"/>
      <c r="L56" s="178"/>
      <c r="M56" s="49" t="s">
        <v>58</v>
      </c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1"/>
      <c r="AD56" s="86">
        <v>49100</v>
      </c>
      <c r="AE56" s="87"/>
      <c r="AF56" s="87"/>
      <c r="AG56" s="88"/>
      <c r="AH56" s="86">
        <v>49100</v>
      </c>
      <c r="AI56" s="88"/>
      <c r="AJ56" s="179" t="s">
        <v>47</v>
      </c>
      <c r="AK56" s="180"/>
      <c r="AL56" s="21">
        <v>49100</v>
      </c>
      <c r="AN56" s="19" t="s">
        <v>148</v>
      </c>
      <c r="AO56" s="16">
        <v>3951</v>
      </c>
      <c r="AP56" s="16">
        <v>768064866</v>
      </c>
      <c r="AQ56" s="16">
        <f t="shared" si="0"/>
        <v>3030101</v>
      </c>
      <c r="AR56" s="16"/>
      <c r="AS56" s="16"/>
      <c r="AT56" s="16"/>
      <c r="AU56" s="16"/>
    </row>
    <row r="57" spans="1:48" ht="12" customHeight="1">
      <c r="A57" s="49" t="s">
        <v>55</v>
      </c>
      <c r="B57" s="50"/>
      <c r="C57" s="51"/>
      <c r="D57" s="173">
        <v>45757</v>
      </c>
      <c r="E57" s="174"/>
      <c r="F57" s="174"/>
      <c r="G57" s="175"/>
      <c r="H57" s="176">
        <v>110464623604</v>
      </c>
      <c r="I57" s="177"/>
      <c r="J57" s="177"/>
      <c r="K57" s="177"/>
      <c r="L57" s="178"/>
      <c r="M57" s="49" t="s">
        <v>78</v>
      </c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1"/>
      <c r="AD57" s="86">
        <v>109760</v>
      </c>
      <c r="AE57" s="87"/>
      <c r="AF57" s="87"/>
      <c r="AG57" s="88"/>
      <c r="AH57" s="86">
        <v>109760</v>
      </c>
      <c r="AI57" s="88"/>
      <c r="AJ57" s="179" t="s">
        <v>47</v>
      </c>
      <c r="AK57" s="180"/>
      <c r="AL57" s="21">
        <v>109760</v>
      </c>
      <c r="AN57" s="19" t="s">
        <v>148</v>
      </c>
      <c r="AO57" s="16">
        <v>64338</v>
      </c>
      <c r="AP57" s="16">
        <v>762766043</v>
      </c>
      <c r="AQ57" s="16">
        <f t="shared" si="0"/>
        <v>3030101</v>
      </c>
      <c r="AR57" s="16"/>
      <c r="AS57" s="16"/>
      <c r="AT57" s="16"/>
      <c r="AU57" s="16"/>
    </row>
    <row r="58" spans="1:48" ht="12" customHeight="1">
      <c r="A58" s="49" t="s">
        <v>57</v>
      </c>
      <c r="B58" s="50"/>
      <c r="C58" s="51"/>
      <c r="D58" s="173">
        <v>45760</v>
      </c>
      <c r="E58" s="174"/>
      <c r="F58" s="174"/>
      <c r="G58" s="175"/>
      <c r="H58" s="176">
        <v>140410460039</v>
      </c>
      <c r="I58" s="177"/>
      <c r="J58" s="177"/>
      <c r="K58" s="177"/>
      <c r="L58" s="178"/>
      <c r="M58" s="49" t="s">
        <v>58</v>
      </c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1"/>
      <c r="AD58" s="86">
        <v>38800</v>
      </c>
      <c r="AE58" s="87"/>
      <c r="AF58" s="87"/>
      <c r="AG58" s="88"/>
      <c r="AH58" s="86">
        <v>38800</v>
      </c>
      <c r="AI58" s="88"/>
      <c r="AJ58" s="179" t="s">
        <v>47</v>
      </c>
      <c r="AK58" s="180"/>
      <c r="AL58" s="21">
        <v>38800</v>
      </c>
      <c r="AN58" s="19" t="s">
        <v>148</v>
      </c>
      <c r="AO58" s="16">
        <v>3868</v>
      </c>
      <c r="AP58" s="16">
        <v>768084866</v>
      </c>
      <c r="AQ58" s="16">
        <f t="shared" si="0"/>
        <v>3030101</v>
      </c>
      <c r="AR58" s="16"/>
      <c r="AS58" s="16"/>
      <c r="AT58" s="16"/>
      <c r="AU58" s="16"/>
    </row>
    <row r="59" spans="1:48" ht="12" customHeight="1">
      <c r="A59" s="49" t="s">
        <v>57</v>
      </c>
      <c r="B59" s="50"/>
      <c r="C59" s="51"/>
      <c r="D59" s="173">
        <v>45761</v>
      </c>
      <c r="E59" s="174"/>
      <c r="F59" s="174"/>
      <c r="G59" s="175"/>
      <c r="H59" s="176">
        <v>150410800504</v>
      </c>
      <c r="I59" s="177"/>
      <c r="J59" s="177"/>
      <c r="K59" s="177"/>
      <c r="L59" s="178"/>
      <c r="M59" s="49" t="s">
        <v>79</v>
      </c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1"/>
      <c r="AD59" s="86">
        <v>45690</v>
      </c>
      <c r="AE59" s="87"/>
      <c r="AF59" s="87"/>
      <c r="AG59" s="88"/>
      <c r="AH59" s="86">
        <v>45690</v>
      </c>
      <c r="AI59" s="88"/>
      <c r="AJ59" s="179" t="s">
        <v>47</v>
      </c>
      <c r="AK59" s="180"/>
      <c r="AL59" s="3">
        <v>45690</v>
      </c>
      <c r="AN59" s="19" t="s">
        <v>137</v>
      </c>
      <c r="AO59" s="16"/>
      <c r="AP59" s="16"/>
      <c r="AQ59" s="16">
        <f t="shared" si="0"/>
        <v>8040706</v>
      </c>
      <c r="AR59" s="16"/>
      <c r="AS59" s="16"/>
      <c r="AT59" s="16"/>
      <c r="AU59" s="16"/>
    </row>
    <row r="60" spans="1:48" ht="12" customHeight="1">
      <c r="A60" s="49" t="s">
        <v>57</v>
      </c>
      <c r="B60" s="50"/>
      <c r="C60" s="51"/>
      <c r="D60" s="173">
        <v>45761</v>
      </c>
      <c r="E60" s="174"/>
      <c r="F60" s="174"/>
      <c r="G60" s="175"/>
      <c r="H60" s="176">
        <v>150410555221</v>
      </c>
      <c r="I60" s="177"/>
      <c r="J60" s="177"/>
      <c r="K60" s="177"/>
      <c r="L60" s="178"/>
      <c r="M60" s="49" t="s">
        <v>58</v>
      </c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1"/>
      <c r="AD60" s="86">
        <v>37800</v>
      </c>
      <c r="AE60" s="87"/>
      <c r="AF60" s="87"/>
      <c r="AG60" s="88"/>
      <c r="AH60" s="86">
        <v>37800</v>
      </c>
      <c r="AI60" s="88"/>
      <c r="AJ60" s="179" t="s">
        <v>47</v>
      </c>
      <c r="AK60" s="180"/>
      <c r="AL60" s="21">
        <v>37800</v>
      </c>
      <c r="AN60" s="19" t="s">
        <v>148</v>
      </c>
      <c r="AO60" s="16">
        <v>3963</v>
      </c>
      <c r="AP60" s="16">
        <v>768084866</v>
      </c>
      <c r="AQ60" s="16">
        <f t="shared" si="0"/>
        <v>3030101</v>
      </c>
      <c r="AR60" s="16"/>
      <c r="AS60" s="16"/>
      <c r="AT60" s="16"/>
      <c r="AU60" s="16"/>
    </row>
    <row r="61" spans="1:48" ht="12" customHeight="1">
      <c r="A61" s="49" t="s">
        <v>57</v>
      </c>
      <c r="B61" s="50"/>
      <c r="C61" s="51"/>
      <c r="D61" s="173">
        <v>45762</v>
      </c>
      <c r="E61" s="174"/>
      <c r="F61" s="174"/>
      <c r="G61" s="175"/>
      <c r="H61" s="176">
        <v>160411377273</v>
      </c>
      <c r="I61" s="177"/>
      <c r="J61" s="177"/>
      <c r="K61" s="177"/>
      <c r="L61" s="178"/>
      <c r="M61" s="49" t="s">
        <v>71</v>
      </c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1"/>
      <c r="AD61" s="86">
        <v>67800</v>
      </c>
      <c r="AE61" s="87"/>
      <c r="AF61" s="87"/>
      <c r="AG61" s="88"/>
      <c r="AH61" s="86">
        <v>67800</v>
      </c>
      <c r="AI61" s="88"/>
      <c r="AJ61" s="179" t="s">
        <v>47</v>
      </c>
      <c r="AK61" s="180"/>
      <c r="AL61" s="3">
        <v>67800</v>
      </c>
      <c r="AN61" s="19" t="s">
        <v>137</v>
      </c>
      <c r="AO61" s="16"/>
      <c r="AP61" s="16"/>
      <c r="AQ61" s="16">
        <f t="shared" si="0"/>
        <v>8040706</v>
      </c>
      <c r="AR61" s="16"/>
      <c r="AS61" s="16"/>
      <c r="AT61" s="16"/>
      <c r="AU61" s="16"/>
    </row>
    <row r="62" spans="1:48" ht="12" customHeight="1">
      <c r="A62" s="49" t="s">
        <v>57</v>
      </c>
      <c r="B62" s="50"/>
      <c r="C62" s="51"/>
      <c r="D62" s="173">
        <v>45762</v>
      </c>
      <c r="E62" s="174"/>
      <c r="F62" s="174"/>
      <c r="G62" s="175"/>
      <c r="H62" s="176">
        <v>160410549442</v>
      </c>
      <c r="I62" s="177"/>
      <c r="J62" s="177"/>
      <c r="K62" s="177"/>
      <c r="L62" s="178"/>
      <c r="M62" s="49" t="s">
        <v>58</v>
      </c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1"/>
      <c r="AD62" s="86">
        <v>42100</v>
      </c>
      <c r="AE62" s="87"/>
      <c r="AF62" s="87"/>
      <c r="AG62" s="88"/>
      <c r="AH62" s="86">
        <v>42100</v>
      </c>
      <c r="AI62" s="88"/>
      <c r="AJ62" s="179" t="s">
        <v>47</v>
      </c>
      <c r="AK62" s="180"/>
      <c r="AL62" s="21">
        <v>42100</v>
      </c>
      <c r="AN62" s="19" t="s">
        <v>148</v>
      </c>
      <c r="AO62" s="16">
        <v>3971</v>
      </c>
      <c r="AP62" s="16">
        <v>768084866</v>
      </c>
      <c r="AQ62" s="16">
        <f t="shared" si="0"/>
        <v>3030101</v>
      </c>
      <c r="AR62" s="16"/>
      <c r="AS62" s="16"/>
      <c r="AT62" s="16"/>
      <c r="AU62" s="16"/>
    </row>
    <row r="63" spans="1:48" ht="12" customHeight="1">
      <c r="A63" s="49" t="s">
        <v>57</v>
      </c>
      <c r="B63" s="50"/>
      <c r="C63" s="51"/>
      <c r="D63" s="173">
        <v>45763</v>
      </c>
      <c r="E63" s="174"/>
      <c r="F63" s="174"/>
      <c r="G63" s="175"/>
      <c r="H63" s="176">
        <v>170410565299</v>
      </c>
      <c r="I63" s="177"/>
      <c r="J63" s="177"/>
      <c r="K63" s="177"/>
      <c r="L63" s="178"/>
      <c r="M63" s="49" t="s">
        <v>58</v>
      </c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1"/>
      <c r="AD63" s="86">
        <v>40100</v>
      </c>
      <c r="AE63" s="87"/>
      <c r="AF63" s="87"/>
      <c r="AG63" s="88"/>
      <c r="AH63" s="86">
        <v>40100</v>
      </c>
      <c r="AI63" s="88"/>
      <c r="AJ63" s="179" t="s">
        <v>47</v>
      </c>
      <c r="AK63" s="180"/>
      <c r="AL63" s="21">
        <v>40100</v>
      </c>
      <c r="AN63" s="19" t="s">
        <v>148</v>
      </c>
      <c r="AO63" s="16">
        <v>3978</v>
      </c>
      <c r="AP63" s="16">
        <v>768084866</v>
      </c>
      <c r="AQ63" s="16">
        <f t="shared" si="0"/>
        <v>3030101</v>
      </c>
      <c r="AR63" s="16"/>
      <c r="AS63" s="16"/>
      <c r="AT63" s="16"/>
      <c r="AU63" s="16"/>
    </row>
    <row r="64" spans="1:48" ht="12" customHeight="1">
      <c r="A64" s="49" t="s">
        <v>55</v>
      </c>
      <c r="B64" s="50"/>
      <c r="C64" s="51"/>
      <c r="D64" s="173">
        <v>45768</v>
      </c>
      <c r="E64" s="174"/>
      <c r="F64" s="174"/>
      <c r="G64" s="175"/>
      <c r="H64" s="176">
        <v>220493391386</v>
      </c>
      <c r="I64" s="177"/>
      <c r="J64" s="177"/>
      <c r="K64" s="177"/>
      <c r="L64" s="178"/>
      <c r="M64" s="49" t="s">
        <v>56</v>
      </c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1"/>
      <c r="AD64" s="86">
        <v>11426</v>
      </c>
      <c r="AE64" s="87"/>
      <c r="AF64" s="87"/>
      <c r="AG64" s="88"/>
      <c r="AH64" s="86">
        <v>11426</v>
      </c>
      <c r="AI64" s="88"/>
      <c r="AJ64" s="179" t="s">
        <v>47</v>
      </c>
      <c r="AK64" s="180"/>
      <c r="AL64" s="3">
        <v>11426</v>
      </c>
      <c r="AN64" s="19" t="s">
        <v>138</v>
      </c>
      <c r="AO64" s="16"/>
      <c r="AP64" s="16"/>
      <c r="AQ64" s="16">
        <f t="shared" si="0"/>
        <v>8040708</v>
      </c>
      <c r="AR64" s="16"/>
      <c r="AS64" s="16"/>
      <c r="AT64" s="16"/>
      <c r="AU64" s="16"/>
    </row>
    <row r="65" spans="1:47" ht="12" customHeight="1">
      <c r="A65" s="49" t="s">
        <v>55</v>
      </c>
      <c r="B65" s="50"/>
      <c r="C65" s="51"/>
      <c r="D65" s="173">
        <v>45768</v>
      </c>
      <c r="E65" s="174"/>
      <c r="F65" s="174"/>
      <c r="G65" s="175"/>
      <c r="H65" s="176">
        <v>220432456309</v>
      </c>
      <c r="I65" s="177"/>
      <c r="J65" s="177"/>
      <c r="K65" s="177"/>
      <c r="L65" s="178"/>
      <c r="M65" s="49" t="s">
        <v>56</v>
      </c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1"/>
      <c r="AD65" s="86">
        <v>16786</v>
      </c>
      <c r="AE65" s="87"/>
      <c r="AF65" s="87"/>
      <c r="AG65" s="88"/>
      <c r="AH65" s="86">
        <v>16786</v>
      </c>
      <c r="AI65" s="88"/>
      <c r="AJ65" s="179" t="s">
        <v>47</v>
      </c>
      <c r="AK65" s="180"/>
      <c r="AL65" s="3">
        <v>16786</v>
      </c>
      <c r="AN65" s="19" t="s">
        <v>138</v>
      </c>
      <c r="AO65" s="16"/>
      <c r="AP65" s="16"/>
      <c r="AQ65" s="16">
        <f t="shared" si="0"/>
        <v>8040708</v>
      </c>
      <c r="AR65" s="16"/>
      <c r="AS65" s="16"/>
      <c r="AT65" s="16"/>
      <c r="AU65" s="16"/>
    </row>
    <row r="66" spans="1:47" ht="12" customHeight="1">
      <c r="A66" s="49" t="s">
        <v>55</v>
      </c>
      <c r="B66" s="50"/>
      <c r="C66" s="51"/>
      <c r="D66" s="173">
        <v>45769</v>
      </c>
      <c r="E66" s="174"/>
      <c r="F66" s="174"/>
      <c r="G66" s="175"/>
      <c r="H66" s="176">
        <v>230495787370</v>
      </c>
      <c r="I66" s="177"/>
      <c r="J66" s="177"/>
      <c r="K66" s="177"/>
      <c r="L66" s="178"/>
      <c r="M66" s="49" t="s">
        <v>56</v>
      </c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1"/>
      <c r="AD66" s="86">
        <v>33325</v>
      </c>
      <c r="AE66" s="87"/>
      <c r="AF66" s="87"/>
      <c r="AG66" s="88"/>
      <c r="AH66" s="86">
        <v>33325</v>
      </c>
      <c r="AI66" s="88"/>
      <c r="AJ66" s="179" t="s">
        <v>47</v>
      </c>
      <c r="AK66" s="180"/>
      <c r="AL66" s="3">
        <v>33325</v>
      </c>
      <c r="AN66" s="19" t="s">
        <v>138</v>
      </c>
      <c r="AO66" s="16"/>
      <c r="AP66" s="16"/>
      <c r="AQ66" s="16">
        <f t="shared" si="0"/>
        <v>8040708</v>
      </c>
      <c r="AR66" s="16"/>
      <c r="AS66" s="16"/>
      <c r="AT66" s="16"/>
      <c r="AU66" s="16"/>
    </row>
    <row r="67" spans="1:47" ht="12" customHeight="1">
      <c r="A67" s="49" t="s">
        <v>55</v>
      </c>
      <c r="B67" s="50"/>
      <c r="C67" s="51"/>
      <c r="D67" s="173">
        <v>45769</v>
      </c>
      <c r="E67" s="174"/>
      <c r="F67" s="174"/>
      <c r="G67" s="175"/>
      <c r="H67" s="176">
        <v>230434763875</v>
      </c>
      <c r="I67" s="177"/>
      <c r="J67" s="177"/>
      <c r="K67" s="177"/>
      <c r="L67" s="178"/>
      <c r="M67" s="49" t="s">
        <v>56</v>
      </c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1"/>
      <c r="AD67" s="86">
        <v>6000</v>
      </c>
      <c r="AE67" s="87"/>
      <c r="AF67" s="87"/>
      <c r="AG67" s="88"/>
      <c r="AH67" s="86">
        <v>6000</v>
      </c>
      <c r="AI67" s="88"/>
      <c r="AJ67" s="179" t="s">
        <v>47</v>
      </c>
      <c r="AK67" s="180"/>
      <c r="AL67" s="3">
        <v>6000</v>
      </c>
      <c r="AN67" s="19" t="s">
        <v>138</v>
      </c>
      <c r="AO67" s="16"/>
      <c r="AP67" s="16"/>
      <c r="AQ67" s="16">
        <f t="shared" si="0"/>
        <v>8040708</v>
      </c>
      <c r="AR67" s="16"/>
      <c r="AS67" s="16"/>
      <c r="AT67" s="16"/>
      <c r="AU67" s="16"/>
    </row>
    <row r="68" spans="1:47" ht="12" customHeight="1">
      <c r="A68" s="49" t="s">
        <v>55</v>
      </c>
      <c r="B68" s="50"/>
      <c r="C68" s="51"/>
      <c r="D68" s="173">
        <v>45769</v>
      </c>
      <c r="E68" s="174"/>
      <c r="F68" s="174"/>
      <c r="G68" s="175"/>
      <c r="H68" s="176">
        <v>230495667200</v>
      </c>
      <c r="I68" s="177"/>
      <c r="J68" s="177"/>
      <c r="K68" s="177"/>
      <c r="L68" s="178"/>
      <c r="M68" s="49" t="s">
        <v>56</v>
      </c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1"/>
      <c r="AD68" s="86">
        <v>25146</v>
      </c>
      <c r="AE68" s="87"/>
      <c r="AF68" s="87"/>
      <c r="AG68" s="88"/>
      <c r="AH68" s="86">
        <v>25146</v>
      </c>
      <c r="AI68" s="88"/>
      <c r="AJ68" s="179" t="s">
        <v>47</v>
      </c>
      <c r="AK68" s="180"/>
      <c r="AL68" s="3">
        <v>25146</v>
      </c>
      <c r="AN68" s="19" t="s">
        <v>138</v>
      </c>
      <c r="AO68" s="16"/>
      <c r="AP68" s="16"/>
      <c r="AQ68" s="16">
        <f t="shared" si="0"/>
        <v>8040708</v>
      </c>
      <c r="AR68" s="16"/>
      <c r="AS68" s="16"/>
      <c r="AT68" s="16"/>
      <c r="AU68" s="16"/>
    </row>
    <row r="69" spans="1:47" ht="12" customHeight="1">
      <c r="A69" s="49" t="s">
        <v>55</v>
      </c>
      <c r="B69" s="50"/>
      <c r="C69" s="51"/>
      <c r="D69" s="173">
        <v>45770</v>
      </c>
      <c r="E69" s="174"/>
      <c r="F69" s="174"/>
      <c r="G69" s="175"/>
      <c r="H69" s="176">
        <v>240436981875</v>
      </c>
      <c r="I69" s="177"/>
      <c r="J69" s="177"/>
      <c r="K69" s="177"/>
      <c r="L69" s="178"/>
      <c r="M69" s="49" t="s">
        <v>56</v>
      </c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1"/>
      <c r="AD69" s="86">
        <v>14161</v>
      </c>
      <c r="AE69" s="87"/>
      <c r="AF69" s="87"/>
      <c r="AG69" s="88"/>
      <c r="AH69" s="86">
        <v>14161</v>
      </c>
      <c r="AI69" s="88"/>
      <c r="AJ69" s="179" t="s">
        <v>47</v>
      </c>
      <c r="AK69" s="180"/>
      <c r="AL69" s="3">
        <v>14161</v>
      </c>
      <c r="AN69" s="19" t="s">
        <v>138</v>
      </c>
      <c r="AO69" s="16"/>
      <c r="AP69" s="16"/>
      <c r="AQ69" s="16">
        <f t="shared" si="0"/>
        <v>8040708</v>
      </c>
      <c r="AR69" s="16"/>
      <c r="AS69" s="16"/>
      <c r="AT69" s="16"/>
      <c r="AU69" s="16"/>
    </row>
    <row r="70" spans="1:47" ht="12" customHeight="1">
      <c r="A70" s="49" t="s">
        <v>55</v>
      </c>
      <c r="B70" s="50"/>
      <c r="C70" s="51"/>
      <c r="D70" s="173">
        <v>45770</v>
      </c>
      <c r="E70" s="174"/>
      <c r="F70" s="174"/>
      <c r="G70" s="175"/>
      <c r="H70" s="176">
        <v>240436987485</v>
      </c>
      <c r="I70" s="177"/>
      <c r="J70" s="177"/>
      <c r="K70" s="177"/>
      <c r="L70" s="178"/>
      <c r="M70" s="49" t="s">
        <v>56</v>
      </c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1"/>
      <c r="AD70" s="86">
        <v>24717</v>
      </c>
      <c r="AE70" s="87"/>
      <c r="AF70" s="87"/>
      <c r="AG70" s="88"/>
      <c r="AH70" s="86">
        <v>24717</v>
      </c>
      <c r="AI70" s="88"/>
      <c r="AJ70" s="179" t="s">
        <v>47</v>
      </c>
      <c r="AK70" s="180"/>
      <c r="AL70" s="3">
        <v>24717</v>
      </c>
      <c r="AN70" s="19" t="s">
        <v>138</v>
      </c>
      <c r="AO70" s="16"/>
      <c r="AP70" s="16"/>
      <c r="AQ70" s="16">
        <f t="shared" si="0"/>
        <v>8040708</v>
      </c>
      <c r="AR70" s="16"/>
      <c r="AS70" s="16"/>
      <c r="AT70" s="16"/>
      <c r="AU70" s="16"/>
    </row>
    <row r="71" spans="1:47" ht="12" customHeight="1">
      <c r="A71" s="49" t="s">
        <v>55</v>
      </c>
      <c r="B71" s="50"/>
      <c r="C71" s="51"/>
      <c r="D71" s="173">
        <v>45770</v>
      </c>
      <c r="E71" s="174"/>
      <c r="F71" s="174"/>
      <c r="G71" s="175"/>
      <c r="H71" s="176">
        <v>240437001781</v>
      </c>
      <c r="I71" s="177"/>
      <c r="J71" s="177"/>
      <c r="K71" s="177"/>
      <c r="L71" s="178"/>
      <c r="M71" s="49" t="s">
        <v>56</v>
      </c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1"/>
      <c r="AD71" s="86">
        <v>6000</v>
      </c>
      <c r="AE71" s="87"/>
      <c r="AF71" s="87"/>
      <c r="AG71" s="88"/>
      <c r="AH71" s="86">
        <v>6000</v>
      </c>
      <c r="AI71" s="88"/>
      <c r="AJ71" s="179" t="s">
        <v>47</v>
      </c>
      <c r="AK71" s="180"/>
      <c r="AL71" s="3">
        <v>6000</v>
      </c>
      <c r="AN71" s="19" t="s">
        <v>138</v>
      </c>
      <c r="AO71" s="16"/>
      <c r="AP71" s="16"/>
      <c r="AQ71" s="16">
        <f t="shared" si="0"/>
        <v>8040708</v>
      </c>
      <c r="AR71" s="16"/>
      <c r="AS71" s="16"/>
      <c r="AT71" s="16"/>
      <c r="AU71" s="16"/>
    </row>
    <row r="72" spans="1:47" ht="12" customHeight="1">
      <c r="A72" s="49" t="s">
        <v>57</v>
      </c>
      <c r="B72" s="50"/>
      <c r="C72" s="51"/>
      <c r="D72" s="173">
        <v>45770</v>
      </c>
      <c r="E72" s="174"/>
      <c r="F72" s="174"/>
      <c r="G72" s="175"/>
      <c r="H72" s="176">
        <v>240411344366</v>
      </c>
      <c r="I72" s="177"/>
      <c r="J72" s="177"/>
      <c r="K72" s="177"/>
      <c r="L72" s="178"/>
      <c r="M72" s="49" t="s">
        <v>80</v>
      </c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1"/>
      <c r="AD72" s="86">
        <v>59960</v>
      </c>
      <c r="AE72" s="87"/>
      <c r="AF72" s="87"/>
      <c r="AG72" s="88"/>
      <c r="AH72" s="86">
        <v>59960</v>
      </c>
      <c r="AI72" s="88"/>
      <c r="AJ72" s="179" t="s">
        <v>47</v>
      </c>
      <c r="AK72" s="180"/>
      <c r="AL72" s="3">
        <v>59960</v>
      </c>
      <c r="AN72" s="16" t="s">
        <v>141</v>
      </c>
      <c r="AO72" s="16"/>
      <c r="AP72" s="16"/>
      <c r="AQ72" s="16">
        <f t="shared" si="0"/>
        <v>8051416</v>
      </c>
      <c r="AR72" s="16"/>
      <c r="AS72" s="16"/>
      <c r="AT72" s="16"/>
      <c r="AU72" s="16"/>
    </row>
    <row r="73" spans="1:47" ht="12" customHeight="1">
      <c r="A73" s="49" t="s">
        <v>57</v>
      </c>
      <c r="B73" s="50"/>
      <c r="C73" s="51"/>
      <c r="D73" s="173">
        <v>45770</v>
      </c>
      <c r="E73" s="174"/>
      <c r="F73" s="174"/>
      <c r="G73" s="175"/>
      <c r="H73" s="176">
        <v>240410521819</v>
      </c>
      <c r="I73" s="177"/>
      <c r="J73" s="177"/>
      <c r="K73" s="177"/>
      <c r="L73" s="178"/>
      <c r="M73" s="49" t="s">
        <v>58</v>
      </c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1"/>
      <c r="AD73" s="86">
        <v>56800</v>
      </c>
      <c r="AE73" s="87"/>
      <c r="AF73" s="87"/>
      <c r="AG73" s="88"/>
      <c r="AH73" s="86">
        <v>56800</v>
      </c>
      <c r="AI73" s="88"/>
      <c r="AJ73" s="179" t="s">
        <v>47</v>
      </c>
      <c r="AK73" s="180"/>
      <c r="AL73" s="3">
        <v>56800</v>
      </c>
      <c r="AN73" s="19" t="s">
        <v>138</v>
      </c>
      <c r="AO73" s="16"/>
      <c r="AP73" s="16"/>
      <c r="AQ73" s="16">
        <f t="shared" si="0"/>
        <v>8040708</v>
      </c>
      <c r="AR73" s="16"/>
      <c r="AS73" s="16"/>
      <c r="AT73" s="16"/>
      <c r="AU73" s="16"/>
    </row>
    <row r="74" spans="1:47" ht="12" customHeight="1">
      <c r="A74" s="49" t="s">
        <v>57</v>
      </c>
      <c r="B74" s="50"/>
      <c r="C74" s="51"/>
      <c r="D74" s="173">
        <v>45771</v>
      </c>
      <c r="E74" s="174"/>
      <c r="F74" s="174"/>
      <c r="G74" s="175"/>
      <c r="H74" s="176">
        <v>250463494378</v>
      </c>
      <c r="I74" s="177"/>
      <c r="J74" s="177"/>
      <c r="K74" s="177"/>
      <c r="L74" s="178"/>
      <c r="M74" s="49" t="s">
        <v>81</v>
      </c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1"/>
      <c r="AD74" s="86">
        <v>117555</v>
      </c>
      <c r="AE74" s="87"/>
      <c r="AF74" s="87"/>
      <c r="AG74" s="88"/>
      <c r="AH74" s="86">
        <v>117555</v>
      </c>
      <c r="AI74" s="88"/>
      <c r="AJ74" s="179" t="s">
        <v>47</v>
      </c>
      <c r="AK74" s="180"/>
      <c r="AL74" s="3">
        <v>117555</v>
      </c>
      <c r="AN74" s="19" t="s">
        <v>137</v>
      </c>
      <c r="AO74" s="16"/>
      <c r="AP74" s="16"/>
      <c r="AQ74" s="16">
        <f t="shared" si="0"/>
        <v>8040706</v>
      </c>
      <c r="AR74" s="16"/>
      <c r="AS74" s="16"/>
      <c r="AT74" s="16"/>
      <c r="AU74" s="16"/>
    </row>
    <row r="75" spans="1:47" ht="12" customHeight="1">
      <c r="A75" s="49" t="s">
        <v>55</v>
      </c>
      <c r="B75" s="50"/>
      <c r="C75" s="51"/>
      <c r="D75" s="173">
        <v>45771</v>
      </c>
      <c r="E75" s="174"/>
      <c r="F75" s="174"/>
      <c r="G75" s="175"/>
      <c r="H75" s="176">
        <v>250400078990</v>
      </c>
      <c r="I75" s="177"/>
      <c r="J75" s="177"/>
      <c r="K75" s="177"/>
      <c r="L75" s="178"/>
      <c r="M75" s="49" t="s">
        <v>56</v>
      </c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1"/>
      <c r="AD75" s="86">
        <v>5000</v>
      </c>
      <c r="AE75" s="87"/>
      <c r="AF75" s="87"/>
      <c r="AG75" s="88"/>
      <c r="AH75" s="86">
        <v>5000</v>
      </c>
      <c r="AI75" s="88"/>
      <c r="AJ75" s="179" t="s">
        <v>47</v>
      </c>
      <c r="AK75" s="180"/>
      <c r="AL75" s="3">
        <v>5000</v>
      </c>
      <c r="AN75" s="19" t="s">
        <v>138</v>
      </c>
      <c r="AQ75" s="16">
        <f t="shared" si="0"/>
        <v>8040708</v>
      </c>
    </row>
    <row r="76" spans="1:47" ht="12" customHeight="1">
      <c r="A76" s="49" t="s">
        <v>57</v>
      </c>
      <c r="B76" s="50"/>
      <c r="C76" s="51"/>
      <c r="D76" s="173">
        <v>45771</v>
      </c>
      <c r="E76" s="174"/>
      <c r="F76" s="174"/>
      <c r="G76" s="175"/>
      <c r="H76" s="176">
        <v>250462992588</v>
      </c>
      <c r="I76" s="177"/>
      <c r="J76" s="177"/>
      <c r="K76" s="177"/>
      <c r="L76" s="178"/>
      <c r="M76" s="49" t="s">
        <v>81</v>
      </c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1"/>
      <c r="AD76" s="86">
        <v>75138</v>
      </c>
      <c r="AE76" s="87"/>
      <c r="AF76" s="87"/>
      <c r="AG76" s="88"/>
      <c r="AH76" s="86">
        <v>75138</v>
      </c>
      <c r="AI76" s="88"/>
      <c r="AJ76" s="179" t="s">
        <v>47</v>
      </c>
      <c r="AK76" s="180"/>
      <c r="AL76" s="3">
        <v>75138</v>
      </c>
      <c r="AN76" s="19" t="s">
        <v>137</v>
      </c>
      <c r="AQ76" s="16">
        <f t="shared" si="0"/>
        <v>8040706</v>
      </c>
    </row>
    <row r="77" spans="1:47" ht="12" customHeight="1">
      <c r="A77" s="49" t="s">
        <v>55</v>
      </c>
      <c r="B77" s="50"/>
      <c r="C77" s="51"/>
      <c r="D77" s="173">
        <v>45771</v>
      </c>
      <c r="E77" s="174"/>
      <c r="F77" s="174"/>
      <c r="G77" s="175"/>
      <c r="H77" s="176">
        <v>250400144228</v>
      </c>
      <c r="I77" s="177"/>
      <c r="J77" s="177"/>
      <c r="K77" s="177"/>
      <c r="L77" s="178"/>
      <c r="M77" s="49" t="s">
        <v>56</v>
      </c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1"/>
      <c r="AD77" s="86">
        <v>13372</v>
      </c>
      <c r="AE77" s="87"/>
      <c r="AF77" s="87"/>
      <c r="AG77" s="88"/>
      <c r="AH77" s="86">
        <v>13372</v>
      </c>
      <c r="AI77" s="88"/>
      <c r="AJ77" s="179" t="s">
        <v>47</v>
      </c>
      <c r="AK77" s="180"/>
      <c r="AL77" s="3">
        <v>13372</v>
      </c>
      <c r="AN77" s="19" t="s">
        <v>138</v>
      </c>
      <c r="AQ77" s="16">
        <f t="shared" si="0"/>
        <v>8040708</v>
      </c>
    </row>
    <row r="78" spans="1:47" ht="12" customHeight="1">
      <c r="A78" s="49" t="s">
        <v>55</v>
      </c>
      <c r="B78" s="50"/>
      <c r="C78" s="51"/>
      <c r="D78" s="173">
        <v>45771</v>
      </c>
      <c r="E78" s="174"/>
      <c r="F78" s="174"/>
      <c r="G78" s="175"/>
      <c r="H78" s="176">
        <v>250439291949</v>
      </c>
      <c r="I78" s="177"/>
      <c r="J78" s="177"/>
      <c r="K78" s="177"/>
      <c r="L78" s="178"/>
      <c r="M78" s="49" t="s">
        <v>56</v>
      </c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1"/>
      <c r="AD78" s="86">
        <v>40182</v>
      </c>
      <c r="AE78" s="87"/>
      <c r="AF78" s="87"/>
      <c r="AG78" s="88"/>
      <c r="AH78" s="86">
        <v>40182</v>
      </c>
      <c r="AI78" s="88"/>
      <c r="AJ78" s="179" t="s">
        <v>47</v>
      </c>
      <c r="AK78" s="180"/>
      <c r="AL78" s="3">
        <v>40182</v>
      </c>
      <c r="AN78" s="19" t="s">
        <v>138</v>
      </c>
      <c r="AQ78" s="16">
        <f t="shared" si="0"/>
        <v>8040708</v>
      </c>
    </row>
    <row r="79" spans="1:47" ht="12" customHeight="1">
      <c r="A79" s="49" t="s">
        <v>55</v>
      </c>
      <c r="B79" s="50"/>
      <c r="C79" s="51"/>
      <c r="D79" s="173">
        <v>45771</v>
      </c>
      <c r="E79" s="174"/>
      <c r="F79" s="174"/>
      <c r="G79" s="175"/>
      <c r="H79" s="176">
        <v>250439292467</v>
      </c>
      <c r="I79" s="177"/>
      <c r="J79" s="177"/>
      <c r="K79" s="177"/>
      <c r="L79" s="178"/>
      <c r="M79" s="49" t="s">
        <v>56</v>
      </c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1"/>
      <c r="AD79" s="86">
        <v>12087</v>
      </c>
      <c r="AE79" s="87"/>
      <c r="AF79" s="87"/>
      <c r="AG79" s="88"/>
      <c r="AH79" s="86">
        <v>12087</v>
      </c>
      <c r="AI79" s="88"/>
      <c r="AJ79" s="179" t="s">
        <v>47</v>
      </c>
      <c r="AK79" s="180"/>
      <c r="AL79" s="3">
        <v>12087</v>
      </c>
      <c r="AN79" s="19" t="s">
        <v>138</v>
      </c>
      <c r="AQ79" s="16">
        <f t="shared" si="0"/>
        <v>8040708</v>
      </c>
    </row>
    <row r="80" spans="1:47" ht="12" customHeight="1">
      <c r="A80" s="49" t="s">
        <v>57</v>
      </c>
      <c r="B80" s="50"/>
      <c r="C80" s="51"/>
      <c r="D80" s="173">
        <v>45771</v>
      </c>
      <c r="E80" s="174"/>
      <c r="F80" s="174"/>
      <c r="G80" s="175"/>
      <c r="H80" s="176">
        <v>250459837770</v>
      </c>
      <c r="I80" s="177"/>
      <c r="J80" s="177"/>
      <c r="K80" s="177"/>
      <c r="L80" s="178"/>
      <c r="M80" s="49" t="s">
        <v>81</v>
      </c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1"/>
      <c r="AD80" s="86">
        <v>10704</v>
      </c>
      <c r="AE80" s="87"/>
      <c r="AF80" s="87"/>
      <c r="AG80" s="88"/>
      <c r="AH80" s="86">
        <v>10704</v>
      </c>
      <c r="AI80" s="88"/>
      <c r="AJ80" s="179" t="s">
        <v>47</v>
      </c>
      <c r="AK80" s="180"/>
      <c r="AL80" s="3">
        <v>10704</v>
      </c>
      <c r="AN80" s="19" t="s">
        <v>137</v>
      </c>
      <c r="AQ80" s="16">
        <f t="shared" si="0"/>
        <v>8040706</v>
      </c>
    </row>
    <row r="81" spans="1:45" ht="12" customHeight="1">
      <c r="A81" s="52" t="s">
        <v>57</v>
      </c>
      <c r="B81" s="53"/>
      <c r="C81" s="54"/>
      <c r="D81" s="142">
        <v>45771</v>
      </c>
      <c r="E81" s="143"/>
      <c r="F81" s="143"/>
      <c r="G81" s="144"/>
      <c r="H81" s="145">
        <v>250463432162</v>
      </c>
      <c r="I81" s="146"/>
      <c r="J81" s="146"/>
      <c r="K81" s="146"/>
      <c r="L81" s="147"/>
      <c r="M81" s="52" t="s">
        <v>81</v>
      </c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4"/>
      <c r="AD81" s="89">
        <v>569</v>
      </c>
      <c r="AE81" s="90"/>
      <c r="AF81" s="90"/>
      <c r="AG81" s="91"/>
      <c r="AH81" s="89">
        <v>569</v>
      </c>
      <c r="AI81" s="91"/>
      <c r="AJ81" s="151" t="s">
        <v>47</v>
      </c>
      <c r="AK81" s="152"/>
      <c r="AL81" s="4">
        <v>569</v>
      </c>
      <c r="AN81" s="19" t="s">
        <v>137</v>
      </c>
      <c r="AQ81" s="16">
        <f t="shared" si="0"/>
        <v>8040706</v>
      </c>
    </row>
    <row r="82" spans="1:45" ht="12" customHeight="1">
      <c r="A82" s="167"/>
      <c r="B82" s="168"/>
      <c r="C82" s="168"/>
      <c r="D82" s="168"/>
      <c r="E82" s="168"/>
      <c r="F82" s="168"/>
      <c r="G82" s="168"/>
      <c r="H82" s="168"/>
      <c r="I82" s="168"/>
      <c r="J82" s="168"/>
      <c r="K82" s="168"/>
      <c r="L82" s="168"/>
      <c r="M82" s="170" t="s">
        <v>82</v>
      </c>
      <c r="N82" s="170"/>
      <c r="O82" s="170"/>
      <c r="P82" s="170"/>
      <c r="Q82" s="170"/>
      <c r="R82" s="170"/>
      <c r="S82" s="170"/>
      <c r="T82" s="170"/>
      <c r="U82" s="170"/>
      <c r="V82" s="170"/>
      <c r="W82" s="170"/>
      <c r="X82" s="170"/>
      <c r="Y82" s="170"/>
      <c r="Z82" s="170"/>
      <c r="AA82" s="170"/>
      <c r="AB82" s="170"/>
      <c r="AC82" s="170"/>
      <c r="AD82" s="170"/>
      <c r="AE82" s="170"/>
      <c r="AF82" s="170"/>
      <c r="AG82" s="170"/>
      <c r="AH82" s="168"/>
      <c r="AI82" s="168"/>
      <c r="AJ82" s="7"/>
      <c r="AK82" s="7"/>
      <c r="AL82" s="12" t="s">
        <v>83</v>
      </c>
      <c r="AQ82" s="16"/>
    </row>
    <row r="83" spans="1:45" ht="12" customHeight="1">
      <c r="A83" s="171" t="s">
        <v>84</v>
      </c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Z83" s="172"/>
      <c r="AA83" s="172"/>
      <c r="AB83" s="172"/>
      <c r="AC83" s="172"/>
      <c r="AD83" s="172"/>
      <c r="AE83" s="172"/>
      <c r="AF83" s="172"/>
      <c r="AG83" s="172"/>
      <c r="AH83" s="172"/>
      <c r="AI83" s="172"/>
      <c r="AJ83" s="172"/>
      <c r="AK83" s="8" t="s">
        <v>85</v>
      </c>
      <c r="AL83" s="9" t="s">
        <v>86</v>
      </c>
      <c r="AQ83" s="16"/>
    </row>
    <row r="84" spans="1:45" ht="12" customHeight="1">
      <c r="A84" s="167"/>
      <c r="B84" s="168"/>
      <c r="C84" s="169"/>
      <c r="D84" s="167"/>
      <c r="E84" s="168"/>
      <c r="F84" s="168"/>
      <c r="G84" s="169"/>
      <c r="H84" s="167"/>
      <c r="I84" s="168"/>
      <c r="J84" s="168"/>
      <c r="K84" s="168"/>
      <c r="L84" s="169"/>
      <c r="M84" s="58" t="s">
        <v>51</v>
      </c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60"/>
      <c r="AD84" s="167"/>
      <c r="AE84" s="168"/>
      <c r="AF84" s="168"/>
      <c r="AG84" s="169"/>
      <c r="AH84" s="167"/>
      <c r="AI84" s="169"/>
      <c r="AJ84" s="167"/>
      <c r="AK84" s="169"/>
      <c r="AL84" s="6"/>
      <c r="AQ84" s="16"/>
    </row>
    <row r="85" spans="1:45" ht="12" customHeight="1">
      <c r="A85" s="165" t="s">
        <v>87</v>
      </c>
      <c r="B85" s="166"/>
      <c r="C85" s="166"/>
      <c r="D85" s="166"/>
      <c r="E85" s="166"/>
      <c r="F85" s="166"/>
      <c r="G85" s="166"/>
      <c r="H85" s="166"/>
      <c r="I85" s="166"/>
      <c r="J85" s="166"/>
      <c r="K85" s="166"/>
      <c r="L85" s="166"/>
      <c r="M85" s="166"/>
      <c r="N85" s="166"/>
      <c r="O85" s="166"/>
      <c r="P85" s="166"/>
      <c r="Q85" s="166"/>
      <c r="R85" s="166"/>
      <c r="S85" s="166"/>
      <c r="T85" s="166"/>
      <c r="U85" s="166"/>
      <c r="V85" s="166"/>
      <c r="W85" s="166"/>
      <c r="X85" s="166"/>
      <c r="Y85" s="166"/>
      <c r="Z85" s="166"/>
      <c r="AA85" s="166"/>
      <c r="AB85" s="166"/>
      <c r="AC85" s="166"/>
      <c r="AD85" s="166"/>
      <c r="AE85" s="166"/>
      <c r="AF85" s="166"/>
      <c r="AG85" s="166"/>
      <c r="AH85" s="166"/>
      <c r="AI85" s="166"/>
      <c r="AJ85" s="166"/>
      <c r="AK85" s="8" t="s">
        <v>88</v>
      </c>
      <c r="AL85" s="9" t="s">
        <v>54</v>
      </c>
      <c r="AQ85" s="16"/>
    </row>
    <row r="86" spans="1:45" ht="12" customHeight="1">
      <c r="A86" s="162" t="s">
        <v>89</v>
      </c>
      <c r="B86" s="163"/>
      <c r="C86" s="163"/>
      <c r="D86" s="163"/>
      <c r="E86" s="163"/>
      <c r="F86" s="163"/>
      <c r="G86" s="163"/>
      <c r="H86" s="163"/>
      <c r="I86" s="163"/>
      <c r="J86" s="163"/>
      <c r="K86" s="163"/>
      <c r="L86" s="163"/>
      <c r="M86" s="163"/>
      <c r="N86" s="163"/>
      <c r="O86" s="163"/>
      <c r="P86" s="163"/>
      <c r="Q86" s="163"/>
      <c r="R86" s="163"/>
      <c r="S86" s="163"/>
      <c r="T86" s="163"/>
      <c r="U86" s="163"/>
      <c r="V86" s="163"/>
      <c r="W86" s="163"/>
      <c r="X86" s="163"/>
      <c r="Y86" s="163"/>
      <c r="Z86" s="163"/>
      <c r="AA86" s="163"/>
      <c r="AB86" s="163"/>
      <c r="AC86" s="163"/>
      <c r="AD86" s="163"/>
      <c r="AE86" s="163"/>
      <c r="AF86" s="163"/>
      <c r="AG86" s="163"/>
      <c r="AH86" s="163"/>
      <c r="AI86" s="163"/>
      <c r="AJ86" s="163"/>
      <c r="AK86" s="163"/>
      <c r="AL86" s="164"/>
      <c r="AQ86" s="16"/>
    </row>
    <row r="87" spans="1:45" ht="12" customHeight="1">
      <c r="A87" s="167"/>
      <c r="B87" s="168"/>
      <c r="C87" s="169"/>
      <c r="D87" s="167"/>
      <c r="E87" s="168"/>
      <c r="F87" s="168"/>
      <c r="G87" s="169"/>
      <c r="H87" s="167"/>
      <c r="I87" s="168"/>
      <c r="J87" s="168"/>
      <c r="K87" s="168"/>
      <c r="L87" s="169"/>
      <c r="M87" s="58" t="s">
        <v>51</v>
      </c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60"/>
      <c r="AD87" s="167"/>
      <c r="AE87" s="168"/>
      <c r="AF87" s="168"/>
      <c r="AG87" s="169"/>
      <c r="AH87" s="167"/>
      <c r="AI87" s="169"/>
      <c r="AJ87" s="167"/>
      <c r="AK87" s="169"/>
      <c r="AL87" s="6"/>
      <c r="AQ87" s="16"/>
    </row>
    <row r="88" spans="1:45" ht="12" customHeight="1">
      <c r="A88" s="160" t="s">
        <v>90</v>
      </c>
      <c r="B88" s="161"/>
      <c r="C88" s="161"/>
      <c r="D88" s="161"/>
      <c r="E88" s="161"/>
      <c r="F88" s="161"/>
      <c r="G88" s="161"/>
      <c r="H88" s="161"/>
      <c r="I88" s="161"/>
      <c r="J88" s="161"/>
      <c r="K88" s="161"/>
      <c r="L88" s="161"/>
      <c r="M88" s="161"/>
      <c r="N88" s="161"/>
      <c r="O88" s="161"/>
      <c r="P88" s="161"/>
      <c r="Q88" s="161"/>
      <c r="R88" s="161"/>
      <c r="S88" s="161"/>
      <c r="T88" s="161"/>
      <c r="U88" s="161"/>
      <c r="V88" s="161"/>
      <c r="W88" s="161"/>
      <c r="X88" s="161"/>
      <c r="Y88" s="161"/>
      <c r="Z88" s="161"/>
      <c r="AA88" s="161"/>
      <c r="AB88" s="161"/>
      <c r="AC88" s="161"/>
      <c r="AD88" s="161"/>
      <c r="AE88" s="161"/>
      <c r="AF88" s="161"/>
      <c r="AG88" s="161"/>
      <c r="AH88" s="161"/>
      <c r="AI88" s="161"/>
      <c r="AJ88" s="161"/>
      <c r="AK88" s="8" t="s">
        <v>91</v>
      </c>
      <c r="AL88" s="9" t="s">
        <v>54</v>
      </c>
      <c r="AQ88" s="16"/>
    </row>
    <row r="89" spans="1:45" ht="12" customHeight="1">
      <c r="A89" s="162" t="s">
        <v>92</v>
      </c>
      <c r="B89" s="163"/>
      <c r="C89" s="163"/>
      <c r="D89" s="163"/>
      <c r="E89" s="163"/>
      <c r="F89" s="163"/>
      <c r="G89" s="163"/>
      <c r="H89" s="163"/>
      <c r="I89" s="163"/>
      <c r="J89" s="163"/>
      <c r="K89" s="163"/>
      <c r="L89" s="163"/>
      <c r="M89" s="163"/>
      <c r="N89" s="163"/>
      <c r="O89" s="163"/>
      <c r="P89" s="163"/>
      <c r="Q89" s="163"/>
      <c r="R89" s="163"/>
      <c r="S89" s="163"/>
      <c r="T89" s="163"/>
      <c r="U89" s="163"/>
      <c r="V89" s="163"/>
      <c r="W89" s="163"/>
      <c r="X89" s="163"/>
      <c r="Y89" s="163"/>
      <c r="Z89" s="163"/>
      <c r="AA89" s="163"/>
      <c r="AB89" s="163"/>
      <c r="AC89" s="163"/>
      <c r="AD89" s="163"/>
      <c r="AE89" s="163"/>
      <c r="AF89" s="163"/>
      <c r="AG89" s="163"/>
      <c r="AH89" s="163"/>
      <c r="AI89" s="163"/>
      <c r="AJ89" s="163"/>
      <c r="AK89" s="163"/>
      <c r="AL89" s="164"/>
      <c r="AQ89" s="16"/>
    </row>
    <row r="90" spans="1:45" ht="12" customHeight="1">
      <c r="A90" s="128"/>
      <c r="B90" s="129"/>
      <c r="C90" s="130"/>
      <c r="D90" s="134">
        <v>45762</v>
      </c>
      <c r="E90" s="135"/>
      <c r="F90" s="135"/>
      <c r="G90" s="136"/>
      <c r="H90" s="137">
        <v>150400000000</v>
      </c>
      <c r="I90" s="138"/>
      <c r="J90" s="138"/>
      <c r="K90" s="138"/>
      <c r="L90" s="139"/>
      <c r="M90" s="46" t="s">
        <v>93</v>
      </c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8"/>
      <c r="AD90" s="122">
        <v>965300</v>
      </c>
      <c r="AE90" s="123"/>
      <c r="AF90" s="123"/>
      <c r="AG90" s="124"/>
      <c r="AH90" s="122">
        <v>965300</v>
      </c>
      <c r="AI90" s="124"/>
      <c r="AJ90" s="140" t="s">
        <v>47</v>
      </c>
      <c r="AK90" s="141"/>
      <c r="AL90" s="2">
        <v>965300</v>
      </c>
      <c r="AN90" s="24" t="s">
        <v>150</v>
      </c>
      <c r="AQ90" s="16">
        <f t="shared" si="0"/>
        <v>3011302</v>
      </c>
      <c r="AS90">
        <f>AL90/usd!AC25</f>
        <v>990.00051279421575</v>
      </c>
    </row>
    <row r="91" spans="1:45" ht="12" customHeight="1">
      <c r="A91" s="131"/>
      <c r="B91" s="132"/>
      <c r="C91" s="133"/>
      <c r="D91" s="142">
        <v>45772</v>
      </c>
      <c r="E91" s="143"/>
      <c r="F91" s="143"/>
      <c r="G91" s="144"/>
      <c r="H91" s="145">
        <v>250400000000</v>
      </c>
      <c r="I91" s="146"/>
      <c r="J91" s="146"/>
      <c r="K91" s="146"/>
      <c r="L91" s="147"/>
      <c r="M91" s="52" t="s">
        <v>94</v>
      </c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4"/>
      <c r="AD91" s="89">
        <v>637</v>
      </c>
      <c r="AE91" s="90"/>
      <c r="AF91" s="90"/>
      <c r="AG91" s="91"/>
      <c r="AH91" s="89">
        <v>637</v>
      </c>
      <c r="AI91" s="91"/>
      <c r="AJ91" s="151" t="s">
        <v>47</v>
      </c>
      <c r="AK91" s="152"/>
      <c r="AL91" s="4">
        <v>637</v>
      </c>
      <c r="AN91" s="16" t="s">
        <v>143</v>
      </c>
      <c r="AQ91" s="16">
        <f t="shared" si="0"/>
        <v>8051301</v>
      </c>
    </row>
    <row r="92" spans="1:45" ht="12" customHeight="1">
      <c r="A92" s="74" t="s">
        <v>35</v>
      </c>
      <c r="B92" s="75"/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  <c r="AA92" s="75"/>
      <c r="AB92" s="75"/>
      <c r="AC92" s="75"/>
      <c r="AD92" s="75"/>
      <c r="AE92" s="75"/>
      <c r="AF92" s="75"/>
      <c r="AG92" s="75"/>
      <c r="AH92" s="75"/>
      <c r="AI92" s="75"/>
      <c r="AJ92" s="75"/>
      <c r="AK92" s="75"/>
      <c r="AL92" s="76"/>
      <c r="AQ92" s="16"/>
    </row>
    <row r="93" spans="1:45" ht="12" customHeight="1">
      <c r="A93" s="46" t="s">
        <v>36</v>
      </c>
      <c r="B93" s="47"/>
      <c r="C93" s="48"/>
      <c r="D93" s="46" t="s">
        <v>37</v>
      </c>
      <c r="E93" s="47"/>
      <c r="F93" s="47"/>
      <c r="G93" s="48"/>
      <c r="H93" s="46" t="s">
        <v>38</v>
      </c>
      <c r="I93" s="47"/>
      <c r="J93" s="47"/>
      <c r="K93" s="47"/>
      <c r="L93" s="48"/>
      <c r="M93" s="46" t="s">
        <v>39</v>
      </c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8"/>
      <c r="AD93" s="153" t="s">
        <v>68</v>
      </c>
      <c r="AE93" s="101"/>
      <c r="AF93" s="101"/>
      <c r="AG93" s="154"/>
      <c r="AH93" s="153" t="s">
        <v>69</v>
      </c>
      <c r="AI93" s="154"/>
      <c r="AJ93" s="157" t="s">
        <v>42</v>
      </c>
      <c r="AK93" s="158"/>
      <c r="AL93" s="159"/>
      <c r="AQ93" s="16"/>
    </row>
    <row r="94" spans="1:45" ht="24" customHeight="1">
      <c r="A94" s="52"/>
      <c r="B94" s="53"/>
      <c r="C94" s="54"/>
      <c r="D94" s="52"/>
      <c r="E94" s="53"/>
      <c r="F94" s="53"/>
      <c r="G94" s="54"/>
      <c r="H94" s="52"/>
      <c r="I94" s="53"/>
      <c r="J94" s="53"/>
      <c r="K94" s="53"/>
      <c r="L94" s="54"/>
      <c r="M94" s="52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4"/>
      <c r="AD94" s="155"/>
      <c r="AE94" s="105"/>
      <c r="AF94" s="105"/>
      <c r="AG94" s="156"/>
      <c r="AH94" s="155"/>
      <c r="AI94" s="156"/>
      <c r="AJ94" s="58" t="s">
        <v>43</v>
      </c>
      <c r="AK94" s="60"/>
      <c r="AL94" s="5" t="s">
        <v>44</v>
      </c>
      <c r="AQ94" s="16"/>
    </row>
    <row r="95" spans="1:45" ht="12" customHeight="1">
      <c r="A95" s="128"/>
      <c r="B95" s="129"/>
      <c r="C95" s="130"/>
      <c r="D95" s="134">
        <v>45772</v>
      </c>
      <c r="E95" s="135"/>
      <c r="F95" s="135"/>
      <c r="G95" s="136"/>
      <c r="H95" s="137">
        <v>250400000000</v>
      </c>
      <c r="I95" s="138"/>
      <c r="J95" s="138"/>
      <c r="K95" s="138"/>
      <c r="L95" s="139"/>
      <c r="M95" s="46" t="s">
        <v>95</v>
      </c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8"/>
      <c r="AD95" s="122">
        <v>3904</v>
      </c>
      <c r="AE95" s="123"/>
      <c r="AF95" s="123"/>
      <c r="AG95" s="124"/>
      <c r="AH95" s="122">
        <v>3904</v>
      </c>
      <c r="AI95" s="124"/>
      <c r="AJ95" s="140" t="s">
        <v>47</v>
      </c>
      <c r="AK95" s="141"/>
      <c r="AL95" s="2">
        <v>3904</v>
      </c>
      <c r="AN95" s="16" t="s">
        <v>143</v>
      </c>
      <c r="AQ95" s="16">
        <f t="shared" si="0"/>
        <v>8051301</v>
      </c>
    </row>
    <row r="96" spans="1:45" ht="12" customHeight="1">
      <c r="A96" s="131"/>
      <c r="B96" s="132"/>
      <c r="C96" s="133"/>
      <c r="D96" s="142">
        <v>45772</v>
      </c>
      <c r="E96" s="143"/>
      <c r="F96" s="143"/>
      <c r="G96" s="144"/>
      <c r="H96" s="145">
        <v>250400000000</v>
      </c>
      <c r="I96" s="146"/>
      <c r="J96" s="146"/>
      <c r="K96" s="146"/>
      <c r="L96" s="147"/>
      <c r="M96" s="52" t="s">
        <v>96</v>
      </c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4"/>
      <c r="AD96" s="148">
        <v>25098</v>
      </c>
      <c r="AE96" s="149"/>
      <c r="AF96" s="149"/>
      <c r="AG96" s="150"/>
      <c r="AH96" s="148">
        <v>25098</v>
      </c>
      <c r="AI96" s="150"/>
      <c r="AJ96" s="151" t="s">
        <v>47</v>
      </c>
      <c r="AK96" s="152"/>
      <c r="AL96" s="10">
        <v>25098</v>
      </c>
      <c r="AN96" s="16" t="s">
        <v>143</v>
      </c>
      <c r="AQ96" s="16">
        <f t="shared" si="0"/>
        <v>8051301</v>
      </c>
    </row>
    <row r="97" spans="1:43" ht="12" customHeight="1">
      <c r="A97" s="108" t="s">
        <v>97</v>
      </c>
      <c r="B97" s="109"/>
      <c r="C97" s="109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  <c r="AE97" s="109"/>
      <c r="AF97" s="109"/>
      <c r="AG97" s="109"/>
      <c r="AH97" s="109"/>
      <c r="AI97" s="109"/>
      <c r="AJ97" s="109"/>
      <c r="AK97" s="13" t="s">
        <v>98</v>
      </c>
      <c r="AL97" s="9" t="s">
        <v>99</v>
      </c>
      <c r="AQ97" s="16"/>
    </row>
    <row r="98" spans="1:43" ht="14.25" customHeight="1">
      <c r="A98" s="74" t="s">
        <v>100</v>
      </c>
      <c r="B98" s="75"/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  <c r="AA98" s="75"/>
      <c r="AB98" s="75"/>
      <c r="AC98" s="75"/>
      <c r="AD98" s="75"/>
      <c r="AE98" s="75"/>
      <c r="AF98" s="75"/>
      <c r="AG98" s="75"/>
      <c r="AH98" s="75"/>
      <c r="AI98" s="75"/>
      <c r="AJ98" s="75"/>
      <c r="AK98" s="75"/>
      <c r="AL98" s="76"/>
      <c r="AQ98" s="16"/>
    </row>
    <row r="99" spans="1:43" ht="12" customHeight="1">
      <c r="A99" s="46" t="s">
        <v>101</v>
      </c>
      <c r="B99" s="47"/>
      <c r="C99" s="47"/>
      <c r="D99" s="47"/>
      <c r="E99" s="47"/>
      <c r="F99" s="47"/>
      <c r="G99" s="47"/>
      <c r="H99" s="47"/>
      <c r="I99" s="47"/>
      <c r="J99" s="47"/>
      <c r="K99" s="110"/>
      <c r="L99" s="112" t="s">
        <v>102</v>
      </c>
      <c r="M99" s="113"/>
      <c r="N99" s="116" t="s">
        <v>103</v>
      </c>
      <c r="O99" s="116" t="s">
        <v>104</v>
      </c>
      <c r="P99" s="116" t="s">
        <v>105</v>
      </c>
      <c r="Q99" s="116" t="s">
        <v>106</v>
      </c>
      <c r="R99" s="116" t="s">
        <v>107</v>
      </c>
      <c r="S99" s="118" t="s">
        <v>98</v>
      </c>
      <c r="T99" s="120" t="s">
        <v>108</v>
      </c>
      <c r="U99" s="122">
        <v>3070443</v>
      </c>
      <c r="V99" s="123"/>
      <c r="W99" s="123"/>
      <c r="X99" s="123"/>
      <c r="Y99" s="123"/>
      <c r="Z99" s="123"/>
      <c r="AA99" s="123"/>
      <c r="AB99" s="124"/>
    </row>
    <row r="100" spans="1:43" ht="2.25" customHeight="1">
      <c r="A100" s="49"/>
      <c r="B100" s="50"/>
      <c r="C100" s="50"/>
      <c r="D100" s="50"/>
      <c r="E100" s="50"/>
      <c r="F100" s="50"/>
      <c r="G100" s="50"/>
      <c r="H100" s="50"/>
      <c r="I100" s="50"/>
      <c r="J100" s="50"/>
      <c r="K100" s="111"/>
      <c r="L100" s="114"/>
      <c r="M100" s="115"/>
      <c r="N100" s="117"/>
      <c r="O100" s="117"/>
      <c r="P100" s="117"/>
      <c r="Q100" s="117"/>
      <c r="R100" s="117"/>
      <c r="S100" s="119"/>
      <c r="T100" s="121"/>
      <c r="U100" s="125">
        <v>89831</v>
      </c>
      <c r="V100" s="126"/>
      <c r="W100" s="126"/>
      <c r="X100" s="126"/>
      <c r="Y100" s="126"/>
      <c r="Z100" s="126"/>
      <c r="AA100" s="126"/>
      <c r="AB100" s="127"/>
    </row>
    <row r="101" spans="1:43" ht="12" customHeight="1">
      <c r="A101" s="49" t="s">
        <v>109</v>
      </c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1"/>
      <c r="U101" s="125"/>
      <c r="V101" s="126"/>
      <c r="W101" s="126"/>
      <c r="X101" s="126"/>
      <c r="Y101" s="126"/>
      <c r="Z101" s="126"/>
      <c r="AA101" s="126"/>
      <c r="AB101" s="127"/>
    </row>
    <row r="102" spans="1:43" ht="12" customHeight="1">
      <c r="A102" s="49" t="s">
        <v>110</v>
      </c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1"/>
      <c r="U102" s="86">
        <v>3070443</v>
      </c>
      <c r="V102" s="87"/>
      <c r="W102" s="87"/>
      <c r="X102" s="87"/>
      <c r="Y102" s="87"/>
      <c r="Z102" s="87"/>
      <c r="AA102" s="87"/>
      <c r="AB102" s="88"/>
    </row>
    <row r="103" spans="1:43" ht="13.7" customHeight="1">
      <c r="A103" s="52" t="s">
        <v>111</v>
      </c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4"/>
      <c r="U103" s="89">
        <v>0</v>
      </c>
      <c r="V103" s="90"/>
      <c r="W103" s="90"/>
      <c r="X103" s="90"/>
      <c r="Y103" s="90"/>
      <c r="Z103" s="90"/>
      <c r="AA103" s="90"/>
      <c r="AB103" s="91"/>
    </row>
    <row r="104" spans="1:43" ht="14.25" customHeight="1">
      <c r="A104" s="92" t="s">
        <v>112</v>
      </c>
      <c r="B104" s="93"/>
      <c r="C104" s="93"/>
      <c r="D104" s="93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4"/>
    </row>
    <row r="105" spans="1:43" ht="121.5" customHeight="1">
      <c r="A105" s="95" t="s">
        <v>113</v>
      </c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7"/>
    </row>
    <row r="106" spans="1:43" ht="18.75" customHeight="1">
      <c r="A106" s="98"/>
      <c r="B106" s="99"/>
      <c r="C106" s="99"/>
      <c r="D106" s="99"/>
      <c r="E106" s="99"/>
      <c r="F106" s="99"/>
      <c r="G106" s="100"/>
      <c r="H106" s="15"/>
    </row>
    <row r="107" spans="1:43" ht="17.45" customHeight="1">
      <c r="A107" s="14"/>
      <c r="B107" s="101"/>
      <c r="C107" s="101"/>
      <c r="D107" s="101"/>
      <c r="E107" s="101"/>
      <c r="F107" s="101"/>
      <c r="G107" s="102"/>
      <c r="H107" s="15"/>
    </row>
    <row r="108" spans="1:43" ht="17.45" customHeight="1">
      <c r="A108" s="14"/>
      <c r="B108" s="103"/>
      <c r="C108" s="103"/>
      <c r="D108" s="103"/>
      <c r="E108" s="103"/>
      <c r="F108" s="103"/>
      <c r="G108" s="104"/>
      <c r="H108" s="15"/>
    </row>
    <row r="109" spans="1:43" ht="17.45" customHeight="1">
      <c r="A109" s="14"/>
      <c r="B109" s="103"/>
      <c r="C109" s="103"/>
      <c r="D109" s="103"/>
      <c r="E109" s="103"/>
      <c r="F109" s="103"/>
      <c r="G109" s="104"/>
      <c r="H109" s="15"/>
    </row>
    <row r="110" spans="1:43" ht="19.350000000000001" customHeight="1">
      <c r="A110" s="14"/>
      <c r="B110" s="105"/>
      <c r="C110" s="105"/>
      <c r="D110" s="105"/>
      <c r="E110" s="105"/>
      <c r="F110" s="105"/>
      <c r="G110" s="106"/>
      <c r="H110" s="15"/>
    </row>
    <row r="111" spans="1:43" ht="12" customHeight="1">
      <c r="A111" s="107" t="s">
        <v>114</v>
      </c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  <c r="Y111" s="107"/>
      <c r="Z111" s="107"/>
      <c r="AA111" s="107"/>
      <c r="AB111" s="107"/>
      <c r="AC111" s="107"/>
      <c r="AD111" s="107"/>
      <c r="AE111" s="107"/>
      <c r="AF111" s="107"/>
      <c r="AG111" s="107"/>
      <c r="AH111" s="107"/>
      <c r="AI111" s="107"/>
      <c r="AJ111" s="107"/>
      <c r="AK111" s="107"/>
      <c r="AL111" s="107"/>
      <c r="AM111" s="107"/>
    </row>
    <row r="112" spans="1:43" ht="12" customHeight="1">
      <c r="A112" s="80" t="s">
        <v>115</v>
      </c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2"/>
    </row>
    <row r="113" spans="1:38" ht="12" customHeight="1">
      <c r="A113" s="43" t="s">
        <v>116</v>
      </c>
      <c r="B113" s="44"/>
      <c r="C113" s="44"/>
      <c r="D113" s="45"/>
      <c r="E113" s="43" t="s">
        <v>117</v>
      </c>
      <c r="F113" s="44"/>
      <c r="G113" s="44"/>
      <c r="H113" s="44"/>
      <c r="I113" s="45"/>
      <c r="J113" s="43" t="s">
        <v>118</v>
      </c>
      <c r="K113" s="44"/>
      <c r="L113" s="44"/>
      <c r="M113" s="44"/>
      <c r="N113" s="44"/>
      <c r="O113" s="44"/>
      <c r="P113" s="45"/>
      <c r="Q113" s="43" t="s">
        <v>119</v>
      </c>
      <c r="R113" s="44"/>
      <c r="S113" s="44"/>
      <c r="T113" s="44"/>
      <c r="U113" s="44"/>
      <c r="V113" s="44"/>
      <c r="W113" s="44"/>
      <c r="X113" s="45"/>
      <c r="Y113" s="43" t="s">
        <v>120</v>
      </c>
      <c r="Z113" s="44"/>
      <c r="AA113" s="44"/>
      <c r="AB113" s="45"/>
    </row>
    <row r="114" spans="1:38" ht="14.25" customHeight="1">
      <c r="A114" s="83">
        <v>0</v>
      </c>
      <c r="B114" s="84"/>
      <c r="C114" s="84"/>
      <c r="D114" s="85"/>
      <c r="E114" s="83">
        <v>0</v>
      </c>
      <c r="F114" s="84"/>
      <c r="G114" s="84"/>
      <c r="H114" s="84"/>
      <c r="I114" s="85"/>
      <c r="J114" s="83">
        <v>0</v>
      </c>
      <c r="K114" s="84"/>
      <c r="L114" s="84"/>
      <c r="M114" s="84"/>
      <c r="N114" s="84"/>
      <c r="O114" s="84"/>
      <c r="P114" s="85"/>
      <c r="Q114" s="83">
        <v>0</v>
      </c>
      <c r="R114" s="84"/>
      <c r="S114" s="84"/>
      <c r="T114" s="84"/>
      <c r="U114" s="84"/>
      <c r="V114" s="84"/>
      <c r="W114" s="84"/>
      <c r="X114" s="85"/>
      <c r="Y114" s="83">
        <v>0</v>
      </c>
      <c r="Z114" s="84"/>
      <c r="AA114" s="84"/>
      <c r="AB114" s="85"/>
    </row>
    <row r="115" spans="1:38" ht="28.35" customHeight="1">
      <c r="A115" s="64" t="s">
        <v>121</v>
      </c>
      <c r="B115" s="64"/>
      <c r="C115" s="64"/>
      <c r="D115" s="64"/>
      <c r="E115" s="65"/>
    </row>
    <row r="116" spans="1:38" ht="12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7"/>
      <c r="Q116" s="68" t="s">
        <v>27</v>
      </c>
      <c r="R116" s="69"/>
      <c r="S116" s="69"/>
      <c r="T116" s="69"/>
      <c r="U116" s="69"/>
      <c r="V116" s="69"/>
      <c r="W116" s="69"/>
      <c r="X116" s="70"/>
      <c r="Y116" s="68" t="s">
        <v>28</v>
      </c>
      <c r="Z116" s="69"/>
      <c r="AA116" s="69"/>
      <c r="AB116" s="70"/>
    </row>
    <row r="117" spans="1:38" ht="14.25" customHeight="1">
      <c r="A117" s="58" t="s">
        <v>122</v>
      </c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60"/>
      <c r="Q117" s="71">
        <v>45773</v>
      </c>
      <c r="R117" s="72"/>
      <c r="S117" s="72"/>
      <c r="T117" s="72"/>
      <c r="U117" s="72"/>
      <c r="V117" s="72"/>
      <c r="W117" s="72"/>
      <c r="X117" s="73"/>
      <c r="Y117" s="71">
        <v>45805</v>
      </c>
      <c r="Z117" s="72"/>
      <c r="AA117" s="72"/>
      <c r="AB117" s="73"/>
    </row>
    <row r="118" spans="1:38" ht="14.25" customHeight="1">
      <c r="A118" s="74" t="s">
        <v>123</v>
      </c>
      <c r="B118" s="75"/>
      <c r="C118" s="75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  <c r="AA118" s="75"/>
      <c r="AB118" s="75"/>
      <c r="AC118" s="75"/>
      <c r="AD118" s="75"/>
      <c r="AE118" s="75"/>
      <c r="AF118" s="75"/>
      <c r="AG118" s="75"/>
      <c r="AH118" s="75"/>
      <c r="AI118" s="75"/>
      <c r="AJ118" s="75"/>
      <c r="AK118" s="75"/>
      <c r="AL118" s="76"/>
    </row>
    <row r="119" spans="1:38" ht="14.25" customHeight="1">
      <c r="A119" s="58" t="s">
        <v>124</v>
      </c>
      <c r="B119" s="59"/>
      <c r="C119" s="59"/>
      <c r="D119" s="59"/>
      <c r="E119" s="59"/>
      <c r="F119" s="59"/>
      <c r="G119" s="59"/>
      <c r="H119" s="60"/>
      <c r="I119" s="77">
        <v>0.312</v>
      </c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  <c r="AA119" s="78"/>
      <c r="AB119" s="79"/>
    </row>
    <row r="120" spans="1:38" ht="12" customHeight="1">
      <c r="A120" s="46" t="s">
        <v>125</v>
      </c>
      <c r="B120" s="47"/>
      <c r="C120" s="47"/>
      <c r="D120" s="47"/>
      <c r="E120" s="47"/>
      <c r="F120" s="47"/>
      <c r="G120" s="47"/>
      <c r="H120" s="48"/>
      <c r="I120" s="55" t="s">
        <v>126</v>
      </c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7"/>
      <c r="Z120" s="43" t="s">
        <v>127</v>
      </c>
      <c r="AA120" s="44"/>
      <c r="AB120" s="45"/>
    </row>
    <row r="121" spans="1:38" ht="14.25" customHeight="1">
      <c r="A121" s="49"/>
      <c r="B121" s="50"/>
      <c r="C121" s="50"/>
      <c r="D121" s="50"/>
      <c r="E121" s="50"/>
      <c r="F121" s="50"/>
      <c r="G121" s="50"/>
      <c r="H121" s="51"/>
      <c r="I121" s="58" t="s">
        <v>128</v>
      </c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60"/>
      <c r="Z121" s="61">
        <v>0.09</v>
      </c>
      <c r="AA121" s="62"/>
      <c r="AB121" s="63"/>
    </row>
    <row r="122" spans="1:38" ht="14.25" customHeight="1">
      <c r="A122" s="49"/>
      <c r="B122" s="50"/>
      <c r="C122" s="50"/>
      <c r="D122" s="50"/>
      <c r="E122" s="50"/>
      <c r="F122" s="50"/>
      <c r="G122" s="50"/>
      <c r="H122" s="51"/>
      <c r="I122" s="58" t="s">
        <v>129</v>
      </c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60"/>
      <c r="Z122" s="61">
        <v>0.06</v>
      </c>
      <c r="AA122" s="62"/>
      <c r="AB122" s="63"/>
    </row>
    <row r="123" spans="1:38" ht="14.25" customHeight="1">
      <c r="A123" s="52"/>
      <c r="B123" s="53"/>
      <c r="C123" s="53"/>
      <c r="D123" s="53"/>
      <c r="E123" s="53"/>
      <c r="F123" s="53"/>
      <c r="G123" s="53"/>
      <c r="H123" s="54"/>
      <c r="I123" s="58" t="s">
        <v>130</v>
      </c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60"/>
      <c r="Z123" s="61">
        <v>0.03</v>
      </c>
      <c r="AA123" s="62"/>
      <c r="AB123" s="63"/>
    </row>
    <row r="124" spans="1:38" ht="11.25" customHeight="1">
      <c r="A124" s="37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9"/>
    </row>
    <row r="125" spans="1:38" ht="57.75" customHeight="1">
      <c r="A125" s="40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2"/>
    </row>
    <row r="126" spans="1:38" ht="42.6" customHeight="1">
      <c r="A126" s="43" t="s">
        <v>131</v>
      </c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5"/>
    </row>
    <row r="127" spans="1:38" ht="11.25" customHeight="1">
      <c r="A127" s="37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9"/>
    </row>
    <row r="128" spans="1:38" ht="57.75" customHeight="1">
      <c r="A128" s="40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2"/>
    </row>
    <row r="129" spans="1:39" ht="42.6" customHeight="1">
      <c r="A129" s="43" t="s">
        <v>132</v>
      </c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5"/>
    </row>
    <row r="130" spans="1:39" ht="26.1" customHeight="1"/>
    <row r="131" spans="1:39" ht="27.75" customHeight="1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X131" s="201"/>
      <c r="Y131" s="201"/>
      <c r="Z131" s="201"/>
      <c r="AA131" s="201"/>
      <c r="AB131" s="201"/>
      <c r="AC131" s="201"/>
      <c r="AD131" s="201"/>
      <c r="AE131" s="201"/>
      <c r="AF131" s="202"/>
      <c r="AG131" s="202"/>
      <c r="AH131" s="202"/>
      <c r="AI131" s="202"/>
      <c r="AJ131" s="202"/>
      <c r="AK131" s="202"/>
      <c r="AL131" s="202"/>
      <c r="AM131" s="202"/>
    </row>
    <row r="132" spans="1:39" ht="14.25" customHeight="1">
      <c r="A132" s="197" t="s">
        <v>59</v>
      </c>
      <c r="B132" s="198"/>
      <c r="C132" s="198"/>
      <c r="D132" s="198"/>
      <c r="E132" s="198"/>
      <c r="F132" s="198"/>
      <c r="G132" s="198"/>
      <c r="H132" s="198"/>
      <c r="I132" s="198"/>
      <c r="J132" s="198"/>
      <c r="K132" s="198"/>
      <c r="L132" s="198"/>
      <c r="M132" s="198"/>
      <c r="N132" s="198"/>
      <c r="O132" s="198"/>
      <c r="P132" s="198"/>
      <c r="Q132" s="198"/>
      <c r="R132" s="198"/>
      <c r="S132" s="198"/>
      <c r="T132" s="198"/>
      <c r="U132" s="198"/>
      <c r="V132" s="198"/>
      <c r="W132" s="198"/>
      <c r="X132" s="198"/>
      <c r="Y132" s="198"/>
      <c r="Z132" s="199"/>
    </row>
    <row r="133" spans="1:39" ht="24" customHeight="1">
      <c r="A133" s="153" t="s">
        <v>60</v>
      </c>
      <c r="B133" s="101"/>
      <c r="C133" s="101"/>
      <c r="D133" s="101"/>
      <c r="E133" s="101"/>
      <c r="F133" s="101"/>
      <c r="G133" s="101"/>
      <c r="H133" s="101"/>
      <c r="I133" s="154"/>
      <c r="J133" s="153" t="s">
        <v>61</v>
      </c>
      <c r="K133" s="101"/>
      <c r="L133" s="101"/>
      <c r="M133" s="101"/>
      <c r="N133" s="101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  <c r="Z133" s="154"/>
    </row>
    <row r="134" spans="1:39" ht="8.4499999999999993" customHeight="1">
      <c r="A134" s="155"/>
      <c r="B134" s="105"/>
      <c r="C134" s="105"/>
      <c r="D134" s="105"/>
      <c r="E134" s="105"/>
      <c r="F134" s="105"/>
      <c r="G134" s="105"/>
      <c r="H134" s="105"/>
      <c r="I134" s="156"/>
      <c r="J134" s="11"/>
      <c r="K134" s="200"/>
      <c r="L134" s="67"/>
      <c r="M134" s="200"/>
      <c r="N134" s="67"/>
      <c r="O134" s="11"/>
      <c r="P134" s="11"/>
      <c r="Q134" s="200"/>
      <c r="R134" s="67"/>
      <c r="S134" s="200"/>
      <c r="T134" s="66"/>
      <c r="U134" s="66"/>
      <c r="V134" s="67"/>
      <c r="W134" s="200"/>
      <c r="X134" s="66"/>
      <c r="Y134" s="66"/>
      <c r="Z134" s="67"/>
    </row>
    <row r="135" spans="1:39" ht="24" customHeight="1">
      <c r="A135" s="187" t="s">
        <v>62</v>
      </c>
      <c r="B135" s="188"/>
      <c r="C135" s="188"/>
      <c r="D135" s="188"/>
      <c r="E135" s="188"/>
      <c r="F135" s="188"/>
      <c r="G135" s="188"/>
      <c r="H135" s="188"/>
      <c r="I135" s="189"/>
      <c r="J135" s="190" t="s">
        <v>63</v>
      </c>
      <c r="K135" s="191"/>
      <c r="L135" s="191"/>
      <c r="M135" s="191"/>
      <c r="N135" s="191"/>
      <c r="O135" s="191"/>
      <c r="P135" s="191"/>
      <c r="Q135" s="191"/>
      <c r="R135" s="191"/>
      <c r="S135" s="191"/>
      <c r="T135" s="191"/>
      <c r="U135" s="191"/>
      <c r="V135" s="191"/>
      <c r="W135" s="191"/>
      <c r="X135" s="191"/>
      <c r="Y135" s="191"/>
      <c r="Z135" s="192"/>
    </row>
    <row r="136" spans="1:39" ht="24" customHeight="1">
      <c r="A136" s="187" t="s">
        <v>64</v>
      </c>
      <c r="B136" s="188"/>
      <c r="C136" s="188"/>
      <c r="D136" s="188"/>
      <c r="E136" s="188"/>
      <c r="F136" s="188"/>
      <c r="G136" s="188"/>
      <c r="H136" s="188"/>
      <c r="I136" s="189"/>
      <c r="J136" s="193" t="s">
        <v>65</v>
      </c>
      <c r="K136" s="194"/>
      <c r="L136" s="194"/>
      <c r="M136" s="194"/>
      <c r="N136" s="194"/>
      <c r="O136" s="194"/>
      <c r="P136" s="194"/>
      <c r="Q136" s="194"/>
      <c r="R136" s="194"/>
      <c r="S136" s="194"/>
      <c r="T136" s="194"/>
      <c r="U136" s="194"/>
      <c r="V136" s="194"/>
      <c r="W136" s="194"/>
      <c r="X136" s="194"/>
      <c r="Y136" s="194"/>
      <c r="Z136" s="195"/>
    </row>
    <row r="137" spans="1:39" ht="14.25" customHeight="1">
      <c r="A137" s="197" t="s">
        <v>59</v>
      </c>
      <c r="B137" s="198"/>
      <c r="C137" s="198"/>
      <c r="D137" s="198"/>
      <c r="E137" s="198"/>
      <c r="F137" s="198"/>
      <c r="G137" s="198"/>
      <c r="H137" s="198"/>
      <c r="I137" s="198"/>
      <c r="J137" s="198"/>
      <c r="K137" s="198"/>
      <c r="L137" s="198"/>
      <c r="M137" s="198"/>
      <c r="N137" s="198"/>
      <c r="O137" s="198"/>
      <c r="P137" s="198"/>
      <c r="Q137" s="198"/>
      <c r="R137" s="198"/>
      <c r="S137" s="198"/>
      <c r="T137" s="198"/>
      <c r="U137" s="198"/>
      <c r="V137" s="198"/>
      <c r="W137" s="198"/>
      <c r="X137" s="198"/>
      <c r="Y137" s="198"/>
      <c r="Z137" s="199"/>
    </row>
    <row r="138" spans="1:39" ht="24" customHeight="1">
      <c r="A138" s="153" t="s">
        <v>60</v>
      </c>
      <c r="B138" s="101"/>
      <c r="C138" s="101"/>
      <c r="D138" s="101"/>
      <c r="E138" s="101"/>
      <c r="F138" s="101"/>
      <c r="G138" s="101"/>
      <c r="H138" s="101"/>
      <c r="I138" s="154"/>
      <c r="J138" s="153" t="s">
        <v>61</v>
      </c>
      <c r="K138" s="101"/>
      <c r="L138" s="101"/>
      <c r="M138" s="101"/>
      <c r="N138" s="101"/>
      <c r="O138" s="101"/>
      <c r="P138" s="101"/>
      <c r="Q138" s="101"/>
      <c r="R138" s="101"/>
      <c r="S138" s="101"/>
      <c r="T138" s="101"/>
      <c r="U138" s="101"/>
      <c r="V138" s="101"/>
      <c r="W138" s="101"/>
      <c r="X138" s="101"/>
      <c r="Y138" s="101"/>
      <c r="Z138" s="154"/>
    </row>
    <row r="139" spans="1:39" ht="8.4499999999999993" customHeight="1">
      <c r="A139" s="155"/>
      <c r="B139" s="105"/>
      <c r="C139" s="105"/>
      <c r="D139" s="105"/>
      <c r="E139" s="105"/>
      <c r="F139" s="105"/>
      <c r="G139" s="105"/>
      <c r="H139" s="105"/>
      <c r="I139" s="156"/>
      <c r="J139" s="11"/>
      <c r="K139" s="200"/>
      <c r="L139" s="67"/>
      <c r="M139" s="200"/>
      <c r="N139" s="67"/>
      <c r="O139" s="11"/>
      <c r="P139" s="11"/>
      <c r="Q139" s="200"/>
      <c r="R139" s="67"/>
      <c r="S139" s="200"/>
      <c r="T139" s="66"/>
      <c r="U139" s="66"/>
      <c r="V139" s="67"/>
      <c r="W139" s="200"/>
      <c r="X139" s="66"/>
      <c r="Y139" s="66"/>
      <c r="Z139" s="67"/>
    </row>
    <row r="140" spans="1:39" ht="24" customHeight="1">
      <c r="A140" s="187" t="s">
        <v>66</v>
      </c>
      <c r="B140" s="188"/>
      <c r="C140" s="188"/>
      <c r="D140" s="188"/>
      <c r="E140" s="188"/>
      <c r="F140" s="188"/>
      <c r="G140" s="188"/>
      <c r="H140" s="188"/>
      <c r="I140" s="189"/>
      <c r="J140" s="190" t="s">
        <v>63</v>
      </c>
      <c r="K140" s="191"/>
      <c r="L140" s="191"/>
      <c r="M140" s="191"/>
      <c r="N140" s="191"/>
      <c r="O140" s="191"/>
      <c r="P140" s="191"/>
      <c r="Q140" s="191"/>
      <c r="R140" s="191"/>
      <c r="S140" s="191"/>
      <c r="T140" s="191"/>
      <c r="U140" s="191"/>
      <c r="V140" s="191"/>
      <c r="W140" s="191"/>
      <c r="X140" s="191"/>
      <c r="Y140" s="191"/>
      <c r="Z140" s="192"/>
    </row>
    <row r="141" spans="1:39" ht="24" customHeight="1">
      <c r="A141" s="187" t="s">
        <v>64</v>
      </c>
      <c r="B141" s="188"/>
      <c r="C141" s="188"/>
      <c r="D141" s="188"/>
      <c r="E141" s="188"/>
      <c r="F141" s="188"/>
      <c r="G141" s="188"/>
      <c r="H141" s="188"/>
      <c r="I141" s="189"/>
      <c r="J141" s="193" t="s">
        <v>65</v>
      </c>
      <c r="K141" s="194"/>
      <c r="L141" s="194"/>
      <c r="M141" s="194"/>
      <c r="N141" s="194"/>
      <c r="O141" s="194"/>
      <c r="P141" s="194"/>
      <c r="Q141" s="194"/>
      <c r="R141" s="194"/>
      <c r="S141" s="194"/>
      <c r="T141" s="194"/>
      <c r="U141" s="194"/>
      <c r="V141" s="194"/>
      <c r="W141" s="194"/>
      <c r="X141" s="194"/>
      <c r="Y141" s="194"/>
      <c r="Z141" s="195"/>
    </row>
    <row r="142" spans="1:39" ht="11.25" customHeight="1">
      <c r="A142" s="167"/>
      <c r="B142" s="169"/>
    </row>
    <row r="143" spans="1:39" ht="11.25" customHeight="1">
      <c r="A143" s="167"/>
      <c r="B143" s="169"/>
    </row>
    <row r="144" spans="1:39" ht="11.25" customHeight="1">
      <c r="A144" s="167"/>
      <c r="B144" s="169"/>
    </row>
    <row r="145" spans="1:39" ht="11.25" customHeight="1">
      <c r="A145" s="167"/>
      <c r="B145" s="169"/>
    </row>
    <row r="146" spans="1:39" ht="12" customHeight="1">
      <c r="A146" s="196" t="s">
        <v>67</v>
      </c>
      <c r="B146" s="196"/>
      <c r="C146" s="196"/>
      <c r="D146" s="196"/>
      <c r="E146" s="196"/>
      <c r="F146" s="196"/>
      <c r="G146" s="196"/>
      <c r="H146" s="196"/>
      <c r="I146" s="196"/>
      <c r="J146" s="196"/>
      <c r="K146" s="196"/>
      <c r="L146" s="196"/>
      <c r="M146" s="196"/>
      <c r="N146" s="196"/>
      <c r="O146" s="196"/>
      <c r="P146" s="196"/>
      <c r="Q146" s="196"/>
      <c r="R146" s="196"/>
      <c r="S146" s="196"/>
      <c r="T146" s="196"/>
      <c r="U146" s="196"/>
      <c r="V146" s="196"/>
      <c r="W146" s="196"/>
      <c r="X146" s="196"/>
      <c r="Y146" s="196"/>
      <c r="Z146" s="196"/>
      <c r="AA146" s="196"/>
      <c r="AB146" s="196"/>
      <c r="AC146" s="196"/>
      <c r="AD146" s="196"/>
      <c r="AE146" s="196"/>
      <c r="AF146" s="196"/>
      <c r="AG146" s="196"/>
      <c r="AH146" s="196"/>
      <c r="AI146" s="196"/>
      <c r="AJ146" s="196"/>
      <c r="AK146" s="196"/>
      <c r="AL146" s="196"/>
      <c r="AM146" s="196"/>
    </row>
    <row r="147" spans="1:39" ht="24" customHeight="1"/>
    <row r="148" spans="1:39" ht="14.1" customHeight="1"/>
    <row r="149" spans="1:39" ht="81" customHeight="1"/>
    <row r="150" spans="1:39" ht="90.95" customHeight="1"/>
    <row r="151" spans="1:39" ht="57" customHeight="1"/>
  </sheetData>
  <mergeCells count="551">
    <mergeCell ref="A1:AL1"/>
    <mergeCell ref="A2:I2"/>
    <mergeCell ref="J2:AL2"/>
    <mergeCell ref="A3:I3"/>
    <mergeCell ref="J3:AL3"/>
    <mergeCell ref="A4:I4"/>
    <mergeCell ref="J4:AL4"/>
    <mergeCell ref="A5:AM5"/>
    <mergeCell ref="A6:AM6"/>
    <mergeCell ref="A7:AL7"/>
    <mergeCell ref="A8:N8"/>
    <mergeCell ref="O8:X8"/>
    <mergeCell ref="Y8:AD8"/>
    <mergeCell ref="AE8:AH8"/>
    <mergeCell ref="A9:N9"/>
    <mergeCell ref="O9:X9"/>
    <mergeCell ref="Y9:AD9"/>
    <mergeCell ref="AE9:AH9"/>
    <mergeCell ref="A10:N10"/>
    <mergeCell ref="O10:X10"/>
    <mergeCell ref="Y10:AD10"/>
    <mergeCell ref="AE10:AH10"/>
    <mergeCell ref="A11:F11"/>
    <mergeCell ref="A12:F12"/>
    <mergeCell ref="A13:F13"/>
    <mergeCell ref="A14:N14"/>
    <mergeCell ref="O14:X14"/>
    <mergeCell ref="Y14:AD14"/>
    <mergeCell ref="AE14:AH14"/>
    <mergeCell ref="A15:N15"/>
    <mergeCell ref="O15:X15"/>
    <mergeCell ref="Y15:AD15"/>
    <mergeCell ref="AE15:AH15"/>
    <mergeCell ref="A16:N16"/>
    <mergeCell ref="O16:X16"/>
    <mergeCell ref="Y16:AD16"/>
    <mergeCell ref="AE16:AH16"/>
    <mergeCell ref="A17:G17"/>
    <mergeCell ref="H17:J17"/>
    <mergeCell ref="K17:P17"/>
    <mergeCell ref="A18:G18"/>
    <mergeCell ref="H18:J18"/>
    <mergeCell ref="K18:P18"/>
    <mergeCell ref="A19:G19"/>
    <mergeCell ref="H19:P19"/>
    <mergeCell ref="A20:AM20"/>
    <mergeCell ref="A21:AL21"/>
    <mergeCell ref="A22:U22"/>
    <mergeCell ref="V22:AA22"/>
    <mergeCell ref="AB22:AF22"/>
    <mergeCell ref="A23:U23"/>
    <mergeCell ref="V23:AA23"/>
    <mergeCell ref="AB23:AF23"/>
    <mergeCell ref="A24:Q24"/>
    <mergeCell ref="R24:U24"/>
    <mergeCell ref="V24:AA24"/>
    <mergeCell ref="AB24:AF27"/>
    <mergeCell ref="A25:Q25"/>
    <mergeCell ref="R25:U25"/>
    <mergeCell ref="V25:AA25"/>
    <mergeCell ref="A26:Q26"/>
    <mergeCell ref="R26:U26"/>
    <mergeCell ref="V26:AA26"/>
    <mergeCell ref="A27:Q27"/>
    <mergeCell ref="R27:U27"/>
    <mergeCell ref="V27:AA27"/>
    <mergeCell ref="A28:AL28"/>
    <mergeCell ref="A29:C30"/>
    <mergeCell ref="D29:G30"/>
    <mergeCell ref="H29:L30"/>
    <mergeCell ref="M29:AC30"/>
    <mergeCell ref="AD29:AG30"/>
    <mergeCell ref="AH29:AI30"/>
    <mergeCell ref="AJ29:AL29"/>
    <mergeCell ref="AJ30:AK30"/>
    <mergeCell ref="A31:AL31"/>
    <mergeCell ref="A32:C32"/>
    <mergeCell ref="D32:G32"/>
    <mergeCell ref="H32:L32"/>
    <mergeCell ref="M32:AC32"/>
    <mergeCell ref="AD32:AG32"/>
    <mergeCell ref="AH32:AI32"/>
    <mergeCell ref="AJ32:AK32"/>
    <mergeCell ref="A33:AJ33"/>
    <mergeCell ref="A34:C34"/>
    <mergeCell ref="D34:G34"/>
    <mergeCell ref="H34:L34"/>
    <mergeCell ref="M34:AC34"/>
    <mergeCell ref="AD34:AG34"/>
    <mergeCell ref="AH34:AI34"/>
    <mergeCell ref="AJ34:AK34"/>
    <mergeCell ref="A35:AJ35"/>
    <mergeCell ref="A36:C36"/>
    <mergeCell ref="D36:G36"/>
    <mergeCell ref="H36:L36"/>
    <mergeCell ref="M36:AC36"/>
    <mergeCell ref="AD36:AG36"/>
    <mergeCell ref="AH36:AI36"/>
    <mergeCell ref="AJ36:AK36"/>
    <mergeCell ref="A37:C37"/>
    <mergeCell ref="D37:G37"/>
    <mergeCell ref="H37:L37"/>
    <mergeCell ref="M37:AC37"/>
    <mergeCell ref="AD37:AG37"/>
    <mergeCell ref="AH37:AI37"/>
    <mergeCell ref="AJ37:AK37"/>
    <mergeCell ref="A38:C38"/>
    <mergeCell ref="D38:G38"/>
    <mergeCell ref="H38:L38"/>
    <mergeCell ref="M38:AC38"/>
    <mergeCell ref="AD38:AG38"/>
    <mergeCell ref="AH38:AI38"/>
    <mergeCell ref="AJ38:AK38"/>
    <mergeCell ref="A131:AE131"/>
    <mergeCell ref="AF131:AM131"/>
    <mergeCell ref="A132:Z132"/>
    <mergeCell ref="A133:I134"/>
    <mergeCell ref="J133:Z133"/>
    <mergeCell ref="K134:L134"/>
    <mergeCell ref="M134:N134"/>
    <mergeCell ref="Q134:R134"/>
    <mergeCell ref="S134:V134"/>
    <mergeCell ref="W134:Z134"/>
    <mergeCell ref="A135:I135"/>
    <mergeCell ref="J135:Z135"/>
    <mergeCell ref="A136:I136"/>
    <mergeCell ref="J136:Z136"/>
    <mergeCell ref="A137:Z137"/>
    <mergeCell ref="A138:I139"/>
    <mergeCell ref="J138:Z138"/>
    <mergeCell ref="K139:L139"/>
    <mergeCell ref="M139:N139"/>
    <mergeCell ref="Q139:R139"/>
    <mergeCell ref="S139:V139"/>
    <mergeCell ref="W139:Z139"/>
    <mergeCell ref="A140:I140"/>
    <mergeCell ref="J140:Z140"/>
    <mergeCell ref="A141:I141"/>
    <mergeCell ref="J141:Z141"/>
    <mergeCell ref="A142:B142"/>
    <mergeCell ref="A143:B143"/>
    <mergeCell ref="A144:B144"/>
    <mergeCell ref="A145:B145"/>
    <mergeCell ref="A146:AM146"/>
    <mergeCell ref="A39:AL39"/>
    <mergeCell ref="A40:C41"/>
    <mergeCell ref="D40:G41"/>
    <mergeCell ref="H40:L41"/>
    <mergeCell ref="M40:AC41"/>
    <mergeCell ref="AD40:AG41"/>
    <mergeCell ref="AH40:AI41"/>
    <mergeCell ref="AJ40:AL40"/>
    <mergeCell ref="AJ41:AK41"/>
    <mergeCell ref="A42:C42"/>
    <mergeCell ref="D42:G42"/>
    <mergeCell ref="H42:L42"/>
    <mergeCell ref="M42:AC42"/>
    <mergeCell ref="AD42:AG42"/>
    <mergeCell ref="AH42:AI42"/>
    <mergeCell ref="AJ42:AK42"/>
    <mergeCell ref="A43:C43"/>
    <mergeCell ref="D43:G43"/>
    <mergeCell ref="H43:L43"/>
    <mergeCell ref="M43:AC43"/>
    <mergeCell ref="AD43:AG43"/>
    <mergeCell ref="AH43:AI43"/>
    <mergeCell ref="AJ43:AK43"/>
    <mergeCell ref="A44:C44"/>
    <mergeCell ref="D44:G44"/>
    <mergeCell ref="H44:L44"/>
    <mergeCell ref="M44:AC44"/>
    <mergeCell ref="AD44:AG44"/>
    <mergeCell ref="AH44:AI44"/>
    <mergeCell ref="AJ44:AK44"/>
    <mergeCell ref="A45:C45"/>
    <mergeCell ref="D45:G45"/>
    <mergeCell ref="H45:L45"/>
    <mergeCell ref="M45:AC45"/>
    <mergeCell ref="AD45:AG45"/>
    <mergeCell ref="AH45:AI45"/>
    <mergeCell ref="AJ45:AK45"/>
    <mergeCell ref="A46:C46"/>
    <mergeCell ref="D46:G46"/>
    <mergeCell ref="H46:L46"/>
    <mergeCell ref="M46:AC46"/>
    <mergeCell ref="AD46:AG46"/>
    <mergeCell ref="AH46:AI46"/>
    <mergeCell ref="AJ46:AK46"/>
    <mergeCell ref="A47:C47"/>
    <mergeCell ref="D47:G47"/>
    <mergeCell ref="H47:L47"/>
    <mergeCell ref="M47:AC47"/>
    <mergeCell ref="AD47:AG47"/>
    <mergeCell ref="AH47:AI47"/>
    <mergeCell ref="AJ47:AK47"/>
    <mergeCell ref="A48:C48"/>
    <mergeCell ref="D48:G48"/>
    <mergeCell ref="H48:L48"/>
    <mergeCell ref="M48:AC48"/>
    <mergeCell ref="AD48:AG48"/>
    <mergeCell ref="AH48:AI48"/>
    <mergeCell ref="AJ48:AK48"/>
    <mergeCell ref="A49:C49"/>
    <mergeCell ref="D49:G49"/>
    <mergeCell ref="H49:L49"/>
    <mergeCell ref="M49:AC49"/>
    <mergeCell ref="AD49:AG49"/>
    <mergeCell ref="AH49:AI49"/>
    <mergeCell ref="AJ49:AK49"/>
    <mergeCell ref="A50:C50"/>
    <mergeCell ref="D50:G50"/>
    <mergeCell ref="H50:L50"/>
    <mergeCell ref="M50:AC50"/>
    <mergeCell ref="AD50:AG50"/>
    <mergeCell ref="AH50:AI50"/>
    <mergeCell ref="AJ50:AK50"/>
    <mergeCell ref="A51:C51"/>
    <mergeCell ref="D51:G51"/>
    <mergeCell ref="H51:L51"/>
    <mergeCell ref="M51:AC51"/>
    <mergeCell ref="AD51:AG51"/>
    <mergeCell ref="AH51:AI51"/>
    <mergeCell ref="AJ51:AK51"/>
    <mergeCell ref="A52:C52"/>
    <mergeCell ref="D52:G52"/>
    <mergeCell ref="H52:L52"/>
    <mergeCell ref="M52:AC52"/>
    <mergeCell ref="AD52:AG52"/>
    <mergeCell ref="AH52:AI52"/>
    <mergeCell ref="AJ52:AK52"/>
    <mergeCell ref="A53:C53"/>
    <mergeCell ref="D53:G53"/>
    <mergeCell ref="H53:L53"/>
    <mergeCell ref="M53:AC53"/>
    <mergeCell ref="AD53:AG53"/>
    <mergeCell ref="AH53:AI53"/>
    <mergeCell ref="AJ53:AK53"/>
    <mergeCell ref="A54:C54"/>
    <mergeCell ref="D54:G54"/>
    <mergeCell ref="H54:L54"/>
    <mergeCell ref="M54:AC54"/>
    <mergeCell ref="AD54:AG54"/>
    <mergeCell ref="AH54:AI54"/>
    <mergeCell ref="AJ54:AK54"/>
    <mergeCell ref="A55:C55"/>
    <mergeCell ref="D55:G55"/>
    <mergeCell ref="H55:L55"/>
    <mergeCell ref="M55:AC55"/>
    <mergeCell ref="AD55:AG55"/>
    <mergeCell ref="AH55:AI55"/>
    <mergeCell ref="AJ55:AK55"/>
    <mergeCell ref="A56:C56"/>
    <mergeCell ref="D56:G56"/>
    <mergeCell ref="H56:L56"/>
    <mergeCell ref="M56:AC56"/>
    <mergeCell ref="AD56:AG56"/>
    <mergeCell ref="AH56:AI56"/>
    <mergeCell ref="AJ56:AK56"/>
    <mergeCell ref="A57:C57"/>
    <mergeCell ref="D57:G57"/>
    <mergeCell ref="H57:L57"/>
    <mergeCell ref="M57:AC57"/>
    <mergeCell ref="AD57:AG57"/>
    <mergeCell ref="AH57:AI57"/>
    <mergeCell ref="AJ57:AK57"/>
    <mergeCell ref="A58:C58"/>
    <mergeCell ref="D58:G58"/>
    <mergeCell ref="H58:L58"/>
    <mergeCell ref="M58:AC58"/>
    <mergeCell ref="AD58:AG58"/>
    <mergeCell ref="AH58:AI58"/>
    <mergeCell ref="AJ58:AK58"/>
    <mergeCell ref="A59:C59"/>
    <mergeCell ref="D59:G59"/>
    <mergeCell ref="H59:L59"/>
    <mergeCell ref="M59:AC59"/>
    <mergeCell ref="AD59:AG59"/>
    <mergeCell ref="AH59:AI59"/>
    <mergeCell ref="AJ59:AK59"/>
    <mergeCell ref="A60:C60"/>
    <mergeCell ref="D60:G60"/>
    <mergeCell ref="H60:L60"/>
    <mergeCell ref="M60:AC60"/>
    <mergeCell ref="AD60:AG60"/>
    <mergeCell ref="AH60:AI60"/>
    <mergeCell ref="AJ60:AK60"/>
    <mergeCell ref="A61:C61"/>
    <mergeCell ref="D61:G61"/>
    <mergeCell ref="H61:L61"/>
    <mergeCell ref="M61:AC61"/>
    <mergeCell ref="AD61:AG61"/>
    <mergeCell ref="AH61:AI61"/>
    <mergeCell ref="AJ61:AK61"/>
    <mergeCell ref="A62:C62"/>
    <mergeCell ref="D62:G62"/>
    <mergeCell ref="H62:L62"/>
    <mergeCell ref="M62:AC62"/>
    <mergeCell ref="AD62:AG62"/>
    <mergeCell ref="AH62:AI62"/>
    <mergeCell ref="AJ62:AK62"/>
    <mergeCell ref="A63:C63"/>
    <mergeCell ref="D63:G63"/>
    <mergeCell ref="H63:L63"/>
    <mergeCell ref="M63:AC63"/>
    <mergeCell ref="AD63:AG63"/>
    <mergeCell ref="AH63:AI63"/>
    <mergeCell ref="AJ63:AK63"/>
    <mergeCell ref="A64:C64"/>
    <mergeCell ref="D64:G64"/>
    <mergeCell ref="H64:L64"/>
    <mergeCell ref="M64:AC64"/>
    <mergeCell ref="AD64:AG64"/>
    <mergeCell ref="AH64:AI64"/>
    <mergeCell ref="AJ64:AK64"/>
    <mergeCell ref="A65:C65"/>
    <mergeCell ref="D65:G65"/>
    <mergeCell ref="H65:L65"/>
    <mergeCell ref="M65:AC65"/>
    <mergeCell ref="AD65:AG65"/>
    <mergeCell ref="AH65:AI65"/>
    <mergeCell ref="AJ65:AK65"/>
    <mergeCell ref="A66:C66"/>
    <mergeCell ref="D66:G66"/>
    <mergeCell ref="H66:L66"/>
    <mergeCell ref="M66:AC66"/>
    <mergeCell ref="AD66:AG66"/>
    <mergeCell ref="AH66:AI66"/>
    <mergeCell ref="AJ66:AK66"/>
    <mergeCell ref="A67:C67"/>
    <mergeCell ref="D67:G67"/>
    <mergeCell ref="H67:L67"/>
    <mergeCell ref="M67:AC67"/>
    <mergeCell ref="AD67:AG67"/>
    <mergeCell ref="AH67:AI67"/>
    <mergeCell ref="AJ67:AK67"/>
    <mergeCell ref="A68:C68"/>
    <mergeCell ref="D68:G68"/>
    <mergeCell ref="H68:L68"/>
    <mergeCell ref="M68:AC68"/>
    <mergeCell ref="AD68:AG68"/>
    <mergeCell ref="AH68:AI68"/>
    <mergeCell ref="AJ68:AK68"/>
    <mergeCell ref="A69:C69"/>
    <mergeCell ref="D69:G69"/>
    <mergeCell ref="H69:L69"/>
    <mergeCell ref="M69:AC69"/>
    <mergeCell ref="AD69:AG69"/>
    <mergeCell ref="AH69:AI69"/>
    <mergeCell ref="AJ69:AK69"/>
    <mergeCell ref="A70:C70"/>
    <mergeCell ref="D70:G70"/>
    <mergeCell ref="H70:L70"/>
    <mergeCell ref="M70:AC70"/>
    <mergeCell ref="AD70:AG70"/>
    <mergeCell ref="AH70:AI70"/>
    <mergeCell ref="AJ70:AK70"/>
    <mergeCell ref="A71:C71"/>
    <mergeCell ref="D71:G71"/>
    <mergeCell ref="H71:L71"/>
    <mergeCell ref="M71:AC71"/>
    <mergeCell ref="AD71:AG71"/>
    <mergeCell ref="AH71:AI71"/>
    <mergeCell ref="AJ71:AK71"/>
    <mergeCell ref="A72:C72"/>
    <mergeCell ref="D72:G72"/>
    <mergeCell ref="H72:L72"/>
    <mergeCell ref="M72:AC72"/>
    <mergeCell ref="AD72:AG72"/>
    <mergeCell ref="AH72:AI72"/>
    <mergeCell ref="AJ72:AK72"/>
    <mergeCell ref="A73:C73"/>
    <mergeCell ref="D73:G73"/>
    <mergeCell ref="H73:L73"/>
    <mergeCell ref="M73:AC73"/>
    <mergeCell ref="AD73:AG73"/>
    <mergeCell ref="AH73:AI73"/>
    <mergeCell ref="AJ73:AK73"/>
    <mergeCell ref="A74:C74"/>
    <mergeCell ref="D74:G74"/>
    <mergeCell ref="H74:L74"/>
    <mergeCell ref="M74:AC74"/>
    <mergeCell ref="AD74:AG74"/>
    <mergeCell ref="AH74:AI74"/>
    <mergeCell ref="AJ74:AK74"/>
    <mergeCell ref="A75:C75"/>
    <mergeCell ref="D75:G75"/>
    <mergeCell ref="H75:L75"/>
    <mergeCell ref="M75:AC75"/>
    <mergeCell ref="AD75:AG75"/>
    <mergeCell ref="AH75:AI75"/>
    <mergeCell ref="AJ75:AK75"/>
    <mergeCell ref="A76:C76"/>
    <mergeCell ref="D76:G76"/>
    <mergeCell ref="H76:L76"/>
    <mergeCell ref="M76:AC76"/>
    <mergeCell ref="AD76:AG76"/>
    <mergeCell ref="AH76:AI76"/>
    <mergeCell ref="AJ76:AK76"/>
    <mergeCell ref="A77:C77"/>
    <mergeCell ref="D77:G77"/>
    <mergeCell ref="H77:L77"/>
    <mergeCell ref="M77:AC77"/>
    <mergeCell ref="AD77:AG77"/>
    <mergeCell ref="AH77:AI77"/>
    <mergeCell ref="AJ77:AK77"/>
    <mergeCell ref="A78:C78"/>
    <mergeCell ref="D78:G78"/>
    <mergeCell ref="H78:L78"/>
    <mergeCell ref="M78:AC78"/>
    <mergeCell ref="AD78:AG78"/>
    <mergeCell ref="AH78:AI78"/>
    <mergeCell ref="AJ78:AK78"/>
    <mergeCell ref="A79:C79"/>
    <mergeCell ref="D79:G79"/>
    <mergeCell ref="H79:L79"/>
    <mergeCell ref="M79:AC79"/>
    <mergeCell ref="AD79:AG79"/>
    <mergeCell ref="AH79:AI79"/>
    <mergeCell ref="AJ79:AK79"/>
    <mergeCell ref="A80:C80"/>
    <mergeCell ref="D80:G80"/>
    <mergeCell ref="H80:L80"/>
    <mergeCell ref="M80:AC80"/>
    <mergeCell ref="AD80:AG80"/>
    <mergeCell ref="AH80:AI80"/>
    <mergeCell ref="AJ80:AK80"/>
    <mergeCell ref="A81:C81"/>
    <mergeCell ref="D81:G81"/>
    <mergeCell ref="H81:L81"/>
    <mergeCell ref="M81:AC81"/>
    <mergeCell ref="AD81:AG81"/>
    <mergeCell ref="AH81:AI81"/>
    <mergeCell ref="AJ81:AK81"/>
    <mergeCell ref="A82:C82"/>
    <mergeCell ref="D82:G82"/>
    <mergeCell ref="H82:L82"/>
    <mergeCell ref="M82:AG82"/>
    <mergeCell ref="AH82:AI82"/>
    <mergeCell ref="A83:AJ83"/>
    <mergeCell ref="A84:C84"/>
    <mergeCell ref="D84:G84"/>
    <mergeCell ref="H84:L84"/>
    <mergeCell ref="M84:AC84"/>
    <mergeCell ref="AD84:AG84"/>
    <mergeCell ref="AH84:AI84"/>
    <mergeCell ref="AJ84:AK84"/>
    <mergeCell ref="A85:AJ85"/>
    <mergeCell ref="A86:AL86"/>
    <mergeCell ref="A87:C87"/>
    <mergeCell ref="D87:G87"/>
    <mergeCell ref="H87:L87"/>
    <mergeCell ref="M87:AC87"/>
    <mergeCell ref="AD87:AG87"/>
    <mergeCell ref="AH87:AI87"/>
    <mergeCell ref="AJ87:AK87"/>
    <mergeCell ref="A88:AJ88"/>
    <mergeCell ref="A89:AL89"/>
    <mergeCell ref="A90:C91"/>
    <mergeCell ref="D90:G90"/>
    <mergeCell ref="H90:L90"/>
    <mergeCell ref="M90:AC90"/>
    <mergeCell ref="AD90:AG90"/>
    <mergeCell ref="AH90:AI90"/>
    <mergeCell ref="AJ90:AK90"/>
    <mergeCell ref="D91:G91"/>
    <mergeCell ref="H91:L91"/>
    <mergeCell ref="M91:AC91"/>
    <mergeCell ref="AD91:AG91"/>
    <mergeCell ref="AH91:AI91"/>
    <mergeCell ref="AJ91:AK91"/>
    <mergeCell ref="A92:AL92"/>
    <mergeCell ref="A93:C94"/>
    <mergeCell ref="D93:G94"/>
    <mergeCell ref="H93:L94"/>
    <mergeCell ref="M93:AC94"/>
    <mergeCell ref="AD93:AG94"/>
    <mergeCell ref="AH93:AI94"/>
    <mergeCell ref="AJ93:AL93"/>
    <mergeCell ref="AJ94:AK94"/>
    <mergeCell ref="A95:C96"/>
    <mergeCell ref="D95:G95"/>
    <mergeCell ref="H95:L95"/>
    <mergeCell ref="M95:AC95"/>
    <mergeCell ref="AD95:AG95"/>
    <mergeCell ref="AH95:AI95"/>
    <mergeCell ref="AJ95:AK95"/>
    <mergeCell ref="D96:G96"/>
    <mergeCell ref="H96:L96"/>
    <mergeCell ref="M96:AC96"/>
    <mergeCell ref="AD96:AG96"/>
    <mergeCell ref="AH96:AI96"/>
    <mergeCell ref="AJ96:AK96"/>
    <mergeCell ref="A97:AJ97"/>
    <mergeCell ref="A98:AL98"/>
    <mergeCell ref="A99:K100"/>
    <mergeCell ref="L99:M100"/>
    <mergeCell ref="N99:N100"/>
    <mergeCell ref="O99:O100"/>
    <mergeCell ref="P99:P100"/>
    <mergeCell ref="Q99:Q100"/>
    <mergeCell ref="R99:R100"/>
    <mergeCell ref="S99:S100"/>
    <mergeCell ref="T99:T100"/>
    <mergeCell ref="U99:AB99"/>
    <mergeCell ref="U100:AB101"/>
    <mergeCell ref="A101:T101"/>
    <mergeCell ref="A102:T102"/>
    <mergeCell ref="U102:AB102"/>
    <mergeCell ref="A103:T103"/>
    <mergeCell ref="U103:AB103"/>
    <mergeCell ref="A104:T104"/>
    <mergeCell ref="A105:T105"/>
    <mergeCell ref="A106:G106"/>
    <mergeCell ref="B107:G110"/>
    <mergeCell ref="A111:AM111"/>
    <mergeCell ref="A112:AB112"/>
    <mergeCell ref="A113:D113"/>
    <mergeCell ref="E113:I113"/>
    <mergeCell ref="J113:P113"/>
    <mergeCell ref="Q113:X113"/>
    <mergeCell ref="Y113:AB113"/>
    <mergeCell ref="A114:D114"/>
    <mergeCell ref="E114:I114"/>
    <mergeCell ref="J114:P114"/>
    <mergeCell ref="Q114:X114"/>
    <mergeCell ref="Y114:AB114"/>
    <mergeCell ref="A115:E115"/>
    <mergeCell ref="A116:P116"/>
    <mergeCell ref="Q116:X116"/>
    <mergeCell ref="Y116:AB116"/>
    <mergeCell ref="A117:P117"/>
    <mergeCell ref="Q117:X117"/>
    <mergeCell ref="Y117:AB117"/>
    <mergeCell ref="A118:AL118"/>
    <mergeCell ref="A119:H119"/>
    <mergeCell ref="I119:AB119"/>
    <mergeCell ref="A124:W124"/>
    <mergeCell ref="A125:W125"/>
    <mergeCell ref="A126:W126"/>
    <mergeCell ref="A127:W127"/>
    <mergeCell ref="A128:W128"/>
    <mergeCell ref="A129:W129"/>
    <mergeCell ref="A120:H123"/>
    <mergeCell ref="I120:Y120"/>
    <mergeCell ref="Z120:AB120"/>
    <mergeCell ref="I121:Y121"/>
    <mergeCell ref="Z121:AB121"/>
    <mergeCell ref="I122:Y122"/>
    <mergeCell ref="Z122:AB122"/>
    <mergeCell ref="I123:Y123"/>
    <mergeCell ref="Z123:AB123"/>
  </mergeCells>
  <hyperlinks>
    <hyperlink ref="A6" r:id="rId1" display="mailto:KRISTAL.OAKES@DESWIK.COM" xr:uid="{00000000-0004-0000-0000-000000000000}"/>
    <hyperlink ref="A20" r:id="rId2" display="http://www.cmfchile.cl/" xr:uid="{00000000-0004-0000-0000-000001000000}"/>
  </hyperlinks>
  <pageMargins left="0.7" right="0.7" top="0.75" bottom="0.75" header="0.3" footer="0.3"/>
  <headerFooter>
    <oddFooter>&amp;C_x000D_&amp;1#&amp;"Calibri"&amp;10&amp;K000000 Calificación: Publico, apto para su distribución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7CFA9-3A15-4527-B500-4180C67A752E}">
  <dimension ref="A1:AL40"/>
  <sheetViews>
    <sheetView zoomScale="90" zoomScaleNormal="90" workbookViewId="0">
      <selection activeCell="AL41" sqref="AL41"/>
    </sheetView>
  </sheetViews>
  <sheetFormatPr baseColWidth="10" defaultColWidth="9.33203125" defaultRowHeight="12.75"/>
  <cols>
    <col min="1" max="1" width="8" style="28" customWidth="1"/>
    <col min="2" max="2" width="26.6640625" style="28" customWidth="1"/>
    <col min="3" max="3" width="2.1640625" style="28" customWidth="1"/>
    <col min="4" max="4" width="3.33203125" style="28" customWidth="1"/>
    <col min="5" max="6" width="2.1640625" style="28" customWidth="1"/>
    <col min="7" max="7" width="3.33203125" style="28" customWidth="1"/>
    <col min="8" max="8" width="2.1640625" style="28" customWidth="1"/>
    <col min="9" max="10" width="5.83203125" style="28" customWidth="1"/>
    <col min="11" max="12" width="3.33203125" style="28" customWidth="1"/>
    <col min="13" max="13" width="2.1640625" style="28" customWidth="1"/>
    <col min="14" max="14" width="11.5" style="28" customWidth="1"/>
    <col min="15" max="15" width="1.1640625" style="28" customWidth="1"/>
    <col min="16" max="16" width="2.1640625" style="28" customWidth="1"/>
    <col min="17" max="17" width="14" style="28" customWidth="1"/>
    <col min="18" max="18" width="3.33203125" style="28" customWidth="1"/>
    <col min="19" max="19" width="2.1640625" style="28" customWidth="1"/>
    <col min="20" max="20" width="3.33203125" style="28" customWidth="1"/>
    <col min="21" max="22" width="2.1640625" style="28" customWidth="1"/>
    <col min="23" max="23" width="1.1640625" style="28" customWidth="1"/>
    <col min="24" max="24" width="4.6640625" style="28" customWidth="1"/>
    <col min="25" max="25" width="6.83203125" style="28" customWidth="1"/>
    <col min="26" max="26" width="5.83203125" style="28" customWidth="1"/>
    <col min="27" max="28" width="3.33203125" style="28" customWidth="1"/>
    <col min="29" max="34" width="9.33203125" style="28"/>
    <col min="35" max="35" width="22" style="28" bestFit="1" customWidth="1"/>
    <col min="36" max="36" width="9.33203125" style="28"/>
    <col min="37" max="37" width="10.33203125" style="28" bestFit="1" customWidth="1"/>
    <col min="38" max="38" width="12" style="28" bestFit="1" customWidth="1"/>
    <col min="39" max="16384" width="9.33203125" style="28"/>
  </cols>
  <sheetData>
    <row r="1" spans="1:28">
      <c r="A1" s="27"/>
      <c r="B1" s="267" t="s">
        <v>152</v>
      </c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8"/>
      <c r="S1" s="268"/>
      <c r="T1" s="268"/>
      <c r="U1" s="268"/>
      <c r="V1" s="268"/>
      <c r="W1" s="268"/>
      <c r="X1" s="268"/>
      <c r="Y1" s="268"/>
      <c r="Z1" s="268"/>
      <c r="AA1" s="269"/>
      <c r="AB1" s="27"/>
    </row>
    <row r="2" spans="1:28">
      <c r="A2" s="27"/>
      <c r="B2" s="270" t="s">
        <v>1</v>
      </c>
      <c r="C2" s="271"/>
      <c r="D2" s="270" t="s">
        <v>2</v>
      </c>
      <c r="E2" s="272"/>
      <c r="F2" s="272"/>
      <c r="G2" s="272"/>
      <c r="H2" s="272"/>
      <c r="I2" s="272"/>
      <c r="J2" s="272"/>
      <c r="K2" s="272"/>
      <c r="L2" s="272"/>
      <c r="M2" s="272"/>
      <c r="N2" s="272"/>
      <c r="O2" s="272"/>
      <c r="P2" s="272"/>
      <c r="Q2" s="272"/>
      <c r="R2" s="272"/>
      <c r="S2" s="272"/>
      <c r="T2" s="272"/>
      <c r="U2" s="272"/>
      <c r="V2" s="272"/>
      <c r="W2" s="272"/>
      <c r="X2" s="272"/>
      <c r="Y2" s="272"/>
      <c r="Z2" s="272"/>
      <c r="AA2" s="271"/>
      <c r="AB2" s="27"/>
    </row>
    <row r="3" spans="1:28">
      <c r="A3" s="27"/>
      <c r="B3" s="273" t="s">
        <v>153</v>
      </c>
      <c r="C3" s="274"/>
      <c r="D3" s="273" t="s">
        <v>4</v>
      </c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S3" s="275"/>
      <c r="T3" s="275"/>
      <c r="U3" s="275"/>
      <c r="V3" s="275"/>
      <c r="W3" s="275"/>
      <c r="X3" s="275"/>
      <c r="Y3" s="275"/>
      <c r="Z3" s="275"/>
      <c r="AA3" s="274"/>
      <c r="AB3" s="27"/>
    </row>
    <row r="4" spans="1:28">
      <c r="A4" s="27"/>
      <c r="B4" s="276" t="s">
        <v>5</v>
      </c>
      <c r="C4" s="277"/>
      <c r="D4" s="278">
        <v>45772</v>
      </c>
      <c r="E4" s="279"/>
      <c r="F4" s="279"/>
      <c r="G4" s="279"/>
      <c r="H4" s="279"/>
      <c r="I4" s="279"/>
      <c r="J4" s="279"/>
      <c r="K4" s="279"/>
      <c r="L4" s="279"/>
      <c r="M4" s="279"/>
      <c r="N4" s="279"/>
      <c r="O4" s="279"/>
      <c r="P4" s="279"/>
      <c r="Q4" s="279"/>
      <c r="R4" s="279"/>
      <c r="S4" s="279"/>
      <c r="T4" s="279"/>
      <c r="U4" s="279"/>
      <c r="V4" s="279"/>
      <c r="W4" s="279"/>
      <c r="X4" s="279"/>
      <c r="Y4" s="279"/>
      <c r="Z4" s="279"/>
      <c r="AA4" s="280"/>
      <c r="AB4" s="27"/>
    </row>
    <row r="5" spans="1:28">
      <c r="A5" s="281" t="s">
        <v>154</v>
      </c>
      <c r="B5" s="281"/>
      <c r="C5" s="281"/>
      <c r="D5" s="281"/>
      <c r="E5" s="281"/>
      <c r="F5" s="281"/>
      <c r="G5" s="281"/>
      <c r="H5" s="281"/>
      <c r="I5" s="281"/>
      <c r="J5" s="281"/>
      <c r="K5" s="281"/>
      <c r="L5" s="281"/>
      <c r="M5" s="281"/>
      <c r="N5" s="281"/>
      <c r="O5" s="281"/>
      <c r="P5" s="281"/>
      <c r="Q5" s="281"/>
      <c r="R5" s="281"/>
      <c r="S5" s="281"/>
      <c r="T5" s="281"/>
      <c r="U5" s="281"/>
      <c r="V5" s="281"/>
      <c r="W5" s="281"/>
      <c r="X5" s="281"/>
      <c r="Y5" s="281"/>
      <c r="Z5" s="281"/>
      <c r="AA5" s="281"/>
      <c r="AB5" s="281"/>
    </row>
    <row r="6" spans="1:28">
      <c r="A6" s="27"/>
      <c r="B6" s="282" t="s">
        <v>155</v>
      </c>
      <c r="C6" s="283"/>
      <c r="D6" s="283"/>
      <c r="E6" s="283"/>
      <c r="F6" s="283"/>
      <c r="G6" s="283"/>
      <c r="H6" s="283"/>
      <c r="I6" s="283"/>
      <c r="J6" s="283"/>
      <c r="K6" s="283"/>
      <c r="L6" s="283"/>
      <c r="M6" s="283"/>
      <c r="N6" s="283"/>
      <c r="O6" s="283"/>
      <c r="P6" s="283"/>
      <c r="Q6" s="283"/>
      <c r="R6" s="283"/>
      <c r="S6" s="283"/>
      <c r="T6" s="283"/>
      <c r="U6" s="283"/>
      <c r="V6" s="283"/>
      <c r="W6" s="283"/>
      <c r="X6" s="283"/>
      <c r="Y6" s="283"/>
      <c r="Z6" s="283"/>
      <c r="AA6" s="284"/>
      <c r="AB6" s="27"/>
    </row>
    <row r="7" spans="1:28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</row>
    <row r="8" spans="1:28">
      <c r="A8" s="27"/>
      <c r="B8" s="285"/>
      <c r="C8" s="285"/>
      <c r="D8" s="285"/>
      <c r="E8" s="285"/>
      <c r="F8" s="286"/>
      <c r="G8" s="287" t="s">
        <v>8</v>
      </c>
      <c r="H8" s="288"/>
      <c r="I8" s="288"/>
      <c r="J8" s="288"/>
      <c r="K8" s="289"/>
      <c r="L8" s="290" t="s">
        <v>9</v>
      </c>
      <c r="M8" s="291"/>
      <c r="N8" s="291"/>
      <c r="O8" s="291"/>
      <c r="P8" s="292"/>
      <c r="Q8" s="282" t="s">
        <v>10</v>
      </c>
      <c r="R8" s="283"/>
      <c r="S8" s="284"/>
      <c r="T8" s="27"/>
      <c r="U8" s="27"/>
      <c r="V8" s="27"/>
      <c r="W8" s="27"/>
      <c r="X8" s="27"/>
      <c r="Y8" s="27"/>
      <c r="Z8" s="27"/>
      <c r="AA8" s="27"/>
      <c r="AB8" s="27"/>
    </row>
    <row r="9" spans="1:28">
      <c r="A9" s="27"/>
      <c r="B9" s="293" t="s">
        <v>11</v>
      </c>
      <c r="C9" s="294"/>
      <c r="D9" s="294"/>
      <c r="E9" s="294"/>
      <c r="F9" s="295"/>
      <c r="G9" s="293" t="s">
        <v>156</v>
      </c>
      <c r="H9" s="294"/>
      <c r="I9" s="294"/>
      <c r="J9" s="294"/>
      <c r="K9" s="295"/>
      <c r="L9" s="293" t="s">
        <v>157</v>
      </c>
      <c r="M9" s="294"/>
      <c r="N9" s="294"/>
      <c r="O9" s="294"/>
      <c r="P9" s="295"/>
      <c r="Q9" s="293" t="s">
        <v>156</v>
      </c>
      <c r="R9" s="294"/>
      <c r="S9" s="295"/>
      <c r="T9" s="27"/>
      <c r="U9" s="27"/>
      <c r="V9" s="27"/>
      <c r="W9" s="27"/>
      <c r="X9" s="27"/>
      <c r="Y9" s="27"/>
      <c r="Z9" s="27"/>
      <c r="AA9" s="27"/>
      <c r="AB9" s="27"/>
    </row>
    <row r="10" spans="1:28">
      <c r="A10" s="27"/>
      <c r="B10" s="293" t="s">
        <v>12</v>
      </c>
      <c r="C10" s="294"/>
      <c r="D10" s="294"/>
      <c r="E10" s="294"/>
      <c r="F10" s="295"/>
      <c r="G10" s="293" t="s">
        <v>156</v>
      </c>
      <c r="H10" s="294"/>
      <c r="I10" s="294"/>
      <c r="J10" s="294"/>
      <c r="K10" s="295"/>
      <c r="L10" s="293" t="s">
        <v>157</v>
      </c>
      <c r="M10" s="294"/>
      <c r="N10" s="294"/>
      <c r="O10" s="294"/>
      <c r="P10" s="295"/>
      <c r="Q10" s="293" t="s">
        <v>156</v>
      </c>
      <c r="R10" s="294"/>
      <c r="S10" s="295"/>
      <c r="T10" s="27"/>
      <c r="U10" s="27"/>
      <c r="V10" s="27"/>
      <c r="W10" s="27"/>
      <c r="X10" s="27"/>
      <c r="Y10" s="27"/>
      <c r="Z10" s="27"/>
      <c r="AA10" s="27"/>
      <c r="AB10" s="27"/>
    </row>
    <row r="11" spans="1:28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</row>
    <row r="12" spans="1:28">
      <c r="A12" s="27"/>
      <c r="B12" s="282" t="s">
        <v>25</v>
      </c>
      <c r="C12" s="283"/>
      <c r="D12" s="283"/>
      <c r="E12" s="283"/>
      <c r="F12" s="283"/>
      <c r="G12" s="283"/>
      <c r="H12" s="283"/>
      <c r="I12" s="283"/>
      <c r="J12" s="283"/>
      <c r="K12" s="283"/>
      <c r="L12" s="283"/>
      <c r="M12" s="283"/>
      <c r="N12" s="283"/>
      <c r="O12" s="283"/>
      <c r="P12" s="283"/>
      <c r="Q12" s="283"/>
      <c r="R12" s="283"/>
      <c r="S12" s="283"/>
      <c r="T12" s="283"/>
      <c r="U12" s="283"/>
      <c r="V12" s="283"/>
      <c r="W12" s="283"/>
      <c r="X12" s="283"/>
      <c r="Y12" s="283"/>
      <c r="Z12" s="283"/>
      <c r="AA12" s="284"/>
      <c r="AB12" s="27"/>
    </row>
    <row r="13" spans="1:28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</row>
    <row r="14" spans="1:28">
      <c r="A14" s="27"/>
      <c r="B14" s="296" t="s">
        <v>158</v>
      </c>
      <c r="C14" s="297"/>
      <c r="D14" s="297"/>
      <c r="E14" s="297"/>
      <c r="F14" s="297"/>
      <c r="G14" s="297"/>
      <c r="H14" s="297"/>
      <c r="I14" s="297"/>
      <c r="J14" s="297"/>
      <c r="K14" s="297"/>
      <c r="L14" s="297"/>
      <c r="M14" s="297"/>
      <c r="N14" s="297"/>
      <c r="O14" s="297"/>
      <c r="P14" s="297"/>
      <c r="Q14" s="297"/>
      <c r="R14" s="297"/>
      <c r="S14" s="297"/>
      <c r="T14" s="297"/>
      <c r="U14" s="297"/>
      <c r="V14" s="297"/>
      <c r="W14" s="297"/>
      <c r="X14" s="297"/>
      <c r="Y14" s="297"/>
      <c r="Z14" s="297"/>
      <c r="AA14" s="298"/>
      <c r="AB14" s="27"/>
    </row>
    <row r="15" spans="1:28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</row>
    <row r="16" spans="1:28">
      <c r="A16" s="27"/>
      <c r="B16" s="299" t="s">
        <v>159</v>
      </c>
      <c r="C16" s="300"/>
      <c r="D16" s="300"/>
      <c r="E16" s="300"/>
      <c r="F16" s="301"/>
      <c r="G16" s="299" t="s">
        <v>160</v>
      </c>
      <c r="H16" s="300"/>
      <c r="I16" s="300"/>
      <c r="J16" s="300"/>
      <c r="K16" s="301"/>
      <c r="L16" s="27"/>
      <c r="M16" s="27"/>
      <c r="N16" s="27"/>
      <c r="O16" s="270" t="s">
        <v>161</v>
      </c>
      <c r="P16" s="272"/>
      <c r="Q16" s="272"/>
      <c r="R16" s="272"/>
      <c r="S16" s="272"/>
      <c r="T16" s="272"/>
      <c r="U16" s="272"/>
      <c r="V16" s="272"/>
      <c r="W16" s="271"/>
      <c r="X16" s="308">
        <v>45744</v>
      </c>
      <c r="Y16" s="309"/>
      <c r="Z16" s="309"/>
      <c r="AA16" s="310"/>
      <c r="AB16" s="27"/>
    </row>
    <row r="17" spans="1:38">
      <c r="A17" s="27"/>
      <c r="B17" s="302"/>
      <c r="C17" s="303"/>
      <c r="D17" s="303"/>
      <c r="E17" s="303"/>
      <c r="F17" s="304"/>
      <c r="G17" s="302"/>
      <c r="H17" s="303"/>
      <c r="I17" s="303"/>
      <c r="J17" s="303"/>
      <c r="K17" s="304"/>
      <c r="L17" s="27"/>
      <c r="M17" s="27"/>
      <c r="N17" s="27"/>
      <c r="O17" s="273" t="s">
        <v>162</v>
      </c>
      <c r="P17" s="275"/>
      <c r="Q17" s="275"/>
      <c r="R17" s="275"/>
      <c r="S17" s="275"/>
      <c r="T17" s="275"/>
      <c r="U17" s="275"/>
      <c r="V17" s="275"/>
      <c r="W17" s="274"/>
      <c r="X17" s="311">
        <v>45772</v>
      </c>
      <c r="Y17" s="312"/>
      <c r="Z17" s="312"/>
      <c r="AA17" s="313"/>
      <c r="AB17" s="27"/>
    </row>
    <row r="18" spans="1:38">
      <c r="A18" s="27"/>
      <c r="B18" s="302"/>
      <c r="C18" s="303"/>
      <c r="D18" s="303"/>
      <c r="E18" s="303"/>
      <c r="F18" s="304"/>
      <c r="G18" s="302"/>
      <c r="H18" s="303"/>
      <c r="I18" s="303"/>
      <c r="J18" s="303"/>
      <c r="K18" s="304"/>
      <c r="L18" s="27"/>
      <c r="M18" s="27"/>
      <c r="N18" s="27"/>
      <c r="O18" s="276" t="s">
        <v>23</v>
      </c>
      <c r="P18" s="314"/>
      <c r="Q18" s="314"/>
      <c r="R18" s="314"/>
      <c r="S18" s="314"/>
      <c r="T18" s="314"/>
      <c r="U18" s="314"/>
      <c r="V18" s="314"/>
      <c r="W18" s="277"/>
      <c r="X18" s="315">
        <v>45792</v>
      </c>
      <c r="Y18" s="316"/>
      <c r="Z18" s="316"/>
      <c r="AA18" s="317"/>
      <c r="AB18" s="27"/>
    </row>
    <row r="19" spans="1:38">
      <c r="A19" s="27"/>
      <c r="B19" s="305"/>
      <c r="C19" s="306"/>
      <c r="D19" s="306"/>
      <c r="E19" s="306"/>
      <c r="F19" s="307"/>
      <c r="G19" s="305"/>
      <c r="H19" s="306"/>
      <c r="I19" s="306"/>
      <c r="J19" s="306"/>
      <c r="K19" s="30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</row>
    <row r="20" spans="1:38">
      <c r="A20" s="318" t="s">
        <v>163</v>
      </c>
      <c r="B20" s="318"/>
      <c r="C20" s="318"/>
      <c r="D20" s="318"/>
      <c r="E20" s="318"/>
      <c r="F20" s="318"/>
      <c r="G20" s="318"/>
      <c r="H20" s="318"/>
      <c r="I20" s="318"/>
      <c r="J20" s="318"/>
      <c r="K20" s="318"/>
      <c r="L20" s="318"/>
      <c r="M20" s="318"/>
      <c r="N20" s="318"/>
      <c r="O20" s="318"/>
      <c r="P20" s="318"/>
      <c r="Q20" s="318"/>
      <c r="R20" s="318"/>
      <c r="S20" s="318"/>
      <c r="T20" s="318"/>
      <c r="U20" s="318"/>
      <c r="V20" s="318"/>
      <c r="W20" s="318"/>
      <c r="X20" s="318"/>
      <c r="Y20" s="318"/>
      <c r="Z20" s="318"/>
      <c r="AA20" s="318"/>
      <c r="AB20" s="318"/>
    </row>
    <row r="21" spans="1:38">
      <c r="A21" s="27"/>
      <c r="B21" s="282" t="s">
        <v>164</v>
      </c>
      <c r="C21" s="283"/>
      <c r="D21" s="283"/>
      <c r="E21" s="283"/>
      <c r="F21" s="283"/>
      <c r="G21" s="283"/>
      <c r="H21" s="283"/>
      <c r="I21" s="283"/>
      <c r="J21" s="283"/>
      <c r="K21" s="283"/>
      <c r="L21" s="283"/>
      <c r="M21" s="283"/>
      <c r="N21" s="283"/>
      <c r="O21" s="283"/>
      <c r="P21" s="283"/>
      <c r="Q21" s="283"/>
      <c r="R21" s="283"/>
      <c r="S21" s="283"/>
      <c r="T21" s="283"/>
      <c r="U21" s="283"/>
      <c r="V21" s="283"/>
      <c r="W21" s="283"/>
      <c r="X21" s="283"/>
      <c r="Y21" s="283"/>
      <c r="Z21" s="283"/>
      <c r="AA21" s="284"/>
      <c r="AB21" s="27"/>
    </row>
    <row r="22" spans="1:38" ht="22.5">
      <c r="A22" s="30"/>
      <c r="B22" s="31" t="s">
        <v>165</v>
      </c>
      <c r="C22" s="293" t="s">
        <v>37</v>
      </c>
      <c r="D22" s="294"/>
      <c r="E22" s="294"/>
      <c r="F22" s="295"/>
      <c r="G22" s="293" t="s">
        <v>39</v>
      </c>
      <c r="H22" s="294"/>
      <c r="I22" s="294"/>
      <c r="J22" s="294"/>
      <c r="K22" s="294"/>
      <c r="L22" s="294"/>
      <c r="M22" s="294"/>
      <c r="N22" s="294"/>
      <c r="O22" s="295"/>
      <c r="P22" s="293" t="s">
        <v>166</v>
      </c>
      <c r="Q22" s="295"/>
      <c r="R22" s="293" t="s">
        <v>167</v>
      </c>
      <c r="S22" s="295"/>
      <c r="T22" s="293" t="s">
        <v>168</v>
      </c>
      <c r="U22" s="294"/>
      <c r="V22" s="294"/>
      <c r="W22" s="294"/>
      <c r="X22" s="295"/>
      <c r="Y22" s="319" t="s">
        <v>169</v>
      </c>
      <c r="Z22" s="320"/>
      <c r="AA22" s="321"/>
      <c r="AB22" s="30"/>
    </row>
    <row r="23" spans="1:38">
      <c r="A23" s="27"/>
      <c r="B23" s="32"/>
      <c r="C23" s="322"/>
      <c r="D23" s="322"/>
      <c r="E23" s="322"/>
      <c r="F23" s="322"/>
      <c r="G23" s="268" t="s">
        <v>170</v>
      </c>
      <c r="H23" s="268"/>
      <c r="I23" s="268"/>
      <c r="J23" s="268"/>
      <c r="K23" s="268"/>
      <c r="L23" s="268"/>
      <c r="M23" s="268"/>
      <c r="N23" s="268"/>
      <c r="O23" s="268"/>
      <c r="P23" s="268"/>
      <c r="Q23" s="268"/>
      <c r="R23" s="322"/>
      <c r="S23" s="322"/>
      <c r="T23" s="322"/>
      <c r="U23" s="322"/>
      <c r="V23" s="322"/>
      <c r="W23" s="322"/>
      <c r="X23" s="322"/>
      <c r="Y23" s="297" t="s">
        <v>171</v>
      </c>
      <c r="Z23" s="297"/>
      <c r="AA23" s="298"/>
      <c r="AB23" s="27"/>
    </row>
    <row r="24" spans="1:38">
      <c r="A24" s="27"/>
      <c r="B24" s="32"/>
      <c r="C24" s="322"/>
      <c r="D24" s="322"/>
      <c r="E24" s="322"/>
      <c r="F24" s="322"/>
      <c r="G24" s="268" t="s">
        <v>172</v>
      </c>
      <c r="H24" s="268"/>
      <c r="I24" s="268"/>
      <c r="J24" s="268"/>
      <c r="K24" s="268"/>
      <c r="L24" s="268"/>
      <c r="M24" s="268"/>
      <c r="N24" s="268"/>
      <c r="O24" s="268"/>
      <c r="P24" s="268"/>
      <c r="Q24" s="268"/>
      <c r="R24" s="322"/>
      <c r="S24" s="322"/>
      <c r="T24" s="322"/>
      <c r="U24" s="322"/>
      <c r="V24" s="322"/>
      <c r="W24" s="322"/>
      <c r="X24" s="322"/>
      <c r="Y24" s="297" t="s">
        <v>171</v>
      </c>
      <c r="Z24" s="297"/>
      <c r="AA24" s="298"/>
      <c r="AB24" s="27"/>
      <c r="AC24" s="28">
        <v>990.00051279421575</v>
      </c>
      <c r="AD24" s="23" t="s">
        <v>133</v>
      </c>
      <c r="AE24" s="23" t="s">
        <v>134</v>
      </c>
      <c r="AF24" s="23" t="s">
        <v>135</v>
      </c>
      <c r="AG24" s="23" t="s">
        <v>136</v>
      </c>
      <c r="AH24" s="16"/>
      <c r="AI24" s="16"/>
      <c r="AJ24" s="16"/>
      <c r="AK24" s="16"/>
      <c r="AL24"/>
    </row>
    <row r="25" spans="1:38" ht="12.75" customHeight="1">
      <c r="A25" s="27"/>
      <c r="B25" s="32"/>
      <c r="C25" s="322"/>
      <c r="D25" s="322"/>
      <c r="E25" s="322"/>
      <c r="F25" s="322"/>
      <c r="G25" s="291" t="s">
        <v>173</v>
      </c>
      <c r="H25" s="291"/>
      <c r="I25" s="291"/>
      <c r="J25" s="291"/>
      <c r="K25" s="291"/>
      <c r="L25" s="291"/>
      <c r="M25" s="291"/>
      <c r="N25" s="291"/>
      <c r="O25" s="291"/>
      <c r="P25" s="291"/>
      <c r="Q25" s="291"/>
      <c r="R25" s="322"/>
      <c r="S25" s="322"/>
      <c r="T25" s="322"/>
      <c r="U25" s="322"/>
      <c r="V25" s="322"/>
      <c r="W25" s="322"/>
      <c r="X25" s="322"/>
      <c r="Y25" s="34" t="s">
        <v>174</v>
      </c>
      <c r="Z25" s="34"/>
      <c r="AA25" s="35"/>
      <c r="AB25" s="27"/>
      <c r="AC25" s="28">
        <v>975.05</v>
      </c>
      <c r="AE25" s="16"/>
      <c r="AF25" s="16"/>
      <c r="AG25" s="16"/>
      <c r="AH25" s="18"/>
      <c r="AI25" s="16"/>
      <c r="AJ25" s="16"/>
      <c r="AK25" s="16"/>
      <c r="AL25"/>
    </row>
    <row r="26" spans="1:38" ht="22.5" customHeight="1">
      <c r="A26" s="29"/>
      <c r="B26" s="36" t="s">
        <v>183</v>
      </c>
      <c r="C26" s="323" t="s">
        <v>184</v>
      </c>
      <c r="D26" s="324"/>
      <c r="E26" s="324"/>
      <c r="F26" s="325"/>
      <c r="G26" s="326" t="s">
        <v>185</v>
      </c>
      <c r="H26" s="294"/>
      <c r="I26" s="294"/>
      <c r="J26" s="294"/>
      <c r="K26" s="294"/>
      <c r="L26" s="294"/>
      <c r="M26" s="294"/>
      <c r="N26" s="294"/>
      <c r="O26" s="295"/>
      <c r="P26" s="327"/>
      <c r="Q26" s="328"/>
      <c r="R26" s="327"/>
      <c r="S26" s="328"/>
      <c r="T26" s="327"/>
      <c r="U26" s="329"/>
      <c r="V26" s="329"/>
      <c r="W26" s="329"/>
      <c r="X26" s="328"/>
      <c r="Y26" s="264">
        <v>-909</v>
      </c>
      <c r="Z26" s="265"/>
      <c r="AA26" s="266"/>
      <c r="AB26" s="29"/>
      <c r="AC26" s="28">
        <f>Y26*AC24</f>
        <v>-899910.4661299421</v>
      </c>
      <c r="AD26" s="16" t="s">
        <v>137</v>
      </c>
      <c r="AE26" s="16"/>
      <c r="AF26" s="16"/>
      <c r="AG26" s="16">
        <f>VLOOKUP(AD26,AI:AJ,2,0)</f>
        <v>8040706</v>
      </c>
      <c r="AH26" s="16"/>
      <c r="AI26" s="16"/>
      <c r="AJ26" s="16"/>
      <c r="AK26" s="16"/>
      <c r="AL26"/>
    </row>
    <row r="27" spans="1:38" ht="22.5" customHeight="1">
      <c r="A27" s="29"/>
      <c r="B27" s="36" t="s">
        <v>182</v>
      </c>
      <c r="C27" s="323" t="s">
        <v>184</v>
      </c>
      <c r="D27" s="324"/>
      <c r="E27" s="324"/>
      <c r="F27" s="325"/>
      <c r="G27" s="326" t="s">
        <v>185</v>
      </c>
      <c r="H27" s="294"/>
      <c r="I27" s="294"/>
      <c r="J27" s="294"/>
      <c r="K27" s="294"/>
      <c r="L27" s="294"/>
      <c r="M27" s="294"/>
      <c r="N27" s="294"/>
      <c r="O27" s="295"/>
      <c r="P27" s="327"/>
      <c r="Q27" s="328"/>
      <c r="R27" s="327"/>
      <c r="S27" s="328"/>
      <c r="T27" s="327"/>
      <c r="U27" s="329"/>
      <c r="V27" s="329"/>
      <c r="W27" s="329"/>
      <c r="X27" s="328"/>
      <c r="Y27" s="264">
        <v>-66.05</v>
      </c>
      <c r="Z27" s="265"/>
      <c r="AA27" s="266"/>
      <c r="AB27" s="29"/>
      <c r="AC27" s="28">
        <f>Y27*AC24</f>
        <v>-65389.533870057945</v>
      </c>
      <c r="AD27" s="18" t="s">
        <v>138</v>
      </c>
      <c r="AE27" s="18"/>
      <c r="AF27" s="16"/>
      <c r="AG27" s="16">
        <f>VLOOKUP(AD27,AI:AJ,2,0)</f>
        <v>8040708</v>
      </c>
      <c r="AH27" s="16"/>
      <c r="AI27" s="18" t="s">
        <v>138</v>
      </c>
      <c r="AJ27" s="16">
        <v>8040708</v>
      </c>
      <c r="AK27" s="17">
        <f>SUMIF(AG:AG,AJ27,AC:AC)</f>
        <v>-65389.533870057945</v>
      </c>
      <c r="AL27"/>
    </row>
    <row r="28" spans="1:38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E28" s="16"/>
      <c r="AF28" s="16"/>
      <c r="AG28" s="16"/>
      <c r="AH28" s="16"/>
      <c r="AI28" s="16" t="s">
        <v>139</v>
      </c>
      <c r="AJ28" s="16">
        <v>8050701</v>
      </c>
      <c r="AK28" s="17">
        <f t="shared" ref="AK28:AK37" si="0">SUMIF(AG:AG,AJ28,AC:AC)</f>
        <v>0</v>
      </c>
      <c r="AL28"/>
    </row>
    <row r="29" spans="1:38">
      <c r="A29" s="27"/>
      <c r="B29" s="333" t="s">
        <v>59</v>
      </c>
      <c r="C29" s="334"/>
      <c r="D29" s="334"/>
      <c r="E29" s="334"/>
      <c r="F29" s="334"/>
      <c r="G29" s="334"/>
      <c r="H29" s="334"/>
      <c r="I29" s="334"/>
      <c r="J29" s="334"/>
      <c r="K29" s="334"/>
      <c r="L29" s="335"/>
      <c r="M29" s="27"/>
      <c r="N29" s="333" t="s">
        <v>59</v>
      </c>
      <c r="O29" s="334"/>
      <c r="P29" s="334"/>
      <c r="Q29" s="334"/>
      <c r="R29" s="334"/>
      <c r="S29" s="334"/>
      <c r="T29" s="334"/>
      <c r="U29" s="334"/>
      <c r="V29" s="334"/>
      <c r="W29" s="334"/>
      <c r="X29" s="334"/>
      <c r="Y29" s="334"/>
      <c r="Z29" s="335"/>
      <c r="AA29" s="27"/>
      <c r="AB29" s="27"/>
      <c r="AE29" s="16"/>
      <c r="AF29" s="16"/>
      <c r="AG29" s="16"/>
      <c r="AH29" s="16"/>
      <c r="AI29" s="16" t="s">
        <v>137</v>
      </c>
      <c r="AJ29" s="16">
        <v>8040706</v>
      </c>
      <c r="AK29" s="17">
        <f t="shared" si="0"/>
        <v>-899910.4661299421</v>
      </c>
      <c r="AL29"/>
    </row>
    <row r="30" spans="1:38">
      <c r="A30" s="29"/>
      <c r="B30" s="299" t="s">
        <v>175</v>
      </c>
      <c r="C30" s="301"/>
      <c r="D30" s="299" t="s">
        <v>176</v>
      </c>
      <c r="E30" s="300"/>
      <c r="F30" s="300"/>
      <c r="G30" s="300"/>
      <c r="H30" s="300"/>
      <c r="I30" s="300"/>
      <c r="J30" s="300"/>
      <c r="K30" s="300"/>
      <c r="L30" s="301"/>
      <c r="M30" s="29"/>
      <c r="N30" s="299" t="s">
        <v>175</v>
      </c>
      <c r="O30" s="300"/>
      <c r="P30" s="300"/>
      <c r="Q30" s="301"/>
      <c r="R30" s="299" t="s">
        <v>176</v>
      </c>
      <c r="S30" s="300"/>
      <c r="T30" s="300"/>
      <c r="U30" s="300"/>
      <c r="V30" s="300"/>
      <c r="W30" s="300"/>
      <c r="X30" s="300"/>
      <c r="Y30" s="300"/>
      <c r="Z30" s="301"/>
      <c r="AA30" s="29"/>
      <c r="AB30" s="29"/>
      <c r="AE30" s="16"/>
      <c r="AF30" s="16"/>
      <c r="AG30" s="16"/>
      <c r="AH30" s="18"/>
      <c r="AI30" s="16" t="s">
        <v>140</v>
      </c>
      <c r="AJ30" s="16">
        <v>8051420</v>
      </c>
      <c r="AK30" s="17">
        <f t="shared" si="0"/>
        <v>0</v>
      </c>
      <c r="AL30"/>
    </row>
    <row r="31" spans="1:38">
      <c r="A31" s="27"/>
      <c r="B31" s="305"/>
      <c r="C31" s="307"/>
      <c r="D31" s="33"/>
      <c r="E31" s="33"/>
      <c r="F31" s="33"/>
      <c r="G31" s="33"/>
      <c r="H31" s="33"/>
      <c r="I31" s="33"/>
      <c r="J31" s="33"/>
      <c r="K31" s="336"/>
      <c r="L31" s="286"/>
      <c r="M31" s="27"/>
      <c r="N31" s="305"/>
      <c r="O31" s="306"/>
      <c r="P31" s="306"/>
      <c r="Q31" s="307"/>
      <c r="R31" s="33"/>
      <c r="S31" s="33"/>
      <c r="T31" s="33"/>
      <c r="U31" s="33"/>
      <c r="V31" s="33"/>
      <c r="W31" s="336"/>
      <c r="X31" s="286"/>
      <c r="Y31" s="33"/>
      <c r="Z31" s="33"/>
      <c r="AA31" s="27"/>
      <c r="AB31" s="27"/>
      <c r="AE31" s="16"/>
      <c r="AF31" s="16"/>
      <c r="AG31" s="16"/>
      <c r="AH31" s="18"/>
      <c r="AI31" s="16" t="s">
        <v>141</v>
      </c>
      <c r="AJ31" s="16">
        <v>8051416</v>
      </c>
      <c r="AK31" s="17">
        <f t="shared" si="0"/>
        <v>0</v>
      </c>
      <c r="AL31"/>
    </row>
    <row r="32" spans="1:38">
      <c r="A32" s="29"/>
      <c r="B32" s="330" t="s">
        <v>177</v>
      </c>
      <c r="C32" s="331"/>
      <c r="D32" s="330" t="s">
        <v>178</v>
      </c>
      <c r="E32" s="332"/>
      <c r="F32" s="332"/>
      <c r="G32" s="332"/>
      <c r="H32" s="332"/>
      <c r="I32" s="332"/>
      <c r="J32" s="332"/>
      <c r="K32" s="332"/>
      <c r="L32" s="331"/>
      <c r="M32" s="29"/>
      <c r="N32" s="330" t="s">
        <v>179</v>
      </c>
      <c r="O32" s="332"/>
      <c r="P32" s="332"/>
      <c r="Q32" s="331"/>
      <c r="R32" s="330" t="s">
        <v>178</v>
      </c>
      <c r="S32" s="332"/>
      <c r="T32" s="332"/>
      <c r="U32" s="332"/>
      <c r="V32" s="332"/>
      <c r="W32" s="332"/>
      <c r="X32" s="332"/>
      <c r="Y32" s="332"/>
      <c r="Z32" s="331"/>
      <c r="AA32" s="29"/>
      <c r="AB32" s="29"/>
      <c r="AE32" s="16"/>
      <c r="AF32" s="16"/>
      <c r="AG32" s="16"/>
      <c r="AH32" s="16"/>
      <c r="AI32" s="16" t="s">
        <v>142</v>
      </c>
      <c r="AJ32" s="16">
        <v>8050901</v>
      </c>
      <c r="AK32" s="17">
        <f t="shared" si="0"/>
        <v>0</v>
      </c>
      <c r="AL32"/>
    </row>
    <row r="33" spans="1:38">
      <c r="A33" s="29"/>
      <c r="B33" s="330" t="s">
        <v>180</v>
      </c>
      <c r="C33" s="331"/>
      <c r="D33" s="330" t="s">
        <v>181</v>
      </c>
      <c r="E33" s="332"/>
      <c r="F33" s="332"/>
      <c r="G33" s="332"/>
      <c r="H33" s="332"/>
      <c r="I33" s="332"/>
      <c r="J33" s="332"/>
      <c r="K33" s="332"/>
      <c r="L33" s="331"/>
      <c r="M33" s="29"/>
      <c r="N33" s="330" t="s">
        <v>180</v>
      </c>
      <c r="O33" s="332"/>
      <c r="P33" s="332"/>
      <c r="Q33" s="331"/>
      <c r="R33" s="330" t="s">
        <v>181</v>
      </c>
      <c r="S33" s="332"/>
      <c r="T33" s="332"/>
      <c r="U33" s="332"/>
      <c r="V33" s="332"/>
      <c r="W33" s="332"/>
      <c r="X33" s="332"/>
      <c r="Y33" s="332"/>
      <c r="Z33" s="331"/>
      <c r="AA33" s="29"/>
      <c r="AB33" s="29"/>
      <c r="AE33" s="16"/>
      <c r="AF33" s="16"/>
      <c r="AG33" s="16"/>
      <c r="AH33" s="16"/>
      <c r="AI33" s="16" t="s">
        <v>143</v>
      </c>
      <c r="AJ33" s="16">
        <v>8051301</v>
      </c>
      <c r="AK33" s="17">
        <f t="shared" si="0"/>
        <v>0</v>
      </c>
      <c r="AL33"/>
    </row>
    <row r="34" spans="1:38">
      <c r="AE34" s="16"/>
      <c r="AF34" s="16"/>
      <c r="AG34" s="16"/>
      <c r="AH34" s="18"/>
      <c r="AI34" s="16" t="s">
        <v>144</v>
      </c>
      <c r="AJ34" s="16">
        <v>8040703</v>
      </c>
      <c r="AK34" s="17">
        <f t="shared" si="0"/>
        <v>0</v>
      </c>
      <c r="AL34"/>
    </row>
    <row r="35" spans="1:38">
      <c r="AE35" s="16"/>
      <c r="AF35" s="16"/>
      <c r="AG35" s="16"/>
      <c r="AH35" s="16"/>
      <c r="AI35" s="16" t="s">
        <v>145</v>
      </c>
      <c r="AJ35" s="16">
        <v>8050708</v>
      </c>
      <c r="AK35" s="17">
        <f t="shared" si="0"/>
        <v>0</v>
      </c>
      <c r="AL35"/>
    </row>
    <row r="36" spans="1:38">
      <c r="AE36" s="16"/>
      <c r="AF36" s="16"/>
      <c r="AG36" s="16"/>
      <c r="AH36" s="16"/>
      <c r="AI36" s="16" t="s">
        <v>146</v>
      </c>
      <c r="AJ36" s="16">
        <v>8040705</v>
      </c>
      <c r="AK36" s="17">
        <f t="shared" si="0"/>
        <v>0</v>
      </c>
      <c r="AL36"/>
    </row>
    <row r="37" spans="1:38">
      <c r="AE37" s="16"/>
      <c r="AF37" s="16"/>
      <c r="AG37" s="16"/>
      <c r="AH37" s="16"/>
      <c r="AI37" s="20" t="s">
        <v>148</v>
      </c>
      <c r="AJ37" s="16">
        <v>3030101</v>
      </c>
      <c r="AK37" s="17">
        <f t="shared" si="0"/>
        <v>0</v>
      </c>
      <c r="AL37"/>
    </row>
    <row r="38" spans="1:38">
      <c r="AE38" s="16"/>
      <c r="AF38" s="16"/>
      <c r="AG38" s="16"/>
      <c r="AH38" s="16"/>
      <c r="AI38" s="24" t="s">
        <v>150</v>
      </c>
      <c r="AJ38" s="16">
        <v>3011302</v>
      </c>
      <c r="AK38" s="17">
        <f>SUMIF(AF:AF,AJ38,AA:AA)</f>
        <v>0</v>
      </c>
      <c r="AL38"/>
    </row>
    <row r="39" spans="1:38">
      <c r="AE39" s="16"/>
      <c r="AF39" s="16"/>
      <c r="AG39" s="16"/>
      <c r="AH39" s="16"/>
      <c r="AI39" s="20" t="s">
        <v>151</v>
      </c>
      <c r="AJ39" s="16">
        <v>3011301</v>
      </c>
      <c r="AK39" s="17">
        <f>SUMIF(AF:AF,AJ39,AA:AA)</f>
        <v>0</v>
      </c>
      <c r="AL39" s="25">
        <f>SUM(AK27:AK38)</f>
        <v>-965300</v>
      </c>
    </row>
    <row r="40" spans="1:38">
      <c r="AE40" s="16"/>
      <c r="AF40" s="16"/>
      <c r="AG40" s="16"/>
      <c r="AH40" s="16"/>
      <c r="AI40" s="16"/>
      <c r="AJ40" s="16"/>
      <c r="AK40" s="20" t="s">
        <v>149</v>
      </c>
      <c r="AL40" s="26">
        <f>AL39+clp!AL90</f>
        <v>0</v>
      </c>
    </row>
  </sheetData>
  <mergeCells count="81">
    <mergeCell ref="R32:Z32"/>
    <mergeCell ref="B33:C33"/>
    <mergeCell ref="D33:L33"/>
    <mergeCell ref="N33:Q33"/>
    <mergeCell ref="R33:Z33"/>
    <mergeCell ref="C27:F27"/>
    <mergeCell ref="G27:O27"/>
    <mergeCell ref="B32:C32"/>
    <mergeCell ref="D32:L32"/>
    <mergeCell ref="N32:Q32"/>
    <mergeCell ref="B29:L29"/>
    <mergeCell ref="N29:Z29"/>
    <mergeCell ref="B30:C31"/>
    <mergeCell ref="D30:L30"/>
    <mergeCell ref="N30:Q31"/>
    <mergeCell ref="R30:Z30"/>
    <mergeCell ref="K31:L31"/>
    <mergeCell ref="W31:X31"/>
    <mergeCell ref="P27:Q27"/>
    <mergeCell ref="R27:S27"/>
    <mergeCell ref="T27:X27"/>
    <mergeCell ref="C25:F25"/>
    <mergeCell ref="G25:Q25"/>
    <mergeCell ref="R25:S25"/>
    <mergeCell ref="T25:X25"/>
    <mergeCell ref="Y26:AA26"/>
    <mergeCell ref="C26:F26"/>
    <mergeCell ref="G26:O26"/>
    <mergeCell ref="P26:Q26"/>
    <mergeCell ref="R26:S26"/>
    <mergeCell ref="T26:X26"/>
    <mergeCell ref="C24:F24"/>
    <mergeCell ref="G24:Q24"/>
    <mergeCell ref="R24:S24"/>
    <mergeCell ref="T24:X24"/>
    <mergeCell ref="Y24:AA24"/>
    <mergeCell ref="C23:F23"/>
    <mergeCell ref="G23:Q23"/>
    <mergeCell ref="R23:S23"/>
    <mergeCell ref="T23:X23"/>
    <mergeCell ref="Y23:AA23"/>
    <mergeCell ref="A20:AB20"/>
    <mergeCell ref="B21:AA21"/>
    <mergeCell ref="C22:F22"/>
    <mergeCell ref="G22:O22"/>
    <mergeCell ref="P22:Q22"/>
    <mergeCell ref="R22:S22"/>
    <mergeCell ref="T22:X22"/>
    <mergeCell ref="Y22:AA22"/>
    <mergeCell ref="B12:AA12"/>
    <mergeCell ref="B14:AA14"/>
    <mergeCell ref="B16:F19"/>
    <mergeCell ref="G16:K19"/>
    <mergeCell ref="O16:W16"/>
    <mergeCell ref="X16:AA16"/>
    <mergeCell ref="O17:W17"/>
    <mergeCell ref="X17:AA17"/>
    <mergeCell ref="O18:W18"/>
    <mergeCell ref="X18:AA18"/>
    <mergeCell ref="L9:P9"/>
    <mergeCell ref="Q9:S9"/>
    <mergeCell ref="B10:F10"/>
    <mergeCell ref="G10:K10"/>
    <mergeCell ref="L10:P10"/>
    <mergeCell ref="Q10:S10"/>
    <mergeCell ref="Y27:AA27"/>
    <mergeCell ref="B1:AA1"/>
    <mergeCell ref="B2:C2"/>
    <mergeCell ref="D2:AA2"/>
    <mergeCell ref="B3:C3"/>
    <mergeCell ref="D3:AA3"/>
    <mergeCell ref="B4:C4"/>
    <mergeCell ref="D4:AA4"/>
    <mergeCell ref="A5:AB5"/>
    <mergeCell ref="B6:AA6"/>
    <mergeCell ref="B8:F8"/>
    <mergeCell ref="G8:K8"/>
    <mergeCell ref="L8:P8"/>
    <mergeCell ref="Q8:S8"/>
    <mergeCell ref="B9:F9"/>
    <mergeCell ref="G9:K9"/>
  </mergeCells>
  <hyperlinks>
    <hyperlink ref="A5" r:id="rId1" display="mailto:KRISTAL.OAKES@DESWIK.COM" xr:uid="{52519415-5C7B-4FA7-A36D-748B84073A4A}"/>
    <hyperlink ref="A20" r:id="rId2" display="http://www.cmfchile.cl/" xr:uid="{110A7CE0-1290-4A70-84DC-89488B07D3D4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45CA3-374C-478F-B8BD-785995C92DB7}">
  <dimension ref="A1"/>
  <sheetViews>
    <sheetView topLeftCell="A61" workbookViewId="0">
      <selection activeCell="A51" sqref="A51"/>
    </sheetView>
  </sheetViews>
  <sheetFormatPr baseColWidth="10" defaultRowHeight="12.7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d745ab360262bb857df02af1a33bfe20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eb64c9e94d6b2a91590b4df7037309e8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E863995-1767-4741-AE9F-67AFB489CE1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a7ff2fa-cd4c-4111-a6ab-75351164d87f"/>
    <ds:schemaRef ds:uri="fa8ec313-c772-4af8-8363-8ff52de2e6b8"/>
  </ds:schemaRefs>
</ds:datastoreItem>
</file>

<file path=customXml/itemProps2.xml><?xml version="1.0" encoding="utf-8"?>
<ds:datastoreItem xmlns:ds="http://schemas.openxmlformats.org/officeDocument/2006/customXml" ds:itemID="{A06881D2-F744-4BD9-8D23-3071C5A8387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D116649-FB9C-46B4-BFFC-FBB74F36F4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a8ec313-c772-4af8-8363-8ff52de2e6b8"/>
    <ds:schemaRef ds:uri="6a7ff2fa-cd4c-4111-a6ab-75351164d8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clp</vt:lpstr>
      <vt:lpstr>usd</vt:lpstr>
      <vt:lpstr>PDF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COLDview Document</dc:title>
  <dc:creator>COLDview</dc:creator>
  <cp:lastModifiedBy>Carolina Cabrera</cp:lastModifiedBy>
  <dcterms:created xsi:type="dcterms:W3CDTF">2025-05-27T22:43:44Z</dcterms:created>
  <dcterms:modified xsi:type="dcterms:W3CDTF">2025-09-30T02:07:35Z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VQT_CVDOCID">
    <vt:lpwstr>FMCTC0000011766</vt:lpwstr>
  </property>
  <property fmtid="{D5CDD505-2E9C-101B-9397-08002B2CF9AE}" pid="3" name="CVQT_LEY01">
    <vt:lpwstr/>
  </property>
  <property fmtid="{D5CDD505-2E9C-101B-9397-08002B2CF9AE}" pid="4" name="CVQT_N001TITULOS">
    <vt:lpwstr>204fc13c07f6cb0ca6bc0750d7e59d4e</vt:lpwstr>
  </property>
  <property fmtid="{D5CDD505-2E9C-101B-9397-08002B2CF9AE}" pid="5" name="CVQT_N002DESCRIPCION">
    <vt:lpwstr>033db73c0d144bc77a3bb2c06deb810a</vt:lpwstr>
  </property>
  <property fmtid="{D5CDD505-2E9C-101B-9397-08002B2CF9AE}" pid="6" name="CVQT_N002MONTO">
    <vt:lpwstr>be64775bc4de6e209a6c14210ca90fb0</vt:lpwstr>
  </property>
  <property fmtid="{D5CDD505-2E9C-101B-9397-08002B2CF9AE}" pid="7" name="CVQT_N003APAGAR">
    <vt:lpwstr>2c47b34b4ba29844d5c90968f8474226</vt:lpwstr>
  </property>
  <property fmtid="{D5CDD505-2E9C-101B-9397-08002B2CF9AE}" pid="8" name="CVQT_N003CODIGO">
    <vt:lpwstr>e213d63e5ec83cb1c23cf197c9d6cce3</vt:lpwstr>
  </property>
  <property fmtid="{D5CDD505-2E9C-101B-9397-08002B2CF9AE}" pid="9" name="CVQT_N003DESCRIPCION">
    <vt:lpwstr>575143a70da7ed2b1b803bf0f63f1bdf</vt:lpwstr>
  </property>
  <property fmtid="{D5CDD505-2E9C-101B-9397-08002B2CF9AE}" pid="10" name="CVQT_N003FECHA">
    <vt:lpwstr>e505c84b934cf889b3781a689139811b</vt:lpwstr>
  </property>
  <property fmtid="{D5CDD505-2E9C-101B-9397-08002B2CF9AE}" pid="11" name="CVQT_N003LUGAR">
    <vt:lpwstr>df3dc6095510e8a4f5f7bac1bcc5ddbf</vt:lpwstr>
  </property>
  <property fmtid="{D5CDD505-2E9C-101B-9397-08002B2CF9AE}" pid="12" name="CVQT_N003MONTO">
    <vt:lpwstr>2c47b34b4ba29844d5c90968f8474226</vt:lpwstr>
  </property>
  <property fmtid="{D5CDD505-2E9C-101B-9397-08002B2CF9AE}" pid="13" name="CVQT_N003NROCUOTA">
    <vt:lpwstr>96172948c1f54f8400efc28e5f04a77a</vt:lpwstr>
  </property>
  <property fmtid="{D5CDD505-2E9C-101B-9397-08002B2CF9AE}" pid="14" name="CVQT_N003VALORCUOTA">
    <vt:lpwstr>2c47b34b4ba29844d5c90968f8474226</vt:lpwstr>
  </property>
  <property fmtid="{D5CDD505-2E9C-101B-9397-08002B2CF9AE}" pid="15" name="CVQT_N005APAGAR">
    <vt:lpwstr>fa0570ef4f931c9d0801d94197070e0a</vt:lpwstr>
  </property>
  <property fmtid="{D5CDD505-2E9C-101B-9397-08002B2CF9AE}" pid="16" name="CVQT_N005CODIGO">
    <vt:lpwstr>6d3b7bab5b9df95a3a9277aca95e6d80</vt:lpwstr>
  </property>
  <property fmtid="{D5CDD505-2E9C-101B-9397-08002B2CF9AE}" pid="17" name="CVQT_N005DESCRIPCION">
    <vt:lpwstr>3b0d66013fd8128ec704042823343446</vt:lpwstr>
  </property>
  <property fmtid="{D5CDD505-2E9C-101B-9397-08002B2CF9AE}" pid="18" name="CVQT_N005FECHA">
    <vt:lpwstr>badde63cae0e7914c35039850fd29b1f</vt:lpwstr>
  </property>
  <property fmtid="{D5CDD505-2E9C-101B-9397-08002B2CF9AE}" pid="19" name="CVQT_N005LUGAR">
    <vt:lpwstr>6ea195ce429f7fd587bad83d0aae4061</vt:lpwstr>
  </property>
  <property fmtid="{D5CDD505-2E9C-101B-9397-08002B2CF9AE}" pid="20" name="CVQT_N005MONTO">
    <vt:lpwstr>fa0570ef4f931c9d0801d94197070e0a</vt:lpwstr>
  </property>
  <property fmtid="{D5CDD505-2E9C-101B-9397-08002B2CF9AE}" pid="21" name="CVQT_N005NROCUOTA">
    <vt:lpwstr>5f70a852983fcc172196866c24767ae4</vt:lpwstr>
  </property>
  <property fmtid="{D5CDD505-2E9C-101B-9397-08002B2CF9AE}" pid="22" name="CVQT_N005VALORCUOTA">
    <vt:lpwstr>fa0570ef4f931c9d0801d94197070e0a</vt:lpwstr>
  </property>
  <property fmtid="{D5CDD505-2E9C-101B-9397-08002B2CF9AE}" pid="23" name="CVQT_NAVANCECAE">
    <vt:lpwstr>04422</vt:lpwstr>
  </property>
  <property fmtid="{D5CDD505-2E9C-101B-9397-08002B2CF9AE}" pid="24" name="CVQT_NAVANCETASA">
    <vt:lpwstr>0260</vt:lpwstr>
  </property>
  <property fmtid="{D5CDD505-2E9C-101B-9397-08002B2CF9AE}" pid="25" name="CVQT_NCAEPREPAGO">
    <vt:lpwstr>00000</vt:lpwstr>
  </property>
  <property fmtid="{D5CDD505-2E9C-101B-9397-08002B2CF9AE}" pid="26" name="CVQT_NCOMPRACAE">
    <vt:lpwstr>04422</vt:lpwstr>
  </property>
  <property fmtid="{D5CDD505-2E9C-101B-9397-08002B2CF9AE}" pid="27" name="CVQT_NCOMPRATASA">
    <vt:lpwstr>0260</vt:lpwstr>
  </property>
  <property fmtid="{D5CDD505-2E9C-101B-9397-08002B2CF9AE}" pid="28" name="CVQT_NCOSTOPREPAGO">
    <vt:lpwstr> $      3.070.443</vt:lpwstr>
  </property>
  <property fmtid="{D5CDD505-2E9C-101B-9397-08002B2CF9AE}" pid="29" name="CVQT_NCUPODISAVANCE">
    <vt:lpwstr>+00001929557</vt:lpwstr>
  </property>
  <property fmtid="{D5CDD505-2E9C-101B-9397-08002B2CF9AE}" pid="30" name="CVQT_NCUPODISTOTAL">
    <vt:lpwstr>+00001929557</vt:lpwstr>
  </property>
  <property fmtid="{D5CDD505-2E9C-101B-9397-08002B2CF9AE}" pid="31" name="CVQT_NCUPOTOTAVANCE">
    <vt:lpwstr>+00004750000</vt:lpwstr>
  </property>
  <property fmtid="{D5CDD505-2E9C-101B-9397-08002B2CF9AE}" pid="32" name="CVQT_NCUPOTOTTOTAL">
    <vt:lpwstr>000005000000</vt:lpwstr>
  </property>
  <property fmtid="{D5CDD505-2E9C-101B-9397-08002B2CF9AE}" pid="33" name="CVQT_NCUPOUTIAVANCE">
    <vt:lpwstr>+00000000000</vt:lpwstr>
  </property>
  <property fmtid="{D5CDD505-2E9C-101B-9397-08002B2CF9AE}" pid="34" name="CVQT_NCUPOUTITOTAL">
    <vt:lpwstr>+00003070443</vt:lpwstr>
  </property>
  <property fmtid="{D5CDD505-2E9C-101B-9397-08002B2CF9AE}" pid="35" name="CVQT_NDIRECCION">
    <vt:lpwstr>KRISTAL.OAKES@DESWIK.COM      </vt:lpwstr>
  </property>
  <property fmtid="{D5CDD505-2E9C-101B-9397-08002B2CF9AE}" pid="36" name="CVQT_NENTRE10Y50UF">
    <vt:lpwstr>6%</vt:lpwstr>
  </property>
  <property fmtid="{D5CDD505-2E9C-101B-9397-08002B2CF9AE}" pid="37" name="CVQT_NEXCEDAN50UF">
    <vt:lpwstr>3%</vt:lpwstr>
  </property>
  <property fmtid="{D5CDD505-2E9C-101B-9397-08002B2CF9AE}" pid="38" name="CVQT_NHASTA10UF">
    <vt:lpwstr>9%</vt:lpwstr>
  </property>
  <property fmtid="{D5CDD505-2E9C-101B-9397-08002B2CF9AE}" pid="39" name="CVQT_NINTERESMORATORIO">
    <vt:lpwstr>31,20%</vt:lpwstr>
  </property>
  <property fmtid="{D5CDD505-2E9C-101B-9397-08002B2CF9AE}" pid="40" name="CVQT_NLOGO">
    <vt:lpwstr>558</vt:lpwstr>
  </property>
  <property fmtid="{D5CDD505-2E9C-101B-9397-08002B2CF9AE}" pid="41" name="CVQT_NMONTOFACTURADOANT">
    <vt:lpwstr>+00001497172</vt:lpwstr>
  </property>
  <property fmtid="{D5CDD505-2E9C-101B-9397-08002B2CF9AE}" pid="42" name="CVQT_NMONTOMINIMO">
    <vt:lpwstr>000000089831</vt:lpwstr>
  </property>
  <property fmtid="{D5CDD505-2E9C-101B-9397-08002B2CF9AE}" pid="43" name="CVQT_NMONTOMINIMOIP">
    <vt:lpwstr> $         89.831</vt:lpwstr>
  </property>
  <property fmtid="{D5CDD505-2E9C-101B-9397-08002B2CF9AE}" pid="44" name="CVQT_NMONTOPAGADOANT">
    <vt:lpwstr>-00001497172</vt:lpwstr>
  </property>
  <property fmtid="{D5CDD505-2E9C-101B-9397-08002B2CF9AE}" pid="45" name="CVQT_NMONTOTOTAL">
    <vt:lpwstr>+00003070443</vt:lpwstr>
  </property>
  <property fmtid="{D5CDD505-2E9C-101B-9397-08002B2CF9AE}" pid="46" name="CVQT_NMONTOTOTALIP">
    <vt:lpwstr> $      3.070.443</vt:lpwstr>
  </property>
  <property fmtid="{D5CDD505-2E9C-101B-9397-08002B2CF9AE}" pid="47" name="CVQT_NNOMBRETITULAR">
    <vt:lpwstr>CAROL CONTRERAS               </vt:lpwstr>
  </property>
  <property fmtid="{D5CDD505-2E9C-101B-9397-08002B2CF9AE}" pid="48" name="CVQT_NPAGARHASTA">
    <vt:lpwstr>20250515</vt:lpwstr>
  </property>
  <property fmtid="{D5CDD505-2E9C-101B-9397-08002B2CF9AE}" pid="49" name="CVQT_NPROXPERIODODESDE">
    <vt:lpwstr>26/04/2025</vt:lpwstr>
  </property>
  <property fmtid="{D5CDD505-2E9C-101B-9397-08002B2CF9AE}" pid="50" name="CVQT_NPROXPERIODOHASTA">
    <vt:lpwstr>28/05/2025</vt:lpwstr>
  </property>
  <property fmtid="{D5CDD505-2E9C-101B-9397-08002B2CF9AE}" pid="51" name="CVQT_NREC03">
    <vt:lpwstr/>
  </property>
  <property fmtid="{D5CDD505-2E9C-101B-9397-08002B2CF9AE}" pid="52" name="CVQT_NROCUENTA">
    <vt:lpwstr>0005586851000041282</vt:lpwstr>
  </property>
  <property fmtid="{D5CDD505-2E9C-101B-9397-08002B2CF9AE}" pid="53" name="CVQT_NROTATIVOCAE">
    <vt:lpwstr>04168</vt:lpwstr>
  </property>
  <property fmtid="{D5CDD505-2E9C-101B-9397-08002B2CF9AE}" pid="54" name="CVQT_NROTATIVOTASA">
    <vt:lpwstr>0260</vt:lpwstr>
  </property>
  <property fmtid="{D5CDD505-2E9C-101B-9397-08002B2CF9AE}" pid="55" name="CVQT_NSALDOFINADEUDADOANT">
    <vt:lpwstr>+00000000000</vt:lpwstr>
  </property>
  <property fmtid="{D5CDD505-2E9C-101B-9397-08002B2CF9AE}" pid="56" name="CVQT_NSALDOINIADEUDADOANT">
    <vt:lpwstr>-00000108373</vt:lpwstr>
  </property>
  <property fmtid="{D5CDD505-2E9C-101B-9397-08002B2CF9AE}" pid="57" name="CVQT_NVENCACUTAL">
    <vt:lpwstr> $              0</vt:lpwstr>
  </property>
  <property fmtid="{D5CDD505-2E9C-101B-9397-08002B2CF9AE}" pid="58" name="CVQT_NVENCMES1">
    <vt:lpwstr> $              0</vt:lpwstr>
  </property>
  <property fmtid="{D5CDD505-2E9C-101B-9397-08002B2CF9AE}" pid="59" name="CVQT_NVENCMES2">
    <vt:lpwstr> $              0</vt:lpwstr>
  </property>
  <property fmtid="{D5CDD505-2E9C-101B-9397-08002B2CF9AE}" pid="60" name="CVQT_NVENCMES3">
    <vt:lpwstr> $              0</vt:lpwstr>
  </property>
  <property fmtid="{D5CDD505-2E9C-101B-9397-08002B2CF9AE}" pid="61" name="CVQT_NVENCMES4">
    <vt:lpwstr> $              0</vt:lpwstr>
  </property>
  <property fmtid="{D5CDD505-2E9C-101B-9397-08002B2CF9AE}" pid="62" name="Created">
    <vt:filetime>2025-05-01T00:00:00Z</vt:filetime>
  </property>
  <property fmtid="{D5CDD505-2E9C-101B-9397-08002B2CF9AE}" pid="63" name="Producer">
    <vt:lpwstr>OpenPDF 1.3.32</vt:lpwstr>
  </property>
  <property fmtid="{D5CDD505-2E9C-101B-9397-08002B2CF9AE}" pid="64" name="LastSaved">
    <vt:filetime>2025-05-01T00:00:00Z</vt:filetime>
  </property>
  <property fmtid="{D5CDD505-2E9C-101B-9397-08002B2CF9AE}" pid="65" name="ContentTypeId">
    <vt:lpwstr>0x0101008C0FDD3EE9C26F4CA38A0CE1A876A831</vt:lpwstr>
  </property>
  <property fmtid="{D5CDD505-2E9C-101B-9397-08002B2CF9AE}" pid="66" name="MediaServiceImageTags">
    <vt:lpwstr/>
  </property>
</Properties>
</file>