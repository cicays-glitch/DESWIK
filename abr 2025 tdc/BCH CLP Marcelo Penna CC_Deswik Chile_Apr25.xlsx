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12 DESWIK/TDC/"/>
    </mc:Choice>
  </mc:AlternateContent>
  <xr:revisionPtr revIDLastSave="15" documentId="13_ncr:20001_{38F82654-4DF7-4A0A-B529-7D507159EBED}" xr6:coauthVersionLast="47" xr6:coauthVersionMax="47" xr10:uidLastSave="{55E16A01-5E46-4F9B-9529-B4611A771A98}"/>
  <bookViews>
    <workbookView xWindow="-28725" yWindow="4320" windowWidth="28725" windowHeight="9810" xr2:uid="{00000000-000D-0000-FFFF-FFFF00000000}"/>
  </bookViews>
  <sheets>
    <sheet name="Table 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51" i="1" l="1"/>
  <c r="AV50" i="1"/>
  <c r="AX49" i="1"/>
  <c r="AW49" i="1"/>
  <c r="AQ54" i="1"/>
  <c r="AQ53" i="1"/>
  <c r="AQ52" i="1"/>
  <c r="AQ51" i="1"/>
  <c r="AQ42" i="1"/>
  <c r="AQ38" i="1"/>
  <c r="AQ37" i="1"/>
  <c r="AQ36" i="1"/>
  <c r="AU42" i="1" l="1"/>
  <c r="AU47" i="1"/>
  <c r="AU49" i="1"/>
  <c r="AU41" i="1"/>
  <c r="AU38" i="1"/>
  <c r="AU48" i="1"/>
  <c r="AU40" i="1"/>
  <c r="AU39" i="1"/>
  <c r="AU46" i="1"/>
  <c r="AU45" i="1"/>
  <c r="AU44" i="1"/>
  <c r="AU43" i="1"/>
  <c r="AU50" i="1"/>
</calcChain>
</file>

<file path=xl/sharedStrings.xml><?xml version="1.0" encoding="utf-8"?>
<sst xmlns="http://schemas.openxmlformats.org/spreadsheetml/2006/main" count="180" uniqueCount="140">
  <si>
    <r>
      <rPr>
        <b/>
        <sz val="8.5"/>
        <rFont val="Arial"/>
        <family val="2"/>
      </rPr>
      <t>ESTADO DE CUENTA NACIONAL DE TARJETA DE CRÉDITO</t>
    </r>
  </si>
  <si>
    <r>
      <rPr>
        <sz val="8.5"/>
        <rFont val="Arial MT"/>
        <family val="2"/>
      </rPr>
      <t>NOMBRE DEL TITULAR</t>
    </r>
  </si>
  <si>
    <r>
      <rPr>
        <sz val="8.5"/>
        <rFont val="Arial MT"/>
        <family val="2"/>
      </rPr>
      <t>MARCELO PENNA</t>
    </r>
  </si>
  <si>
    <r>
      <rPr>
        <sz val="8.5"/>
        <rFont val="Arial MT"/>
        <family val="2"/>
      </rPr>
      <t>N° DE TARJETA DE CRÉDITO</t>
    </r>
  </si>
  <si>
    <r>
      <rPr>
        <sz val="8.5"/>
        <rFont val="Arial MT"/>
        <family val="2"/>
      </rPr>
      <t>XXXX XXX0  0003  6506</t>
    </r>
  </si>
  <si>
    <r>
      <rPr>
        <sz val="8.5"/>
        <rFont val="Arial MT"/>
        <family val="2"/>
      </rPr>
      <t>FECHA ESTADO DE CUENTA</t>
    </r>
  </si>
  <si>
    <r>
      <rPr>
        <sz val="8.5"/>
        <rFont val="Arial MT"/>
        <family val="2"/>
      </rPr>
      <t>MARCELO PENNA ACCOUNTS.CHILE@DESWIK.COM</t>
    </r>
  </si>
  <si>
    <r>
      <rPr>
        <b/>
        <sz val="8.5"/>
        <rFont val="Arial"/>
        <family val="2"/>
      </rPr>
      <t>I.    INFORMACIÓN GENERAL</t>
    </r>
  </si>
  <si>
    <r>
      <rPr>
        <b/>
        <sz val="8.5"/>
        <rFont val="Arial"/>
        <family val="2"/>
      </rPr>
      <t>CUPO TOTAL</t>
    </r>
  </si>
  <si>
    <r>
      <rPr>
        <b/>
        <sz val="8.5"/>
        <rFont val="Arial"/>
        <family val="2"/>
      </rPr>
      <t>CUPO UTILIZADO</t>
    </r>
  </si>
  <si>
    <r>
      <rPr>
        <b/>
        <sz val="8.5"/>
        <rFont val="Arial"/>
        <family val="2"/>
      </rPr>
      <t>CUPO DISPONIBLE</t>
    </r>
  </si>
  <si>
    <r>
      <rPr>
        <sz val="8.5"/>
        <rFont val="Arial MT"/>
        <family val="2"/>
      </rPr>
      <t>CUPO TOTAL</t>
    </r>
  </si>
  <si>
    <r>
      <rPr>
        <sz val="8.5"/>
        <rFont val="Arial MT"/>
        <family val="2"/>
      </rPr>
      <t>CUPO TOTAL AVANCE EN EFECTIVO</t>
    </r>
  </si>
  <si>
    <r>
      <rPr>
        <sz val="13"/>
        <rFont val="Arial MT"/>
        <family val="2"/>
      </rPr>
      <t>CAE PREPAGO</t>
    </r>
  </si>
  <si>
    <r>
      <rPr>
        <b/>
        <sz val="8.5"/>
        <rFont val="Arial"/>
        <family val="2"/>
      </rPr>
      <t xml:space="preserve">SIN SELLO
</t>
    </r>
    <r>
      <rPr>
        <b/>
        <sz val="8.5"/>
        <rFont val="Arial"/>
        <family val="2"/>
      </rPr>
      <t>SERNAC</t>
    </r>
  </si>
  <si>
    <r>
      <rPr>
        <b/>
        <sz val="8.5"/>
        <rFont val="Arial"/>
        <family val="2"/>
      </rPr>
      <t>ROTATIVO</t>
    </r>
  </si>
  <si>
    <r>
      <rPr>
        <b/>
        <sz val="8.5"/>
        <rFont val="Arial"/>
        <family val="2"/>
      </rPr>
      <t>COMPRA EN CUOTAS</t>
    </r>
  </si>
  <si>
    <r>
      <rPr>
        <b/>
        <sz val="8.5"/>
        <rFont val="Arial"/>
        <family val="2"/>
      </rPr>
      <t>AVANCE EN CUOTAS</t>
    </r>
  </si>
  <si>
    <r>
      <rPr>
        <sz val="8.5"/>
        <rFont val="Arial MT"/>
        <family val="2"/>
      </rPr>
      <t>TASA INTERÉS VIGENTE</t>
    </r>
  </si>
  <si>
    <r>
      <rPr>
        <sz val="8.5"/>
        <rFont val="Arial MT"/>
        <family val="2"/>
      </rPr>
      <t>CAE</t>
    </r>
  </si>
  <si>
    <r>
      <rPr>
        <sz val="8.5"/>
        <rFont val="Arial MT"/>
        <family val="2"/>
      </rPr>
      <t>DESDE</t>
    </r>
  </si>
  <si>
    <r>
      <rPr>
        <sz val="8.5"/>
        <rFont val="Arial MT"/>
        <family val="2"/>
      </rPr>
      <t>HASTA</t>
    </r>
  </si>
  <si>
    <r>
      <rPr>
        <sz val="8.5"/>
        <rFont val="Arial MT"/>
        <family val="2"/>
      </rPr>
      <t>PERÍODO FACTURADO</t>
    </r>
  </si>
  <si>
    <r>
      <rPr>
        <sz val="8.5"/>
        <rFont val="Arial MT"/>
        <family val="2"/>
      </rPr>
      <t>PAGAR HASTA</t>
    </r>
  </si>
  <si>
    <r>
      <rPr>
        <sz val="8.5"/>
        <rFont val="Arial MT"/>
        <family val="2"/>
      </rPr>
      <t xml:space="preserve">CAE se calcula sobre un supuesto de gasto mensual de UF 20 y pagadero en 12 cuotas.
</t>
    </r>
    <r>
      <rPr>
        <sz val="8.5"/>
        <rFont val="Arial MT"/>
        <family val="2"/>
      </rPr>
      <t>Infórmese sobre las entidades autorizadas para emitir Tarjetas de Pago en el país, quienes se encuentran inscritas en los Registros de Emisores de Tarjetas que lleva la CMF, en www.cmfchile.cl.</t>
    </r>
  </si>
  <si>
    <r>
      <rPr>
        <b/>
        <sz val="8.5"/>
        <rFont val="Arial"/>
        <family val="2"/>
      </rPr>
      <t>II.   DETALLE</t>
    </r>
  </si>
  <si>
    <r>
      <rPr>
        <b/>
        <sz val="8.5"/>
        <rFont val="Arial"/>
        <family val="2"/>
      </rPr>
      <t>1.  PERÍODO ANTERIOR</t>
    </r>
  </si>
  <si>
    <r>
      <rPr>
        <b/>
        <sz val="8.5"/>
        <rFont val="Arial"/>
        <family val="2"/>
      </rPr>
      <t>DESDE</t>
    </r>
  </si>
  <si>
    <r>
      <rPr>
        <b/>
        <sz val="8.5"/>
        <rFont val="Arial"/>
        <family val="2"/>
      </rPr>
      <t>HASTA</t>
    </r>
  </si>
  <si>
    <r>
      <rPr>
        <sz val="8.5"/>
        <rFont val="Arial MT"/>
        <family val="2"/>
      </rPr>
      <t>PERÍODO DE FACTURACIÓN ANTERIOR</t>
    </r>
  </si>
  <si>
    <r>
      <rPr>
        <sz val="8.5"/>
        <rFont val="Arial MT"/>
        <family val="2"/>
      </rPr>
      <t>SALDO ADEUDADO INICIO PERÍODO ANTERIOR</t>
    </r>
  </si>
  <si>
    <r>
      <rPr>
        <sz val="8.5"/>
        <rFont val="Arial MT"/>
        <family val="2"/>
      </rPr>
      <t>MONTO FACTURADO A PAGAR (PERÍODO ANTERIOR)</t>
    </r>
  </si>
  <si>
    <r>
      <rPr>
        <b/>
        <sz val="8.5"/>
        <color rgb="FFFFFFFF"/>
        <rFont val="Arial"/>
        <family val="2"/>
      </rPr>
      <t>A</t>
    </r>
  </si>
  <si>
    <r>
      <rPr>
        <sz val="8.5"/>
        <rFont val="Arial MT"/>
        <family val="2"/>
      </rPr>
      <t>MONTO PAGADO PERÍODO ANTERIOR</t>
    </r>
  </si>
  <si>
    <r>
      <rPr>
        <sz val="8.5"/>
        <rFont val="Arial MT"/>
        <family val="2"/>
      </rPr>
      <t>SALDO ADEUDADO FINAL PERÍODO ANTERIOR</t>
    </r>
  </si>
  <si>
    <r>
      <rPr>
        <b/>
        <sz val="8.5"/>
        <rFont val="Arial"/>
        <family val="2"/>
      </rPr>
      <t>2.  PERÍODO ACTUAL</t>
    </r>
  </si>
  <si>
    <r>
      <rPr>
        <sz val="8.5"/>
        <rFont val="Arial MT"/>
        <family val="2"/>
      </rPr>
      <t>LUGAR DE OPERACIÓN</t>
    </r>
  </si>
  <si>
    <r>
      <rPr>
        <sz val="8.5"/>
        <rFont val="Arial MT"/>
        <family val="2"/>
      </rPr>
      <t>FECHA OPERACIÓN</t>
    </r>
  </si>
  <si>
    <r>
      <rPr>
        <sz val="8.5"/>
        <rFont val="Arial MT"/>
        <family val="2"/>
      </rPr>
      <t>CÓDIGO REFERENCIA</t>
    </r>
  </si>
  <si>
    <r>
      <rPr>
        <sz val="8.5"/>
        <rFont val="Arial MT"/>
        <family val="2"/>
      </rPr>
      <t>DESCRIPCIÓN OPERACIÓN O COBRO</t>
    </r>
  </si>
  <si>
    <r>
      <rPr>
        <sz val="8.5"/>
        <rFont val="Arial MT"/>
        <family val="2"/>
      </rPr>
      <t xml:space="preserve">MONTO OPERACIÓN
</t>
    </r>
    <r>
      <rPr>
        <sz val="8.5"/>
        <rFont val="Arial MT"/>
        <family val="2"/>
      </rPr>
      <t>O COBRO</t>
    </r>
  </si>
  <si>
    <r>
      <rPr>
        <sz val="8.5"/>
        <rFont val="Arial MT"/>
        <family val="2"/>
      </rPr>
      <t xml:space="preserve">MONTO TOTAL A
</t>
    </r>
    <r>
      <rPr>
        <sz val="8.5"/>
        <rFont val="Arial MT"/>
        <family val="2"/>
      </rPr>
      <t>PAGAR</t>
    </r>
  </si>
  <si>
    <r>
      <rPr>
        <sz val="8.5"/>
        <rFont val="Arial MT"/>
        <family val="2"/>
      </rPr>
      <t>CARGOS DEL MES</t>
    </r>
  </si>
  <si>
    <r>
      <rPr>
        <sz val="8.5"/>
        <rFont val="Arial MT"/>
        <family val="2"/>
      </rPr>
      <t>N° CUOTA</t>
    </r>
  </si>
  <si>
    <r>
      <rPr>
        <sz val="8.5"/>
        <rFont val="Arial MT"/>
        <family val="2"/>
      </rPr>
      <t xml:space="preserve">VALOR CUOTA
</t>
    </r>
    <r>
      <rPr>
        <sz val="8.5"/>
        <rFont val="Arial MT"/>
        <family val="2"/>
      </rPr>
      <t>MENSUAL</t>
    </r>
  </si>
  <si>
    <r>
      <rPr>
        <b/>
        <sz val="8.5"/>
        <rFont val="Arial"/>
        <family val="2"/>
      </rPr>
      <t>1.TOTAL OPERACIONES</t>
    </r>
  </si>
  <si>
    <r>
      <rPr>
        <sz val="8.5"/>
        <rFont val="Arial MT"/>
        <family val="2"/>
      </rPr>
      <t>PAGO AUTOMATICO</t>
    </r>
  </si>
  <si>
    <r>
      <rPr>
        <sz val="8.5"/>
        <rFont val="Arial MT"/>
        <family val="2"/>
      </rPr>
      <t>01/01</t>
    </r>
  </si>
  <si>
    <r>
      <rPr>
        <b/>
        <sz val="8.5"/>
        <rFont val="Arial"/>
        <family val="2"/>
      </rPr>
      <t>TOTAL PAGOS A LA CUENTA</t>
    </r>
  </si>
  <si>
    <r>
      <rPr>
        <b/>
        <sz val="8.5"/>
        <color rgb="FFFFFFFF"/>
        <rFont val="Arial"/>
        <family val="2"/>
      </rPr>
      <t>B</t>
    </r>
  </si>
  <si>
    <r>
      <rPr>
        <vertAlign val="superscript"/>
        <sz val="8.5"/>
        <rFont val="Arial MT"/>
        <family val="2"/>
      </rPr>
      <t xml:space="preserve">$        </t>
    </r>
    <r>
      <rPr>
        <b/>
        <sz val="8.5"/>
        <rFont val="Arial"/>
        <family val="2"/>
      </rPr>
      <t>-2.623.654</t>
    </r>
  </si>
  <si>
    <r>
      <rPr>
        <sz val="8.5"/>
        <rFont val="Arial MT"/>
        <family val="2"/>
      </rPr>
      <t>Sin Movimientos</t>
    </r>
  </si>
  <si>
    <r>
      <rPr>
        <b/>
        <sz val="8.5"/>
        <rFont val="Arial"/>
        <family val="2"/>
      </rPr>
      <t>TOTAL PAT A LA CUENTA</t>
    </r>
  </si>
  <si>
    <r>
      <rPr>
        <b/>
        <sz val="8.5"/>
        <color rgb="FFFFFFFF"/>
        <rFont val="Arial"/>
        <family val="2"/>
      </rPr>
      <t>C</t>
    </r>
  </si>
  <si>
    <r>
      <rPr>
        <sz val="8.5"/>
        <rFont val="Arial MT"/>
        <family val="2"/>
      </rPr>
      <t xml:space="preserve">$                     </t>
    </r>
    <r>
      <rPr>
        <b/>
        <vertAlign val="subscript"/>
        <sz val="8.5"/>
        <rFont val="Arial"/>
        <family val="2"/>
      </rPr>
      <t>0</t>
    </r>
  </si>
  <si>
    <r>
      <rPr>
        <sz val="8.5"/>
        <rFont val="Arial MT"/>
        <family val="2"/>
      </rPr>
      <t>SANTIAGO</t>
    </r>
  </si>
  <si>
    <r>
      <rPr>
        <sz val="8.5"/>
        <rFont val="Arial MT"/>
        <family val="2"/>
      </rPr>
      <t>PAYU   *UBER TRIP     SANTIAGO</t>
    </r>
  </si>
  <si>
    <r>
      <rPr>
        <sz val="8.5"/>
        <rFont val="Arial MT"/>
        <family val="2"/>
      </rPr>
      <t>41000-PFC PARQUE ARA   SANTIAGO</t>
    </r>
  </si>
  <si>
    <r>
      <rPr>
        <sz val="8.5"/>
        <rFont val="Arial MT"/>
        <family val="2"/>
      </rPr>
      <t>HOTEL ICON           SANTIAGO</t>
    </r>
  </si>
  <si>
    <r>
      <rPr>
        <b/>
        <sz val="8.5"/>
        <rFont val="Arial"/>
        <family val="2"/>
      </rPr>
      <t>COMPROBANTE DE PAGO</t>
    </r>
  </si>
  <si>
    <r>
      <rPr>
        <b/>
        <sz val="8.5"/>
        <rFont val="Arial"/>
        <family val="2"/>
      </rPr>
      <t xml:space="preserve">NOMBRE
</t>
    </r>
    <r>
      <rPr>
        <sz val="8.5"/>
        <rFont val="Arial MT"/>
        <family val="2"/>
      </rPr>
      <t>MARCELO PENNA</t>
    </r>
  </si>
  <si>
    <r>
      <rPr>
        <b/>
        <sz val="8.5"/>
        <rFont val="Arial"/>
        <family val="2"/>
      </rPr>
      <t xml:space="preserve">NÚMERO DE TARJETA
</t>
    </r>
    <r>
      <rPr>
        <sz val="8.5"/>
        <rFont val="Arial MT"/>
        <family val="2"/>
      </rPr>
      <t>0   0003     6506</t>
    </r>
  </si>
  <si>
    <r>
      <rPr>
        <b/>
        <sz val="8.5"/>
        <rFont val="Arial"/>
        <family val="2"/>
      </rPr>
      <t xml:space="preserve">PAGAR HASTA
</t>
    </r>
    <r>
      <rPr>
        <sz val="8.5"/>
        <rFont val="Arial MT"/>
        <family val="2"/>
      </rPr>
      <t>15/05/2025</t>
    </r>
  </si>
  <si>
    <r>
      <rPr>
        <b/>
        <sz val="8.5"/>
        <rFont val="Arial"/>
        <family val="2"/>
      </rPr>
      <t xml:space="preserve">MONTO TOTAL FACTURADO A PAGAR
</t>
    </r>
    <r>
      <rPr>
        <sz val="8.5"/>
        <rFont val="Arial MT"/>
        <family val="2"/>
      </rPr>
      <t>$ 1.901.018</t>
    </r>
  </si>
  <si>
    <r>
      <rPr>
        <b/>
        <sz val="8.5"/>
        <rFont val="Arial"/>
        <family val="2"/>
      </rPr>
      <t xml:space="preserve">MONTO MÍNIMO A PAGAR
</t>
    </r>
    <r>
      <rPr>
        <sz val="8.5"/>
        <rFont val="Arial MT"/>
        <family val="2"/>
      </rPr>
      <t>$  77.679</t>
    </r>
  </si>
  <si>
    <r>
      <rPr>
        <b/>
        <sz val="8.5"/>
        <rFont val="Arial"/>
        <family val="2"/>
      </rPr>
      <t>MONTO CANCELADO</t>
    </r>
  </si>
  <si>
    <r>
      <rPr>
        <b/>
        <sz val="8.5"/>
        <rFont val="Arial"/>
        <family val="2"/>
      </rPr>
      <t xml:space="preserve">PAGAR HASTA                 </t>
    </r>
    <r>
      <rPr>
        <b/>
        <vertAlign val="subscript"/>
        <sz val="8.5"/>
        <rFont val="Arial"/>
        <family val="2"/>
      </rPr>
      <t xml:space="preserve">Timbre
</t>
    </r>
    <r>
      <rPr>
        <sz val="8.5"/>
        <rFont val="Arial MT"/>
        <family val="2"/>
      </rPr>
      <t xml:space="preserve">15/05/2025                        </t>
    </r>
    <r>
      <rPr>
        <b/>
        <vertAlign val="subscript"/>
        <sz val="8.5"/>
        <rFont val="Arial"/>
        <family val="2"/>
      </rPr>
      <t>Banco</t>
    </r>
  </si>
  <si>
    <r>
      <rPr>
        <sz val="8.5"/>
        <rFont val="Arial MT"/>
        <family val="2"/>
      </rPr>
      <t>Cheque                                                         Efectivo                                        Cheque                                                          Efectivo</t>
    </r>
  </si>
  <si>
    <r>
      <rPr>
        <sz val="8.5"/>
        <rFont val="Arial MT"/>
        <family val="2"/>
      </rPr>
      <t xml:space="preserve">MONTO
</t>
    </r>
    <r>
      <rPr>
        <sz val="8.5"/>
        <rFont val="Arial MT"/>
        <family val="2"/>
      </rPr>
      <t>OPERACIÓN O COBRO</t>
    </r>
  </si>
  <si>
    <r>
      <rPr>
        <sz val="8.5"/>
        <rFont val="Arial MT"/>
        <family val="2"/>
      </rPr>
      <t xml:space="preserve">MONTO
</t>
    </r>
    <r>
      <rPr>
        <sz val="8.5"/>
        <rFont val="Arial MT"/>
        <family val="2"/>
      </rPr>
      <t>TOTAL A PAGAR</t>
    </r>
  </si>
  <si>
    <r>
      <rPr>
        <sz val="8.5"/>
        <rFont val="Arial MT"/>
        <family val="2"/>
      </rPr>
      <t>SUC RESTAURANTE BUTE   SANTIAGO</t>
    </r>
  </si>
  <si>
    <r>
      <rPr>
        <b/>
        <sz val="8.5"/>
        <rFont val="Arial"/>
        <family val="2"/>
      </rPr>
      <t>TOTAL TARJETA XXXX XXXX XXXX 6506</t>
    </r>
  </si>
  <si>
    <r>
      <rPr>
        <b/>
        <vertAlign val="superscript"/>
        <sz val="8.5"/>
        <rFont val="Arial"/>
        <family val="2"/>
      </rPr>
      <t xml:space="preserve">$            </t>
    </r>
    <r>
      <rPr>
        <b/>
        <sz val="8.5"/>
        <rFont val="Arial"/>
        <family val="2"/>
      </rPr>
      <t>453.307</t>
    </r>
  </si>
  <si>
    <r>
      <rPr>
        <b/>
        <sz val="8.5"/>
        <rFont val="Arial"/>
        <family val="2"/>
      </rPr>
      <t>TOTAL TRANSACCIONES EN UNA CUOTA</t>
    </r>
  </si>
  <si>
    <r>
      <rPr>
        <b/>
        <sz val="8.5"/>
        <color rgb="FFFFFFFF"/>
        <rFont val="Arial"/>
        <family val="2"/>
      </rPr>
      <t>D</t>
    </r>
  </si>
  <si>
    <r>
      <rPr>
        <vertAlign val="superscript"/>
        <sz val="8.5"/>
        <rFont val="Arial MT"/>
        <family val="2"/>
      </rPr>
      <t xml:space="preserve">$            </t>
    </r>
    <r>
      <rPr>
        <b/>
        <sz val="8.5"/>
        <rFont val="Arial"/>
        <family val="2"/>
      </rPr>
      <t>453.307</t>
    </r>
  </si>
  <si>
    <r>
      <rPr>
        <b/>
        <sz val="8.5"/>
        <rFont val="Arial"/>
        <family val="2"/>
      </rPr>
      <t>TOTAL TRANSACCIONES EN CUOTAS</t>
    </r>
  </si>
  <si>
    <r>
      <rPr>
        <b/>
        <sz val="8.5"/>
        <color rgb="FFFFFFFF"/>
        <rFont val="Arial"/>
        <family val="2"/>
      </rPr>
      <t>E</t>
    </r>
  </si>
  <si>
    <r>
      <rPr>
        <b/>
        <sz val="8.5"/>
        <rFont val="Arial"/>
        <family val="2"/>
      </rPr>
      <t>2.PRODUCTOS O SERVICIOS VOLUNTARIAMENTE CONTRATADOS</t>
    </r>
  </si>
  <si>
    <r>
      <rPr>
        <b/>
        <sz val="8.5"/>
        <rFont val="Arial"/>
        <family val="2"/>
      </rPr>
      <t>TOTAL PRODUCTOS O SERVICIOS VOLUNTARIAMENTE CONTRATADOS</t>
    </r>
  </si>
  <si>
    <r>
      <rPr>
        <b/>
        <sz val="8.5"/>
        <color rgb="FFFFFFFF"/>
        <rFont val="Arial"/>
        <family val="2"/>
      </rPr>
      <t>F</t>
    </r>
  </si>
  <si>
    <r>
      <rPr>
        <b/>
        <sz val="8.5"/>
        <rFont val="Arial"/>
        <family val="2"/>
      </rPr>
      <t>3.CARGOS, COMISIONES, IMPUESTOS Y ABONOS</t>
    </r>
  </si>
  <si>
    <r>
      <rPr>
        <sz val="8.5"/>
        <rFont val="Arial MT"/>
        <family val="2"/>
      </rPr>
      <t>TRASPASO DEUDA INTERNACIONAL</t>
    </r>
  </si>
  <si>
    <r>
      <rPr>
        <sz val="8.5"/>
        <rFont val="Arial MT"/>
        <family val="2"/>
      </rPr>
      <t>IMPUESTO DECRETO LEY 3475 TASA 0,066 %</t>
    </r>
  </si>
  <si>
    <r>
      <rPr>
        <sz val="8.5"/>
        <rFont val="Arial MT"/>
        <family val="2"/>
      </rPr>
      <t>COMISION MENSUAL POR MANTENCION</t>
    </r>
  </si>
  <si>
    <r>
      <rPr>
        <sz val="8.5"/>
        <rFont val="Arial MT"/>
        <family val="2"/>
      </rPr>
      <t>INTERESES ROTATIVOS</t>
    </r>
  </si>
  <si>
    <r>
      <rPr>
        <b/>
        <sz val="8.5"/>
        <rFont val="Arial"/>
        <family val="2"/>
      </rPr>
      <t>TOTAL CARGOS, COMISIONES, IMPUESTOS Y ABONOS</t>
    </r>
  </si>
  <si>
    <r>
      <rPr>
        <b/>
        <sz val="8.5"/>
        <color rgb="FFFFFFFF"/>
        <rFont val="Arial"/>
        <family val="2"/>
      </rPr>
      <t>G</t>
    </r>
  </si>
  <si>
    <r>
      <rPr>
        <vertAlign val="superscript"/>
        <sz val="8.5"/>
        <rFont val="Arial MT"/>
        <family val="2"/>
      </rPr>
      <t xml:space="preserve">$         </t>
    </r>
    <r>
      <rPr>
        <b/>
        <sz val="8.5"/>
        <rFont val="Arial"/>
        <family val="2"/>
      </rPr>
      <t>1.447.711</t>
    </r>
  </si>
  <si>
    <r>
      <rPr>
        <b/>
        <sz val="8.5"/>
        <rFont val="Arial"/>
        <family val="2"/>
      </rPr>
      <t>III. INFORMACIÓN DE PAGO</t>
    </r>
  </si>
  <si>
    <r>
      <rPr>
        <sz val="8.5"/>
        <rFont val="Arial MT"/>
        <family val="2"/>
      </rPr>
      <t>MONTO TOTAL FACTURADO A PAGAR (</t>
    </r>
  </si>
  <si>
    <r>
      <rPr>
        <b/>
        <sz val="8.5"/>
        <color rgb="FFFFFFFF"/>
        <rFont val="Arial"/>
        <family val="2"/>
      </rPr>
      <t xml:space="preserve">A </t>
    </r>
    <r>
      <rPr>
        <sz val="8.5"/>
        <rFont val="Arial MT"/>
        <family val="2"/>
      </rPr>
      <t>+</t>
    </r>
  </si>
  <si>
    <r>
      <rPr>
        <b/>
        <sz val="8.5"/>
        <color rgb="FFFFFFFF"/>
        <rFont val="Arial"/>
        <family val="2"/>
      </rPr>
      <t xml:space="preserve">B </t>
    </r>
    <r>
      <rPr>
        <sz val="8.5"/>
        <rFont val="Arial MT"/>
        <family val="2"/>
      </rPr>
      <t>+</t>
    </r>
  </si>
  <si>
    <r>
      <rPr>
        <b/>
        <sz val="8.5"/>
        <color rgb="FFFFFFFF"/>
        <rFont val="Arial"/>
        <family val="2"/>
      </rPr>
      <t xml:space="preserve">C </t>
    </r>
    <r>
      <rPr>
        <sz val="8.5"/>
        <rFont val="Arial MT"/>
        <family val="2"/>
      </rPr>
      <t>+</t>
    </r>
  </si>
  <si>
    <r>
      <rPr>
        <b/>
        <sz val="8.5"/>
        <color rgb="FFFFFFFF"/>
        <rFont val="Arial"/>
        <family val="2"/>
      </rPr>
      <t xml:space="preserve">D </t>
    </r>
    <r>
      <rPr>
        <sz val="8.5"/>
        <rFont val="Arial MT"/>
        <family val="2"/>
      </rPr>
      <t>+</t>
    </r>
  </si>
  <si>
    <r>
      <rPr>
        <b/>
        <sz val="8.5"/>
        <color rgb="FFFFFFFF"/>
        <rFont val="Arial"/>
        <family val="2"/>
      </rPr>
      <t xml:space="preserve">E </t>
    </r>
    <r>
      <rPr>
        <sz val="8.5"/>
        <rFont val="Arial MT"/>
        <family val="2"/>
      </rPr>
      <t>+</t>
    </r>
  </si>
  <si>
    <r>
      <rPr>
        <b/>
        <sz val="8.5"/>
        <color rgb="FFFFFFFF"/>
        <rFont val="Arial"/>
        <family val="2"/>
      </rPr>
      <t xml:space="preserve">F </t>
    </r>
    <r>
      <rPr>
        <sz val="8.5"/>
        <rFont val="Arial MT"/>
        <family val="2"/>
      </rPr>
      <t>+</t>
    </r>
  </si>
  <si>
    <r>
      <rPr>
        <sz val="8.5"/>
        <rFont val="Arial MT"/>
        <family val="2"/>
      </rPr>
      <t>)</t>
    </r>
  </si>
  <si>
    <r>
      <rPr>
        <sz val="8.5"/>
        <rFont val="Arial MT"/>
        <family val="2"/>
      </rPr>
      <t>MONTO MÍNIMO A PAGAR</t>
    </r>
  </si>
  <si>
    <r>
      <rPr>
        <sz val="8.5"/>
        <rFont val="Arial MT"/>
        <family val="2"/>
      </rPr>
      <t>COSTO MONETARIO PREPAGO</t>
    </r>
  </si>
  <si>
    <r>
      <rPr>
        <sz val="8.5"/>
        <rFont val="Arial MT"/>
        <family val="2"/>
      </rPr>
      <t>CARGO AUTOMÁTICO</t>
    </r>
  </si>
  <si>
    <r>
      <rPr>
        <b/>
        <sz val="8.5"/>
        <rFont val="Arial"/>
        <family val="2"/>
      </rPr>
      <t>EVOLUCIÓN MONTOS FACTURADOS Y PAGADOS</t>
    </r>
  </si>
  <si>
    <r>
      <rPr>
        <sz val="4.5"/>
        <rFont val="Arial MT"/>
        <family val="2"/>
      </rPr>
      <t xml:space="preserve">4.055.770
</t>
    </r>
    <r>
      <rPr>
        <sz val="4.5"/>
        <rFont val="Arial MT"/>
        <family val="2"/>
      </rPr>
      <t xml:space="preserve">3.244.616
</t>
    </r>
    <r>
      <rPr>
        <sz val="4.5"/>
        <rFont val="Arial MT"/>
        <family val="2"/>
      </rPr>
      <t xml:space="preserve">2.433.462
</t>
    </r>
    <r>
      <rPr>
        <sz val="4.5"/>
        <rFont val="Arial MT"/>
        <family val="2"/>
      </rPr>
      <t xml:space="preserve">1.622.308
</t>
    </r>
    <r>
      <rPr>
        <sz val="4.5"/>
        <rFont val="Arial MT"/>
        <family val="2"/>
      </rPr>
      <t xml:space="preserve">811.154
</t>
    </r>
    <r>
      <rPr>
        <sz val="4.5"/>
        <rFont val="Arial MT"/>
        <family val="2"/>
      </rPr>
      <t xml:space="preserve">0--
</t>
    </r>
    <r>
      <rPr>
        <sz val="4.5"/>
        <rFont val="Arial MT"/>
        <family val="2"/>
      </rPr>
      <t>11/2024  12/2024  01/2025  02/2025  03/2025  04/2025</t>
    </r>
  </si>
  <si>
    <r>
      <rPr>
        <sz val="8.5"/>
        <rFont val="Arial MT"/>
        <family val="2"/>
      </rPr>
      <t>*La liberación de Monto Mínimo a Pagar no impide que se devenguen intereses por el saldo insoluto</t>
    </r>
  </si>
  <si>
    <r>
      <rPr>
        <b/>
        <sz val="8.5"/>
        <rFont val="Arial"/>
        <family val="2"/>
      </rPr>
      <t>VENCIMIENTO PRÓXIMOS 4 MESES</t>
    </r>
  </si>
  <si>
    <r>
      <rPr>
        <sz val="8.5"/>
        <rFont val="Arial MT"/>
        <family val="2"/>
      </rPr>
      <t>ACTUAL</t>
    </r>
  </si>
  <si>
    <r>
      <rPr>
        <sz val="8.5"/>
        <rFont val="Arial MT"/>
        <family val="2"/>
      </rPr>
      <t>MAYO</t>
    </r>
  </si>
  <si>
    <r>
      <rPr>
        <sz val="8.5"/>
        <rFont val="Arial MT"/>
        <family val="2"/>
      </rPr>
      <t>JUNIO</t>
    </r>
  </si>
  <si>
    <r>
      <rPr>
        <sz val="8.5"/>
        <rFont val="Arial MT"/>
        <family val="2"/>
      </rPr>
      <t>JULIO</t>
    </r>
  </si>
  <si>
    <r>
      <rPr>
        <sz val="8.5"/>
        <rFont val="Arial MT"/>
        <family val="2"/>
      </rPr>
      <t>AGOSTO</t>
    </r>
  </si>
  <si>
    <r>
      <rPr>
        <sz val="6.5"/>
        <rFont val="Arial MT"/>
        <family val="2"/>
      </rPr>
      <t>Monto Facturado Monto Pagado</t>
    </r>
  </si>
  <si>
    <r>
      <rPr>
        <sz val="8.5"/>
        <rFont val="Arial MT"/>
        <family val="2"/>
      </rPr>
      <t>PRÓXIMO PERÍODO DE FACTURACIÓN</t>
    </r>
  </si>
  <si>
    <r>
      <rPr>
        <b/>
        <sz val="8.5"/>
        <rFont val="Arial"/>
        <family val="2"/>
      </rPr>
      <t>IV. COSTOS POR ATRASO</t>
    </r>
  </si>
  <si>
    <r>
      <rPr>
        <sz val="8.5"/>
        <rFont val="Arial MT"/>
        <family val="2"/>
      </rPr>
      <t>INTERÉS MORATORIO</t>
    </r>
  </si>
  <si>
    <r>
      <rPr>
        <sz val="8.5"/>
        <rFont val="Arial MT"/>
        <family val="2"/>
      </rPr>
      <t>CARGO DE COBRANZA</t>
    </r>
  </si>
  <si>
    <r>
      <rPr>
        <b/>
        <sz val="8.5"/>
        <rFont val="Arial"/>
        <family val="2"/>
      </rPr>
      <t>MONTO DEUDA UF</t>
    </r>
  </si>
  <si>
    <r>
      <rPr>
        <sz val="8.5"/>
        <rFont val="Arial MT"/>
        <family val="2"/>
      </rPr>
      <t>%</t>
    </r>
  </si>
  <si>
    <r>
      <rPr>
        <sz val="8.5"/>
        <rFont val="Arial MT"/>
        <family val="2"/>
      </rPr>
      <t>HASTA UF 10</t>
    </r>
  </si>
  <si>
    <r>
      <rPr>
        <sz val="8.5"/>
        <rFont val="Arial MT"/>
        <family val="2"/>
      </rPr>
      <t>EXCEDAN UF 10 Y HASTA UF 50</t>
    </r>
  </si>
  <si>
    <r>
      <rPr>
        <sz val="8.5"/>
        <rFont val="Arial MT"/>
        <family val="2"/>
      </rPr>
      <t>EXCEDAN UF 50</t>
    </r>
  </si>
  <si>
    <r>
      <rPr>
        <sz val="8.5"/>
        <rFont val="Arial MT"/>
        <family val="2"/>
      </rPr>
      <t>LOS PAGOS CON RETRASO GENERARÁN UN RECARGO POR CONCEPTO DE LOS GASTOS DE COBRANZA EN QUE SE INCURRA DE ACUERDO A LO DISPUESTO EN LA LEY N° 19.496</t>
    </r>
  </si>
  <si>
    <r>
      <rPr>
        <sz val="8.5"/>
        <rFont val="Arial MT"/>
        <family val="2"/>
      </rPr>
      <t>SI TIENE TRANSACCIONES EN CUOTAS Y PAGA EL TOTAL DEL CUPO UTILIZADO, SOLICITE ACELERACIÓN DE CUOTAS A BANCA TELEFÓNICA</t>
    </r>
  </si>
  <si>
    <t>Comentarios</t>
  </si>
  <si>
    <t>Factura</t>
  </si>
  <si>
    <t>Rut</t>
  </si>
  <si>
    <t>Cuenta</t>
  </si>
  <si>
    <t>Traslado</t>
  </si>
  <si>
    <t>Alimentación</t>
  </si>
  <si>
    <t>Telefono</t>
  </si>
  <si>
    <t>Materiales de oficina</t>
  </si>
  <si>
    <t>proveedores</t>
  </si>
  <si>
    <t>Otros gastos generales</t>
  </si>
  <si>
    <t>Patente</t>
  </si>
  <si>
    <t>Gto. Bancario</t>
  </si>
  <si>
    <t>Hospedaje</t>
  </si>
  <si>
    <t>Gastos de Aseo</t>
  </si>
  <si>
    <t>Vuelo</t>
  </si>
  <si>
    <t>TDC USD</t>
  </si>
  <si>
    <t>TDC CLP</t>
  </si>
  <si>
    <t>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</si>
</sst>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164" formatCode="dd/mm/yyyy;@"/>
    <numFmt numFmtId="165" formatCode="\$\ #,##0"/>
    <numFmt numFmtId="166" formatCode="\$\ 0"/>
    <numFmt numFmtId="167" formatCode="0.00\ %"/>
    <numFmt numFmtId="168" formatCode="000000000000"/>
    <numFmt numFmtId="169" formatCode="_ * #,##0.000000_ ;_ * \-#,##0.000000_ ;_ * &quot;-&quot;??_ ;_ @_ "/>
  </numFmts>
  <fonts count="20">
    <font>
      <sz val="10"/>
      <color rgb="FF000000"/>
      <name val="Times New Roman"/>
      <charset val="204"/>
    </font>
    <font>
      <b/>
      <sz val="8.5"/>
      <name val="Arial"/>
      <family val="2"/>
    </font>
    <font>
      <sz val="8.5"/>
      <name val="Arial MT"/>
    </font>
    <font>
      <sz val="8.5"/>
      <color rgb="FF000000"/>
      <name val="Arial MT"/>
      <family val="2"/>
    </font>
    <font>
      <sz val="13"/>
      <name val="Arial MT"/>
    </font>
    <font>
      <sz val="13"/>
      <color rgb="FF000000"/>
      <name val="Arial MT"/>
      <family val="2"/>
    </font>
    <font>
      <sz val="6.5"/>
      <name val="Arial MT"/>
    </font>
    <font>
      <sz val="8.5"/>
      <name val="Arial MT"/>
      <family val="2"/>
    </font>
    <font>
      <sz val="13"/>
      <name val="Arial MT"/>
      <family val="2"/>
    </font>
    <font>
      <b/>
      <sz val="8.5"/>
      <color rgb="FFFFFFFF"/>
      <name val="Arial"/>
      <family val="2"/>
    </font>
    <font>
      <vertAlign val="superscript"/>
      <sz val="8.5"/>
      <name val="Arial MT"/>
      <family val="2"/>
    </font>
    <font>
      <b/>
      <vertAlign val="subscript"/>
      <sz val="8.5"/>
      <name val="Arial"/>
      <family val="2"/>
    </font>
    <font>
      <b/>
      <vertAlign val="superscript"/>
      <sz val="8.5"/>
      <name val="Arial"/>
      <family val="2"/>
    </font>
    <font>
      <sz val="4.5"/>
      <name val="Arial MT"/>
      <family val="2"/>
    </font>
    <font>
      <sz val="6.5"/>
      <name val="Arial MT"/>
      <family val="2"/>
    </font>
    <font>
      <sz val="10"/>
      <color rgb="FF000000"/>
      <name val="Times New Roman"/>
      <family val="1"/>
    </font>
    <font>
      <b/>
      <sz val="10"/>
      <color rgb="FF00206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C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1845"/>
      </right>
      <top style="thin">
        <color rgb="FF000000"/>
      </top>
      <bottom/>
      <diagonal/>
    </border>
    <border>
      <left/>
      <right style="thin">
        <color rgb="FF001845"/>
      </right>
      <top/>
      <bottom/>
      <diagonal/>
    </border>
    <border>
      <left/>
      <right style="thin">
        <color rgb="FFFFFFFF"/>
      </right>
      <top style="thin">
        <color rgb="FF000000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001845"/>
      </left>
      <right style="thin">
        <color rgb="FF000000"/>
      </right>
      <top style="thin">
        <color rgb="FF000000"/>
      </top>
      <bottom/>
      <diagonal/>
    </border>
    <border>
      <left style="thin">
        <color rgb="FF001845"/>
      </left>
      <right style="thin">
        <color rgb="FF000000"/>
      </right>
      <top/>
      <bottom/>
      <diagonal/>
    </border>
  </borders>
  <cellStyleXfs count="2">
    <xf numFmtId="0" fontId="0" fillId="0" borderId="0"/>
    <xf numFmtId="41" fontId="15" fillId="0" borderId="0" applyFont="0" applyFill="0" applyBorder="0" applyAlignment="0" applyProtection="0"/>
  </cellStyleXfs>
  <cellXfs count="215"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0" fontId="1" fillId="2" borderId="3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/>
    </xf>
    <xf numFmtId="165" fontId="3" fillId="2" borderId="1" xfId="0" applyNumberFormat="1" applyFont="1" applyFill="1" applyBorder="1" applyAlignment="1">
      <alignment horizontal="center" vertical="top" shrinkToFit="1"/>
    </xf>
    <xf numFmtId="0" fontId="0" fillId="2" borderId="4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165" fontId="3" fillId="2" borderId="5" xfId="0" applyNumberFormat="1" applyFont="1" applyFill="1" applyBorder="1" applyAlignment="1">
      <alignment horizontal="center" vertical="top" shrinkToFit="1"/>
    </xf>
    <xf numFmtId="165" fontId="3" fillId="2" borderId="9" xfId="0" applyNumberFormat="1" applyFont="1" applyFill="1" applyBorder="1" applyAlignment="1">
      <alignment horizontal="center" vertical="top" shrinkToFit="1"/>
    </xf>
    <xf numFmtId="165" fontId="3" fillId="2" borderId="12" xfId="0" applyNumberFormat="1" applyFont="1" applyFill="1" applyBorder="1" applyAlignment="1">
      <alignment horizontal="center" vertical="top" shrinkToFit="1"/>
    </xf>
    <xf numFmtId="0" fontId="0" fillId="2" borderId="12" xfId="0" applyFill="1" applyBorder="1" applyAlignment="1">
      <alignment horizontal="left" wrapText="1"/>
    </xf>
    <xf numFmtId="166" fontId="3" fillId="2" borderId="9" xfId="0" applyNumberFormat="1" applyFont="1" applyFill="1" applyBorder="1" applyAlignment="1">
      <alignment horizontal="center" vertical="top" shrinkToFit="1"/>
    </xf>
    <xf numFmtId="0" fontId="16" fillId="0" borderId="0" xfId="0" applyFont="1"/>
    <xf numFmtId="0" fontId="0" fillId="0" borderId="0" xfId="0"/>
    <xf numFmtId="41" fontId="0" fillId="0" borderId="0" xfId="0" applyNumberFormat="1"/>
    <xf numFmtId="0" fontId="17" fillId="0" borderId="0" xfId="0" applyFont="1"/>
    <xf numFmtId="41" fontId="0" fillId="0" borderId="0" xfId="1" applyFont="1"/>
    <xf numFmtId="0" fontId="18" fillId="0" borderId="0" xfId="0" applyFont="1"/>
    <xf numFmtId="0" fontId="18" fillId="0" borderId="0" xfId="0" applyFont="1" applyAlignment="1">
      <alignment horizontal="left" vertical="top"/>
    </xf>
    <xf numFmtId="0" fontId="18" fillId="2" borderId="0" xfId="0" applyFont="1" applyFill="1" applyAlignment="1">
      <alignment horizontal="left" vertical="top"/>
    </xf>
    <xf numFmtId="41" fontId="0" fillId="2" borderId="0" xfId="1" applyFont="1" applyFill="1" applyBorder="1"/>
    <xf numFmtId="41" fontId="16" fillId="0" borderId="0" xfId="0" applyNumberFormat="1" applyFont="1" applyAlignment="1">
      <alignment horizontal="left" vertical="top"/>
    </xf>
    <xf numFmtId="41" fontId="19" fillId="2" borderId="0" xfId="0" applyNumberFormat="1" applyFont="1" applyFill="1" applyAlignment="1">
      <alignment horizontal="left" vertical="top"/>
    </xf>
    <xf numFmtId="169" fontId="0" fillId="2" borderId="0" xfId="0" applyNumberFormat="1" applyFill="1" applyAlignment="1">
      <alignment horizontal="left" vertical="top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164" fontId="3" fillId="2" borderId="2" xfId="0" applyNumberFormat="1" applyFont="1" applyFill="1" applyBorder="1" applyAlignment="1">
      <alignment horizontal="center" vertical="top" shrinkToFit="1"/>
    </xf>
    <xf numFmtId="164" fontId="3" fillId="2" borderId="3" xfId="0" applyNumberFormat="1" applyFont="1" applyFill="1" applyBorder="1" applyAlignment="1">
      <alignment horizontal="center" vertical="top" shrinkToFit="1"/>
    </xf>
    <xf numFmtId="164" fontId="3" fillId="2" borderId="4" xfId="0" applyNumberFormat="1" applyFont="1" applyFill="1" applyBorder="1" applyAlignment="1">
      <alignment horizontal="center" vertical="top" shrinkToFi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10" fontId="3" fillId="2" borderId="2" xfId="0" applyNumberFormat="1" applyFont="1" applyFill="1" applyBorder="1" applyAlignment="1">
      <alignment horizontal="left" vertical="top" shrinkToFit="1"/>
    </xf>
    <xf numFmtId="10" fontId="3" fillId="2" borderId="3" xfId="0" applyNumberFormat="1" applyFont="1" applyFill="1" applyBorder="1" applyAlignment="1">
      <alignment horizontal="left" vertical="top" shrinkToFit="1"/>
    </xf>
    <xf numFmtId="10" fontId="3" fillId="2" borderId="4" xfId="0" applyNumberFormat="1" applyFont="1" applyFill="1" applyBorder="1" applyAlignment="1">
      <alignment horizontal="left" vertical="top" shrinkToFi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11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left" vertical="top" wrapText="1"/>
    </xf>
    <xf numFmtId="0" fontId="2" fillId="2" borderId="14" xfId="0" applyFont="1" applyFill="1" applyBorder="1" applyAlignment="1">
      <alignment horizontal="left" vertical="top" wrapText="1"/>
    </xf>
    <xf numFmtId="0" fontId="2" fillId="2" borderId="15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 indent="5"/>
    </xf>
    <xf numFmtId="0" fontId="1" fillId="2" borderId="3" xfId="0" applyFont="1" applyFill="1" applyBorder="1" applyAlignment="1">
      <alignment horizontal="left" vertical="top" wrapText="1" indent="5"/>
    </xf>
    <xf numFmtId="0" fontId="1" fillId="2" borderId="4" xfId="0" applyFont="1" applyFill="1" applyBorder="1" applyAlignment="1">
      <alignment horizontal="left" vertical="top" wrapText="1" indent="5"/>
    </xf>
    <xf numFmtId="9" fontId="3" fillId="2" borderId="2" xfId="0" applyNumberFormat="1" applyFont="1" applyFill="1" applyBorder="1" applyAlignment="1">
      <alignment horizontal="center" vertical="top" shrinkToFit="1"/>
    </xf>
    <xf numFmtId="9" fontId="3" fillId="2" borderId="3" xfId="0" applyNumberFormat="1" applyFont="1" applyFill="1" applyBorder="1" applyAlignment="1">
      <alignment horizontal="center" vertical="top" shrinkToFit="1"/>
    </xf>
    <xf numFmtId="9" fontId="3" fillId="2" borderId="4" xfId="0" applyNumberFormat="1" applyFont="1" applyFill="1" applyBorder="1" applyAlignment="1">
      <alignment horizontal="center" vertical="top" shrinkToFit="1"/>
    </xf>
    <xf numFmtId="166" fontId="3" fillId="2" borderId="2" xfId="0" applyNumberFormat="1" applyFont="1" applyFill="1" applyBorder="1" applyAlignment="1">
      <alignment horizontal="center" vertical="top" shrinkToFit="1"/>
    </xf>
    <xf numFmtId="166" fontId="3" fillId="2" borderId="3" xfId="0" applyNumberFormat="1" applyFont="1" applyFill="1" applyBorder="1" applyAlignment="1">
      <alignment horizontal="center" vertical="top" shrinkToFit="1"/>
    </xf>
    <xf numFmtId="166" fontId="3" fillId="2" borderId="4" xfId="0" applyNumberFormat="1" applyFont="1" applyFill="1" applyBorder="1" applyAlignment="1">
      <alignment horizontal="center" vertical="top" shrinkToFit="1"/>
    </xf>
    <xf numFmtId="0" fontId="6" fillId="2" borderId="3" xfId="0" applyFont="1" applyFill="1" applyBorder="1" applyAlignment="1">
      <alignment horizontal="left" vertical="top" wrapText="1" indent="1"/>
    </xf>
    <xf numFmtId="0" fontId="6" fillId="2" borderId="4" xfId="0" applyFont="1" applyFill="1" applyBorder="1" applyAlignment="1">
      <alignment horizontal="left" vertical="top" wrapText="1" indent="1"/>
    </xf>
    <xf numFmtId="0" fontId="0" fillId="2" borderId="14" xfId="0" applyFill="1" applyBorder="1" applyAlignment="1">
      <alignment horizontal="left" wrapText="1"/>
    </xf>
    <xf numFmtId="0" fontId="0" fillId="2" borderId="15" xfId="0" applyFill="1" applyBorder="1" applyAlignment="1">
      <alignment horizontal="left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165" fontId="3" fillId="2" borderId="10" xfId="0" applyNumberFormat="1" applyFont="1" applyFill="1" applyBorder="1" applyAlignment="1">
      <alignment horizontal="center" vertical="top" shrinkToFit="1"/>
    </xf>
    <xf numFmtId="165" fontId="3" fillId="2" borderId="0" xfId="0" applyNumberFormat="1" applyFont="1" applyFill="1" applyAlignment="1">
      <alignment horizontal="center" vertical="top" shrinkToFit="1"/>
    </xf>
    <xf numFmtId="165" fontId="3" fillId="2" borderId="11" xfId="0" applyNumberFormat="1" applyFont="1" applyFill="1" applyBorder="1" applyAlignment="1">
      <alignment horizontal="center" vertical="top" shrinkToFit="1"/>
    </xf>
    <xf numFmtId="166" fontId="3" fillId="2" borderId="13" xfId="0" applyNumberFormat="1" applyFont="1" applyFill="1" applyBorder="1" applyAlignment="1">
      <alignment horizontal="center" vertical="top" shrinkToFit="1"/>
    </xf>
    <xf numFmtId="166" fontId="3" fillId="2" borderId="14" xfId="0" applyNumberFormat="1" applyFont="1" applyFill="1" applyBorder="1" applyAlignment="1">
      <alignment horizontal="center" vertical="top" shrinkToFit="1"/>
    </xf>
    <xf numFmtId="166" fontId="3" fillId="2" borderId="15" xfId="0" applyNumberFormat="1" applyFont="1" applyFill="1" applyBorder="1" applyAlignment="1">
      <alignment horizontal="center" vertical="top" shrinkToFit="1"/>
    </xf>
    <xf numFmtId="0" fontId="1" fillId="2" borderId="2" xfId="0" applyFont="1" applyFill="1" applyBorder="1" applyAlignment="1">
      <alignment horizontal="left" vertical="top" wrapText="1" indent="3"/>
    </xf>
    <xf numFmtId="0" fontId="1" fillId="2" borderId="3" xfId="0" applyFont="1" applyFill="1" applyBorder="1" applyAlignment="1">
      <alignment horizontal="left" vertical="top" wrapText="1" indent="3"/>
    </xf>
    <xf numFmtId="0" fontId="1" fillId="2" borderId="4" xfId="0" applyFont="1" applyFill="1" applyBorder="1" applyAlignment="1">
      <alignment horizontal="left" vertical="top" wrapText="1" indent="3"/>
    </xf>
    <xf numFmtId="0" fontId="0" fillId="2" borderId="2" xfId="0" applyFill="1" applyBorder="1" applyAlignment="1">
      <alignment horizontal="left" vertical="top" wrapText="1" indent="2"/>
    </xf>
    <xf numFmtId="0" fontId="0" fillId="2" borderId="3" xfId="0" applyFill="1" applyBorder="1" applyAlignment="1">
      <alignment horizontal="left" vertical="top" wrapText="1" indent="2"/>
    </xf>
    <xf numFmtId="0" fontId="0" fillId="2" borderId="4" xfId="0" applyFill="1" applyBorder="1" applyAlignment="1">
      <alignment horizontal="left" vertical="top" wrapText="1" indent="2"/>
    </xf>
    <xf numFmtId="0" fontId="2" fillId="2" borderId="0" xfId="0" applyFont="1" applyFill="1" applyAlignment="1">
      <alignment horizontal="left" vertical="top" wrapText="1" indent="5"/>
    </xf>
    <xf numFmtId="0" fontId="1" fillId="2" borderId="2" xfId="0" applyFont="1" applyFill="1" applyBorder="1" applyAlignment="1">
      <alignment horizontal="left" vertical="top" wrapText="1" indent="12"/>
    </xf>
    <xf numFmtId="0" fontId="1" fillId="2" borderId="3" xfId="0" applyFont="1" applyFill="1" applyBorder="1" applyAlignment="1">
      <alignment horizontal="left" vertical="top" wrapText="1" indent="12"/>
    </xf>
    <xf numFmtId="0" fontId="1" fillId="2" borderId="4" xfId="0" applyFont="1" applyFill="1" applyBorder="1" applyAlignment="1">
      <alignment horizontal="left" vertical="top" wrapText="1" indent="12"/>
    </xf>
    <xf numFmtId="165" fontId="3" fillId="2" borderId="13" xfId="0" applyNumberFormat="1" applyFont="1" applyFill="1" applyBorder="1" applyAlignment="1">
      <alignment horizontal="center" vertical="top" shrinkToFit="1"/>
    </xf>
    <xf numFmtId="165" fontId="3" fillId="2" borderId="15" xfId="0" applyNumberFormat="1" applyFont="1" applyFill="1" applyBorder="1" applyAlignment="1">
      <alignment horizontal="center" vertical="top" shrinkToFit="1"/>
    </xf>
    <xf numFmtId="0" fontId="2" fillId="2" borderId="13" xfId="0" applyFont="1" applyFill="1" applyBorder="1" applyAlignment="1">
      <alignment horizontal="left" vertical="top" wrapText="1" indent="1"/>
    </xf>
    <xf numFmtId="0" fontId="2" fillId="2" borderId="15" xfId="0" applyFont="1" applyFill="1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left" vertical="top" wrapText="1" indent="25"/>
    </xf>
    <xf numFmtId="0" fontId="1" fillId="2" borderId="3" xfId="0" applyFont="1" applyFill="1" applyBorder="1" applyAlignment="1">
      <alignment horizontal="left" vertical="top" wrapText="1" indent="25"/>
    </xf>
    <xf numFmtId="0" fontId="2" fillId="2" borderId="16" xfId="0" applyFont="1" applyFill="1" applyBorder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2" borderId="18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19" xfId="0" applyFill="1" applyBorder="1" applyAlignment="1">
      <alignment horizontal="left" vertical="top" wrapText="1"/>
    </xf>
    <xf numFmtId="0" fontId="0" fillId="2" borderId="20" xfId="0" applyFill="1" applyBorder="1" applyAlignment="1">
      <alignment horizontal="left" vertical="top" wrapText="1"/>
    </xf>
    <xf numFmtId="0" fontId="0" fillId="2" borderId="21" xfId="0" applyFill="1" applyBorder="1" applyAlignment="1">
      <alignment horizontal="left" vertical="top" wrapText="1"/>
    </xf>
    <xf numFmtId="0" fontId="1" fillId="2" borderId="22" xfId="0" applyFont="1" applyFill="1" applyBorder="1" applyAlignment="1">
      <alignment horizontal="left" vertical="top" wrapText="1"/>
    </xf>
    <xf numFmtId="0" fontId="1" fillId="2" borderId="23" xfId="0" applyFont="1" applyFill="1" applyBorder="1" applyAlignment="1">
      <alignment horizontal="left" vertical="top" wrapText="1"/>
    </xf>
    <xf numFmtId="0" fontId="2" fillId="2" borderId="24" xfId="0" applyFont="1" applyFill="1" applyBorder="1" applyAlignment="1">
      <alignment horizontal="left" vertical="top" wrapText="1"/>
    </xf>
    <xf numFmtId="0" fontId="2" fillId="2" borderId="25" xfId="0" applyFont="1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center" vertical="top" shrinkToFit="1"/>
    </xf>
    <xf numFmtId="165" fontId="3" fillId="2" borderId="7" xfId="0" applyNumberFormat="1" applyFont="1" applyFill="1" applyBorder="1" applyAlignment="1">
      <alignment horizontal="center" vertical="top" shrinkToFit="1"/>
    </xf>
    <xf numFmtId="165" fontId="3" fillId="2" borderId="8" xfId="0" applyNumberFormat="1" applyFont="1" applyFill="1" applyBorder="1" applyAlignment="1">
      <alignment horizontal="center" vertical="top" shrinkToFit="1"/>
    </xf>
    <xf numFmtId="165" fontId="3" fillId="2" borderId="10" xfId="0" applyNumberFormat="1" applyFont="1" applyFill="1" applyBorder="1" applyAlignment="1">
      <alignment horizontal="left" vertical="top" shrinkToFit="1"/>
    </xf>
    <xf numFmtId="165" fontId="3" fillId="2" borderId="0" xfId="0" applyNumberFormat="1" applyFont="1" applyFill="1" applyAlignment="1">
      <alignment horizontal="left" vertical="top" shrinkToFit="1"/>
    </xf>
    <xf numFmtId="165" fontId="3" fillId="2" borderId="11" xfId="0" applyNumberFormat="1" applyFont="1" applyFill="1" applyBorder="1" applyAlignment="1">
      <alignment horizontal="left" vertical="top" shrinkToFit="1"/>
    </xf>
    <xf numFmtId="0" fontId="0" fillId="2" borderId="6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13" xfId="0" applyFill="1" applyBorder="1" applyAlignment="1">
      <alignment horizontal="left" vertical="top" wrapText="1"/>
    </xf>
    <xf numFmtId="0" fontId="0" fillId="2" borderId="15" xfId="0" applyFill="1" applyBorder="1" applyAlignment="1">
      <alignment horizontal="left" vertical="top" wrapText="1"/>
    </xf>
    <xf numFmtId="164" fontId="3" fillId="2" borderId="6" xfId="0" applyNumberFormat="1" applyFont="1" applyFill="1" applyBorder="1" applyAlignment="1">
      <alignment horizontal="center" vertical="top" shrinkToFit="1"/>
    </xf>
    <xf numFmtId="164" fontId="3" fillId="2" borderId="7" xfId="0" applyNumberFormat="1" applyFont="1" applyFill="1" applyBorder="1" applyAlignment="1">
      <alignment horizontal="center" vertical="top" shrinkToFit="1"/>
    </xf>
    <xf numFmtId="164" fontId="3" fillId="2" borderId="8" xfId="0" applyNumberFormat="1" applyFont="1" applyFill="1" applyBorder="1" applyAlignment="1">
      <alignment horizontal="center" vertical="top" shrinkToFit="1"/>
    </xf>
    <xf numFmtId="1" fontId="3" fillId="2" borderId="6" xfId="0" applyNumberFormat="1" applyFont="1" applyFill="1" applyBorder="1" applyAlignment="1">
      <alignment horizontal="center" vertical="top" shrinkToFit="1"/>
    </xf>
    <xf numFmtId="1" fontId="3" fillId="2" borderId="7" xfId="0" applyNumberFormat="1" applyFont="1" applyFill="1" applyBorder="1" applyAlignment="1">
      <alignment horizontal="center" vertical="top" shrinkToFit="1"/>
    </xf>
    <xf numFmtId="1" fontId="3" fillId="2" borderId="8" xfId="0" applyNumberFormat="1" applyFont="1" applyFill="1" applyBorder="1" applyAlignment="1">
      <alignment horizontal="center" vertical="top" shrinkToFit="1"/>
    </xf>
    <xf numFmtId="0" fontId="2" fillId="2" borderId="6" xfId="0" applyFont="1" applyFill="1" applyBorder="1" applyAlignment="1">
      <alignment horizontal="left" vertical="top" wrapText="1" indent="1"/>
    </xf>
    <xf numFmtId="0" fontId="2" fillId="2" borderId="8" xfId="0" applyFont="1" applyFill="1" applyBorder="1" applyAlignment="1">
      <alignment horizontal="left" vertical="top" wrapText="1" indent="1"/>
    </xf>
    <xf numFmtId="164" fontId="3" fillId="2" borderId="10" xfId="0" applyNumberFormat="1" applyFont="1" applyFill="1" applyBorder="1" applyAlignment="1">
      <alignment horizontal="center" vertical="top" shrinkToFit="1"/>
    </xf>
    <xf numFmtId="164" fontId="3" fillId="2" borderId="0" xfId="0" applyNumberFormat="1" applyFont="1" applyFill="1" applyAlignment="1">
      <alignment horizontal="center" vertical="top" shrinkToFit="1"/>
    </xf>
    <xf numFmtId="164" fontId="3" fillId="2" borderId="11" xfId="0" applyNumberFormat="1" applyFont="1" applyFill="1" applyBorder="1" applyAlignment="1">
      <alignment horizontal="center" vertical="top" shrinkToFit="1"/>
    </xf>
    <xf numFmtId="1" fontId="3" fillId="2" borderId="10" xfId="0" applyNumberFormat="1" applyFont="1" applyFill="1" applyBorder="1" applyAlignment="1">
      <alignment horizontal="center" vertical="top" shrinkToFit="1"/>
    </xf>
    <xf numFmtId="1" fontId="3" fillId="2" borderId="0" xfId="0" applyNumberFormat="1" applyFont="1" applyFill="1" applyAlignment="1">
      <alignment horizontal="center" vertical="top" shrinkToFit="1"/>
    </xf>
    <xf numFmtId="1" fontId="3" fillId="2" borderId="11" xfId="0" applyNumberFormat="1" applyFont="1" applyFill="1" applyBorder="1" applyAlignment="1">
      <alignment horizontal="center" vertical="top" shrinkToFit="1"/>
    </xf>
    <xf numFmtId="166" fontId="3" fillId="2" borderId="10" xfId="0" applyNumberFormat="1" applyFont="1" applyFill="1" applyBorder="1" applyAlignment="1">
      <alignment horizontal="center" vertical="top" shrinkToFit="1"/>
    </xf>
    <xf numFmtId="166" fontId="3" fillId="2" borderId="0" xfId="0" applyNumberFormat="1" applyFont="1" applyFill="1" applyAlignment="1">
      <alignment horizontal="center" vertical="top" shrinkToFit="1"/>
    </xf>
    <xf numFmtId="166" fontId="3" fillId="2" borderId="11" xfId="0" applyNumberFormat="1" applyFont="1" applyFill="1" applyBorder="1" applyAlignment="1">
      <alignment horizontal="center" vertical="top" shrinkToFit="1"/>
    </xf>
    <xf numFmtId="0" fontId="2" fillId="2" borderId="10" xfId="0" applyFont="1" applyFill="1" applyBorder="1" applyAlignment="1">
      <alignment horizontal="left" vertical="top" wrapText="1" indent="1"/>
    </xf>
    <xf numFmtId="0" fontId="2" fillId="2" borderId="11" xfId="0" applyFont="1" applyFill="1" applyBorder="1" applyAlignment="1">
      <alignment horizontal="left" vertical="top" wrapText="1" indent="1"/>
    </xf>
    <xf numFmtId="164" fontId="3" fillId="2" borderId="13" xfId="0" applyNumberFormat="1" applyFont="1" applyFill="1" applyBorder="1" applyAlignment="1">
      <alignment horizontal="center" vertical="top" shrinkToFit="1"/>
    </xf>
    <xf numFmtId="164" fontId="3" fillId="2" borderId="14" xfId="0" applyNumberFormat="1" applyFont="1" applyFill="1" applyBorder="1" applyAlignment="1">
      <alignment horizontal="center" vertical="top" shrinkToFit="1"/>
    </xf>
    <xf numFmtId="164" fontId="3" fillId="2" borderId="15" xfId="0" applyNumberFormat="1" applyFont="1" applyFill="1" applyBorder="1" applyAlignment="1">
      <alignment horizontal="center" vertical="top" shrinkToFit="1"/>
    </xf>
    <xf numFmtId="1" fontId="3" fillId="2" borderId="13" xfId="0" applyNumberFormat="1" applyFont="1" applyFill="1" applyBorder="1" applyAlignment="1">
      <alignment horizontal="center" vertical="top" shrinkToFit="1"/>
    </xf>
    <xf numFmtId="1" fontId="3" fillId="2" borderId="14" xfId="0" applyNumberFormat="1" applyFont="1" applyFill="1" applyBorder="1" applyAlignment="1">
      <alignment horizontal="center" vertical="top" shrinkToFit="1"/>
    </xf>
    <xf numFmtId="1" fontId="3" fillId="2" borderId="15" xfId="0" applyNumberFormat="1" applyFont="1" applyFill="1" applyBorder="1" applyAlignment="1">
      <alignment horizontal="center" vertical="top" shrinkToFit="1"/>
    </xf>
    <xf numFmtId="165" fontId="3" fillId="2" borderId="14" xfId="0" applyNumberFormat="1" applyFont="1" applyFill="1" applyBorder="1" applyAlignment="1">
      <alignment horizontal="center" vertical="top" shrinkToFit="1"/>
    </xf>
    <xf numFmtId="0" fontId="1" fillId="2" borderId="2" xfId="0" applyFont="1" applyFill="1" applyBorder="1" applyAlignment="1">
      <alignment horizontal="left" vertical="top" wrapText="1" indent="21"/>
    </xf>
    <xf numFmtId="0" fontId="1" fillId="2" borderId="3" xfId="0" applyFont="1" applyFill="1" applyBorder="1" applyAlignment="1">
      <alignment horizontal="left" vertical="top" wrapText="1" indent="21"/>
    </xf>
    <xf numFmtId="0" fontId="1" fillId="2" borderId="2" xfId="0" applyFont="1" applyFill="1" applyBorder="1" applyAlignment="1">
      <alignment horizontal="left" vertical="top" wrapText="1" indent="28"/>
    </xf>
    <xf numFmtId="0" fontId="1" fillId="2" borderId="3" xfId="0" applyFont="1" applyFill="1" applyBorder="1" applyAlignment="1">
      <alignment horizontal="left" vertical="top" wrapText="1" indent="28"/>
    </xf>
    <xf numFmtId="0" fontId="1" fillId="2" borderId="2" xfId="0" applyFont="1" applyFill="1" applyBorder="1" applyAlignment="1">
      <alignment horizontal="left" vertical="top" wrapText="1" indent="29"/>
    </xf>
    <xf numFmtId="0" fontId="1" fillId="2" borderId="3" xfId="0" applyFont="1" applyFill="1" applyBorder="1" applyAlignment="1">
      <alignment horizontal="left" vertical="top" wrapText="1" indent="29"/>
    </xf>
    <xf numFmtId="1" fontId="3" fillId="2" borderId="2" xfId="0" applyNumberFormat="1" applyFont="1" applyFill="1" applyBorder="1" applyAlignment="1">
      <alignment horizontal="center" vertical="top" shrinkToFit="1"/>
    </xf>
    <xf numFmtId="1" fontId="3" fillId="2" borderId="3" xfId="0" applyNumberFormat="1" applyFont="1" applyFill="1" applyBorder="1" applyAlignment="1">
      <alignment horizontal="center" vertical="top" shrinkToFit="1"/>
    </xf>
    <xf numFmtId="1" fontId="3" fillId="2" borderId="4" xfId="0" applyNumberFormat="1" applyFont="1" applyFill="1" applyBorder="1" applyAlignment="1">
      <alignment horizontal="center" vertical="top" shrinkToFit="1"/>
    </xf>
    <xf numFmtId="165" fontId="3" fillId="2" borderId="2" xfId="0" applyNumberFormat="1" applyFont="1" applyFill="1" applyBorder="1" applyAlignment="1">
      <alignment horizontal="center" vertical="top" shrinkToFit="1"/>
    </xf>
    <xf numFmtId="165" fontId="3" fillId="2" borderId="3" xfId="0" applyNumberFormat="1" applyFont="1" applyFill="1" applyBorder="1" applyAlignment="1">
      <alignment horizontal="center" vertical="top" shrinkToFit="1"/>
    </xf>
    <xf numFmtId="165" fontId="3" fillId="2" borderId="4" xfId="0" applyNumberFormat="1" applyFont="1" applyFill="1" applyBorder="1" applyAlignment="1">
      <alignment horizontal="center" vertical="top" shrinkToFit="1"/>
    </xf>
    <xf numFmtId="0" fontId="2" fillId="2" borderId="2" xfId="0" applyFont="1" applyFill="1" applyBorder="1" applyAlignment="1">
      <alignment horizontal="left" vertical="top" wrapText="1" indent="1"/>
    </xf>
    <xf numFmtId="0" fontId="2" fillId="2" borderId="4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 indent="9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2" fillId="2" borderId="0" xfId="0" applyFont="1" applyFill="1" applyAlignment="1">
      <alignment horizontal="left" vertical="top" wrapText="1" indent="6"/>
    </xf>
    <xf numFmtId="0" fontId="0" fillId="2" borderId="14" xfId="0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 indent="2"/>
    </xf>
    <xf numFmtId="0" fontId="2" fillId="2" borderId="4" xfId="0" applyFont="1" applyFill="1" applyBorder="1" applyAlignment="1">
      <alignment horizontal="left" vertical="top" wrapText="1" indent="2"/>
    </xf>
    <xf numFmtId="0" fontId="0" fillId="2" borderId="13" xfId="0" applyFill="1" applyBorder="1" applyAlignment="1">
      <alignment horizontal="left" wrapText="1"/>
    </xf>
    <xf numFmtId="168" fontId="3" fillId="2" borderId="10" xfId="0" applyNumberFormat="1" applyFont="1" applyFill="1" applyBorder="1" applyAlignment="1">
      <alignment horizontal="center" vertical="top" shrinkToFit="1"/>
    </xf>
    <xf numFmtId="168" fontId="3" fillId="2" borderId="0" xfId="0" applyNumberFormat="1" applyFont="1" applyFill="1" applyAlignment="1">
      <alignment horizontal="center" vertical="top" shrinkToFit="1"/>
    </xf>
    <xf numFmtId="168" fontId="3" fillId="2" borderId="11" xfId="0" applyNumberFormat="1" applyFont="1" applyFill="1" applyBorder="1" applyAlignment="1">
      <alignment horizontal="center" vertical="top" shrinkToFit="1"/>
    </xf>
    <xf numFmtId="0" fontId="1" fillId="2" borderId="2" xfId="0" applyFont="1" applyFill="1" applyBorder="1" applyAlignment="1">
      <alignment horizontal="left" vertical="top" wrapText="1" indent="32"/>
    </xf>
    <xf numFmtId="0" fontId="1" fillId="2" borderId="3" xfId="0" applyFont="1" applyFill="1" applyBorder="1" applyAlignment="1">
      <alignment horizontal="left" vertical="top" wrapText="1" indent="32"/>
    </xf>
    <xf numFmtId="0" fontId="1" fillId="2" borderId="2" xfId="0" applyFont="1" applyFill="1" applyBorder="1" applyAlignment="1">
      <alignment horizontal="left" vertical="top" wrapText="1" indent="31"/>
    </xf>
    <xf numFmtId="0" fontId="1" fillId="2" borderId="3" xfId="0" applyFont="1" applyFill="1" applyBorder="1" applyAlignment="1">
      <alignment horizontal="left" vertical="top" wrapText="1" indent="31"/>
    </xf>
    <xf numFmtId="0" fontId="2" fillId="2" borderId="3" xfId="0" applyFont="1" applyFill="1" applyBorder="1" applyAlignment="1">
      <alignment horizontal="left" vertical="top" wrapText="1" indent="1"/>
    </xf>
    <xf numFmtId="0" fontId="2" fillId="2" borderId="7" xfId="0" applyFont="1" applyFill="1" applyBorder="1" applyAlignment="1">
      <alignment horizontal="left" vertical="top" wrapText="1" indent="1"/>
    </xf>
    <xf numFmtId="0" fontId="0" fillId="2" borderId="7" xfId="0" applyFill="1" applyBorder="1" applyAlignment="1">
      <alignment horizontal="left" wrapText="1"/>
    </xf>
    <xf numFmtId="0" fontId="0" fillId="2" borderId="8" xfId="0" applyFill="1" applyBorder="1" applyAlignment="1">
      <alignment horizontal="left" wrapText="1"/>
    </xf>
    <xf numFmtId="0" fontId="2" fillId="2" borderId="0" xfId="0" applyFont="1" applyFill="1" applyAlignment="1">
      <alignment horizontal="left" vertical="top" wrapText="1" indent="1"/>
    </xf>
    <xf numFmtId="0" fontId="1" fillId="2" borderId="0" xfId="0" applyFont="1" applyFill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0" fontId="0" fillId="2" borderId="0" xfId="0" applyFill="1" applyAlignment="1">
      <alignment horizontal="left" wrapText="1"/>
    </xf>
    <xf numFmtId="0" fontId="0" fillId="2" borderId="11" xfId="0" applyFill="1" applyBorder="1" applyAlignment="1">
      <alignment horizontal="left" wrapText="1"/>
    </xf>
    <xf numFmtId="0" fontId="2" fillId="2" borderId="14" xfId="0" applyFont="1" applyFill="1" applyBorder="1" applyAlignment="1">
      <alignment horizontal="left" vertical="top" wrapText="1" indent="1"/>
    </xf>
    <xf numFmtId="164" fontId="3" fillId="2" borderId="2" xfId="0" applyNumberFormat="1" applyFont="1" applyFill="1" applyBorder="1" applyAlignment="1">
      <alignment horizontal="left" vertical="top" indent="3" shrinkToFit="1"/>
    </xf>
    <xf numFmtId="164" fontId="3" fillId="2" borderId="3" xfId="0" applyNumberFormat="1" applyFont="1" applyFill="1" applyBorder="1" applyAlignment="1">
      <alignment horizontal="left" vertical="top" indent="3" shrinkToFit="1"/>
    </xf>
    <xf numFmtId="164" fontId="3" fillId="2" borderId="4" xfId="0" applyNumberFormat="1" applyFont="1" applyFill="1" applyBorder="1" applyAlignment="1">
      <alignment horizontal="left" vertical="top" indent="3" shrinkToFit="1"/>
    </xf>
    <xf numFmtId="0" fontId="0" fillId="2" borderId="0" xfId="0" applyFill="1" applyAlignment="1">
      <alignment horizontal="left" vertical="top" wrapText="1" indent="6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left" vertical="top" wrapText="1" indent="1"/>
    </xf>
    <xf numFmtId="167" fontId="3" fillId="2" borderId="2" xfId="0" applyNumberFormat="1" applyFont="1" applyFill="1" applyBorder="1" applyAlignment="1">
      <alignment horizontal="right" vertical="top" shrinkToFit="1"/>
    </xf>
    <xf numFmtId="167" fontId="3" fillId="2" borderId="3" xfId="0" applyNumberFormat="1" applyFont="1" applyFill="1" applyBorder="1" applyAlignment="1">
      <alignment horizontal="right" vertical="top" shrinkToFit="1"/>
    </xf>
    <xf numFmtId="167" fontId="3" fillId="2" borderId="4" xfId="0" applyNumberFormat="1" applyFont="1" applyFill="1" applyBorder="1" applyAlignment="1">
      <alignment horizontal="right" vertical="top" shrinkToFi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167" fontId="5" fillId="2" borderId="2" xfId="0" applyNumberFormat="1" applyFont="1" applyFill="1" applyBorder="1" applyAlignment="1">
      <alignment horizontal="left" vertical="top" indent="4" shrinkToFit="1"/>
    </xf>
    <xf numFmtId="167" fontId="5" fillId="2" borderId="3" xfId="0" applyNumberFormat="1" applyFont="1" applyFill="1" applyBorder="1" applyAlignment="1">
      <alignment horizontal="left" vertical="top" indent="4" shrinkToFit="1"/>
    </xf>
    <xf numFmtId="167" fontId="5" fillId="2" borderId="4" xfId="0" applyNumberFormat="1" applyFont="1" applyFill="1" applyBorder="1" applyAlignment="1">
      <alignment horizontal="left" vertical="top" indent="4" shrinkToFit="1"/>
    </xf>
    <xf numFmtId="0" fontId="0" fillId="2" borderId="2" xfId="0" applyFill="1" applyBorder="1" applyAlignment="1">
      <alignment horizontal="left" vertical="top" wrapText="1" indent="3"/>
    </xf>
    <xf numFmtId="0" fontId="0" fillId="2" borderId="3" xfId="0" applyFill="1" applyBorder="1" applyAlignment="1">
      <alignment horizontal="left" vertical="top" wrapText="1" indent="3"/>
    </xf>
    <xf numFmtId="0" fontId="0" fillId="2" borderId="4" xfId="0" applyFill="1" applyBorder="1" applyAlignment="1">
      <alignment horizontal="left" vertical="top" wrapText="1" indent="3"/>
    </xf>
    <xf numFmtId="0" fontId="1" fillId="2" borderId="2" xfId="0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right" vertical="top" wrapText="1" indent="1"/>
    </xf>
    <xf numFmtId="0" fontId="1" fillId="2" borderId="3" xfId="0" applyFont="1" applyFill="1" applyBorder="1" applyAlignment="1">
      <alignment horizontal="right" vertical="top" wrapText="1" indent="1"/>
    </xf>
    <xf numFmtId="0" fontId="1" fillId="2" borderId="4" xfId="0" applyFont="1" applyFill="1" applyBorder="1" applyAlignment="1">
      <alignment horizontal="right" vertical="top" wrapText="1" indent="1"/>
    </xf>
    <xf numFmtId="0" fontId="1" fillId="2" borderId="4" xfId="0" applyFont="1" applyFill="1" applyBorder="1" applyAlignment="1">
      <alignment horizontal="left" vertical="top" wrapText="1" indent="25"/>
    </xf>
    <xf numFmtId="164" fontId="3" fillId="2" borderId="13" xfId="0" applyNumberFormat="1" applyFont="1" applyFill="1" applyBorder="1" applyAlignment="1">
      <alignment horizontal="left" vertical="top" shrinkToFit="1"/>
    </xf>
    <xf numFmtId="164" fontId="3" fillId="2" borderId="14" xfId="0" applyNumberFormat="1" applyFont="1" applyFill="1" applyBorder="1" applyAlignment="1">
      <alignment horizontal="left" vertical="top" shrinkToFit="1"/>
    </xf>
    <xf numFmtId="164" fontId="3" fillId="2" borderId="15" xfId="0" applyNumberFormat="1" applyFont="1" applyFill="1" applyBorder="1" applyAlignment="1">
      <alignment horizontal="left" vertical="top" shrinkToFit="1"/>
    </xf>
    <xf numFmtId="1" fontId="3" fillId="2" borderId="0" xfId="0" applyNumberFormat="1" applyFont="1" applyFill="1" applyAlignment="1">
      <alignment horizontal="right" vertical="top" indent="4" shrinkToFit="1"/>
    </xf>
    <xf numFmtId="0" fontId="2" fillId="2" borderId="0" xfId="0" applyFont="1" applyFill="1" applyAlignment="1">
      <alignment horizontal="left" vertical="top" wrapText="1" indent="50"/>
    </xf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161035</xdr:colOff>
      <xdr:row>96</xdr:row>
      <xdr:rowOff>127635</xdr:rowOff>
    </xdr:from>
    <xdr:ext cx="2162175" cy="30480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923535" y="16082010"/>
          <a:ext cx="2162175" cy="304800"/>
          <a:chOff x="0" y="0"/>
          <a:chExt cx="2162175" cy="30480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2121535" cy="304800"/>
          </a:xfrm>
          <a:custGeom>
            <a:avLst/>
            <a:gdLst/>
            <a:ahLst/>
            <a:cxnLst/>
            <a:rect l="0" t="0" r="0" b="0"/>
            <a:pathLst>
              <a:path w="2121535" h="304800">
                <a:moveTo>
                  <a:pt x="16256" y="0"/>
                </a:moveTo>
                <a:lnTo>
                  <a:pt x="0" y="0"/>
                </a:lnTo>
                <a:lnTo>
                  <a:pt x="0" y="304800"/>
                </a:lnTo>
                <a:lnTo>
                  <a:pt x="16256" y="304800"/>
                </a:lnTo>
                <a:lnTo>
                  <a:pt x="16256" y="0"/>
                </a:lnTo>
                <a:close/>
              </a:path>
              <a:path w="2121535" h="304800">
                <a:moveTo>
                  <a:pt x="32512" y="0"/>
                </a:moveTo>
                <a:lnTo>
                  <a:pt x="24384" y="0"/>
                </a:lnTo>
                <a:lnTo>
                  <a:pt x="24384" y="304800"/>
                </a:lnTo>
                <a:lnTo>
                  <a:pt x="32512" y="304800"/>
                </a:lnTo>
                <a:lnTo>
                  <a:pt x="32512" y="0"/>
                </a:lnTo>
                <a:close/>
              </a:path>
              <a:path w="2121535" h="304800">
                <a:moveTo>
                  <a:pt x="73152" y="0"/>
                </a:moveTo>
                <a:lnTo>
                  <a:pt x="48768" y="0"/>
                </a:lnTo>
                <a:lnTo>
                  <a:pt x="48768" y="304800"/>
                </a:lnTo>
                <a:lnTo>
                  <a:pt x="73152" y="304800"/>
                </a:lnTo>
                <a:lnTo>
                  <a:pt x="73152" y="0"/>
                </a:lnTo>
                <a:close/>
              </a:path>
              <a:path w="2121535" h="304800">
                <a:moveTo>
                  <a:pt x="105664" y="0"/>
                </a:moveTo>
                <a:lnTo>
                  <a:pt x="89408" y="0"/>
                </a:lnTo>
                <a:lnTo>
                  <a:pt x="89408" y="304800"/>
                </a:lnTo>
                <a:lnTo>
                  <a:pt x="105664" y="304800"/>
                </a:lnTo>
                <a:lnTo>
                  <a:pt x="105664" y="0"/>
                </a:lnTo>
                <a:close/>
              </a:path>
              <a:path w="2121535" h="304800">
                <a:moveTo>
                  <a:pt x="130048" y="0"/>
                </a:moveTo>
                <a:lnTo>
                  <a:pt x="121920" y="0"/>
                </a:lnTo>
                <a:lnTo>
                  <a:pt x="121920" y="304800"/>
                </a:lnTo>
                <a:lnTo>
                  <a:pt x="130048" y="304800"/>
                </a:lnTo>
                <a:lnTo>
                  <a:pt x="130048" y="0"/>
                </a:lnTo>
                <a:close/>
              </a:path>
              <a:path w="2121535" h="304800">
                <a:moveTo>
                  <a:pt x="170688" y="0"/>
                </a:moveTo>
                <a:lnTo>
                  <a:pt x="146304" y="0"/>
                </a:lnTo>
                <a:lnTo>
                  <a:pt x="146304" y="304800"/>
                </a:lnTo>
                <a:lnTo>
                  <a:pt x="170688" y="304800"/>
                </a:lnTo>
                <a:lnTo>
                  <a:pt x="170688" y="0"/>
                </a:lnTo>
                <a:close/>
              </a:path>
              <a:path w="2121535" h="304800">
                <a:moveTo>
                  <a:pt x="203200" y="0"/>
                </a:moveTo>
                <a:lnTo>
                  <a:pt x="178816" y="0"/>
                </a:lnTo>
                <a:lnTo>
                  <a:pt x="178816" y="304800"/>
                </a:lnTo>
                <a:lnTo>
                  <a:pt x="203200" y="304800"/>
                </a:lnTo>
                <a:lnTo>
                  <a:pt x="203200" y="0"/>
                </a:lnTo>
                <a:close/>
              </a:path>
              <a:path w="2121535" h="304800">
                <a:moveTo>
                  <a:pt x="227584" y="0"/>
                </a:moveTo>
                <a:lnTo>
                  <a:pt x="219456" y="0"/>
                </a:lnTo>
                <a:lnTo>
                  <a:pt x="219456" y="304800"/>
                </a:lnTo>
                <a:lnTo>
                  <a:pt x="227584" y="304800"/>
                </a:lnTo>
                <a:lnTo>
                  <a:pt x="227584" y="0"/>
                </a:lnTo>
                <a:close/>
              </a:path>
              <a:path w="2121535" h="304800">
                <a:moveTo>
                  <a:pt x="251968" y="0"/>
                </a:moveTo>
                <a:lnTo>
                  <a:pt x="235712" y="0"/>
                </a:lnTo>
                <a:lnTo>
                  <a:pt x="235712" y="304800"/>
                </a:lnTo>
                <a:lnTo>
                  <a:pt x="251968" y="304800"/>
                </a:lnTo>
                <a:lnTo>
                  <a:pt x="251968" y="0"/>
                </a:lnTo>
                <a:close/>
              </a:path>
              <a:path w="2121535" h="304800">
                <a:moveTo>
                  <a:pt x="276352" y="0"/>
                </a:moveTo>
                <a:lnTo>
                  <a:pt x="268224" y="0"/>
                </a:lnTo>
                <a:lnTo>
                  <a:pt x="268224" y="304800"/>
                </a:lnTo>
                <a:lnTo>
                  <a:pt x="276352" y="304800"/>
                </a:lnTo>
                <a:lnTo>
                  <a:pt x="276352" y="0"/>
                </a:lnTo>
                <a:close/>
              </a:path>
              <a:path w="2121535" h="304800">
                <a:moveTo>
                  <a:pt x="300736" y="0"/>
                </a:moveTo>
                <a:lnTo>
                  <a:pt x="292608" y="0"/>
                </a:lnTo>
                <a:lnTo>
                  <a:pt x="292608" y="304800"/>
                </a:lnTo>
                <a:lnTo>
                  <a:pt x="300736" y="304800"/>
                </a:lnTo>
                <a:lnTo>
                  <a:pt x="300736" y="0"/>
                </a:lnTo>
                <a:close/>
              </a:path>
              <a:path w="2121535" h="304800">
                <a:moveTo>
                  <a:pt x="341376" y="0"/>
                </a:moveTo>
                <a:lnTo>
                  <a:pt x="325120" y="0"/>
                </a:lnTo>
                <a:lnTo>
                  <a:pt x="325120" y="304800"/>
                </a:lnTo>
                <a:lnTo>
                  <a:pt x="341376" y="304800"/>
                </a:lnTo>
                <a:lnTo>
                  <a:pt x="341376" y="0"/>
                </a:lnTo>
                <a:close/>
              </a:path>
              <a:path w="2121535" h="304800">
                <a:moveTo>
                  <a:pt x="382016" y="0"/>
                </a:moveTo>
                <a:lnTo>
                  <a:pt x="357632" y="0"/>
                </a:lnTo>
                <a:lnTo>
                  <a:pt x="357632" y="304800"/>
                </a:lnTo>
                <a:lnTo>
                  <a:pt x="382016" y="304800"/>
                </a:lnTo>
                <a:lnTo>
                  <a:pt x="382016" y="0"/>
                </a:lnTo>
                <a:close/>
              </a:path>
              <a:path w="2121535" h="304800">
                <a:moveTo>
                  <a:pt x="406400" y="0"/>
                </a:moveTo>
                <a:lnTo>
                  <a:pt x="398272" y="0"/>
                </a:lnTo>
                <a:lnTo>
                  <a:pt x="398272" y="304800"/>
                </a:lnTo>
                <a:lnTo>
                  <a:pt x="406400" y="304800"/>
                </a:lnTo>
                <a:lnTo>
                  <a:pt x="406400" y="0"/>
                </a:lnTo>
                <a:close/>
              </a:path>
              <a:path w="2121535" h="304800">
                <a:moveTo>
                  <a:pt x="430784" y="0"/>
                </a:moveTo>
                <a:lnTo>
                  <a:pt x="414528" y="0"/>
                </a:lnTo>
                <a:lnTo>
                  <a:pt x="414528" y="304800"/>
                </a:lnTo>
                <a:lnTo>
                  <a:pt x="430784" y="304800"/>
                </a:lnTo>
                <a:lnTo>
                  <a:pt x="430784" y="0"/>
                </a:lnTo>
                <a:close/>
              </a:path>
              <a:path w="2121535" h="304800">
                <a:moveTo>
                  <a:pt x="471424" y="0"/>
                </a:moveTo>
                <a:lnTo>
                  <a:pt x="447040" y="0"/>
                </a:lnTo>
                <a:lnTo>
                  <a:pt x="447040" y="304800"/>
                </a:lnTo>
                <a:lnTo>
                  <a:pt x="471424" y="304800"/>
                </a:lnTo>
                <a:lnTo>
                  <a:pt x="471424" y="0"/>
                </a:lnTo>
                <a:close/>
              </a:path>
              <a:path w="2121535" h="304800">
                <a:moveTo>
                  <a:pt x="487680" y="0"/>
                </a:moveTo>
                <a:lnTo>
                  <a:pt x="479552" y="0"/>
                </a:lnTo>
                <a:lnTo>
                  <a:pt x="479552" y="304800"/>
                </a:lnTo>
                <a:lnTo>
                  <a:pt x="487680" y="304800"/>
                </a:lnTo>
                <a:lnTo>
                  <a:pt x="487680" y="0"/>
                </a:lnTo>
                <a:close/>
              </a:path>
              <a:path w="2121535" h="304800">
                <a:moveTo>
                  <a:pt x="528320" y="0"/>
                </a:moveTo>
                <a:lnTo>
                  <a:pt x="512064" y="0"/>
                </a:lnTo>
                <a:lnTo>
                  <a:pt x="512064" y="304800"/>
                </a:lnTo>
                <a:lnTo>
                  <a:pt x="528320" y="304800"/>
                </a:lnTo>
                <a:lnTo>
                  <a:pt x="528320" y="0"/>
                </a:lnTo>
                <a:close/>
              </a:path>
              <a:path w="2121535" h="304800">
                <a:moveTo>
                  <a:pt x="544576" y="0"/>
                </a:moveTo>
                <a:lnTo>
                  <a:pt x="536448" y="0"/>
                </a:lnTo>
                <a:lnTo>
                  <a:pt x="536448" y="304800"/>
                </a:lnTo>
                <a:lnTo>
                  <a:pt x="544576" y="304800"/>
                </a:lnTo>
                <a:lnTo>
                  <a:pt x="544576" y="0"/>
                </a:lnTo>
                <a:close/>
              </a:path>
              <a:path w="2121535" h="304800">
                <a:moveTo>
                  <a:pt x="560832" y="0"/>
                </a:moveTo>
                <a:lnTo>
                  <a:pt x="552704" y="0"/>
                </a:lnTo>
                <a:lnTo>
                  <a:pt x="552704" y="304800"/>
                </a:lnTo>
                <a:lnTo>
                  <a:pt x="560832" y="304800"/>
                </a:lnTo>
                <a:lnTo>
                  <a:pt x="560832" y="0"/>
                </a:lnTo>
                <a:close/>
              </a:path>
              <a:path w="2121535" h="304800">
                <a:moveTo>
                  <a:pt x="609600" y="0"/>
                </a:moveTo>
                <a:lnTo>
                  <a:pt x="577088" y="0"/>
                </a:lnTo>
                <a:lnTo>
                  <a:pt x="577088" y="304800"/>
                </a:lnTo>
                <a:lnTo>
                  <a:pt x="609600" y="304800"/>
                </a:lnTo>
                <a:lnTo>
                  <a:pt x="609600" y="0"/>
                </a:lnTo>
                <a:close/>
              </a:path>
              <a:path w="2121535" h="304800">
                <a:moveTo>
                  <a:pt x="633984" y="0"/>
                </a:moveTo>
                <a:lnTo>
                  <a:pt x="625856" y="0"/>
                </a:lnTo>
                <a:lnTo>
                  <a:pt x="625856" y="304800"/>
                </a:lnTo>
                <a:lnTo>
                  <a:pt x="633984" y="304800"/>
                </a:lnTo>
                <a:lnTo>
                  <a:pt x="633984" y="0"/>
                </a:lnTo>
                <a:close/>
              </a:path>
              <a:path w="2121535" h="304800">
                <a:moveTo>
                  <a:pt x="658368" y="0"/>
                </a:moveTo>
                <a:lnTo>
                  <a:pt x="650240" y="0"/>
                </a:lnTo>
                <a:lnTo>
                  <a:pt x="650240" y="304800"/>
                </a:lnTo>
                <a:lnTo>
                  <a:pt x="658368" y="304800"/>
                </a:lnTo>
                <a:lnTo>
                  <a:pt x="658368" y="0"/>
                </a:lnTo>
                <a:close/>
              </a:path>
              <a:path w="2121535" h="304800">
                <a:moveTo>
                  <a:pt x="690880" y="0"/>
                </a:moveTo>
                <a:lnTo>
                  <a:pt x="674624" y="0"/>
                </a:lnTo>
                <a:lnTo>
                  <a:pt x="674624" y="304800"/>
                </a:lnTo>
                <a:lnTo>
                  <a:pt x="690880" y="304800"/>
                </a:lnTo>
                <a:lnTo>
                  <a:pt x="690880" y="0"/>
                </a:lnTo>
                <a:close/>
              </a:path>
              <a:path w="2121535" h="304800">
                <a:moveTo>
                  <a:pt x="723392" y="0"/>
                </a:moveTo>
                <a:lnTo>
                  <a:pt x="715264" y="0"/>
                </a:lnTo>
                <a:lnTo>
                  <a:pt x="715264" y="304800"/>
                </a:lnTo>
                <a:lnTo>
                  <a:pt x="723392" y="304800"/>
                </a:lnTo>
                <a:lnTo>
                  <a:pt x="723392" y="0"/>
                </a:lnTo>
                <a:close/>
              </a:path>
              <a:path w="2121535" h="304800">
                <a:moveTo>
                  <a:pt x="747776" y="0"/>
                </a:moveTo>
                <a:lnTo>
                  <a:pt x="739648" y="0"/>
                </a:lnTo>
                <a:lnTo>
                  <a:pt x="739648" y="304800"/>
                </a:lnTo>
                <a:lnTo>
                  <a:pt x="747776" y="304800"/>
                </a:lnTo>
                <a:lnTo>
                  <a:pt x="747776" y="0"/>
                </a:lnTo>
                <a:close/>
              </a:path>
              <a:path w="2121535" h="304800">
                <a:moveTo>
                  <a:pt x="772160" y="0"/>
                </a:moveTo>
                <a:lnTo>
                  <a:pt x="755904" y="0"/>
                </a:lnTo>
                <a:lnTo>
                  <a:pt x="755904" y="304800"/>
                </a:lnTo>
                <a:lnTo>
                  <a:pt x="772160" y="304800"/>
                </a:lnTo>
                <a:lnTo>
                  <a:pt x="772160" y="0"/>
                </a:lnTo>
                <a:close/>
              </a:path>
              <a:path w="2121535" h="304800">
                <a:moveTo>
                  <a:pt x="812800" y="0"/>
                </a:moveTo>
                <a:lnTo>
                  <a:pt x="804672" y="0"/>
                </a:lnTo>
                <a:lnTo>
                  <a:pt x="804672" y="304800"/>
                </a:lnTo>
                <a:lnTo>
                  <a:pt x="812800" y="304800"/>
                </a:lnTo>
                <a:lnTo>
                  <a:pt x="812800" y="0"/>
                </a:lnTo>
                <a:close/>
              </a:path>
              <a:path w="2121535" h="304800">
                <a:moveTo>
                  <a:pt x="845312" y="0"/>
                </a:moveTo>
                <a:lnTo>
                  <a:pt x="829056" y="0"/>
                </a:lnTo>
                <a:lnTo>
                  <a:pt x="829056" y="304800"/>
                </a:lnTo>
                <a:lnTo>
                  <a:pt x="845312" y="304800"/>
                </a:lnTo>
                <a:lnTo>
                  <a:pt x="845312" y="0"/>
                </a:lnTo>
                <a:close/>
              </a:path>
              <a:path w="2121535" h="304800">
                <a:moveTo>
                  <a:pt x="869696" y="0"/>
                </a:moveTo>
                <a:lnTo>
                  <a:pt x="861568" y="0"/>
                </a:lnTo>
                <a:lnTo>
                  <a:pt x="861568" y="304800"/>
                </a:lnTo>
                <a:lnTo>
                  <a:pt x="869696" y="304800"/>
                </a:lnTo>
                <a:lnTo>
                  <a:pt x="869696" y="0"/>
                </a:lnTo>
                <a:close/>
              </a:path>
              <a:path w="2121535" h="304800">
                <a:moveTo>
                  <a:pt x="902208" y="0"/>
                </a:moveTo>
                <a:lnTo>
                  <a:pt x="894080" y="0"/>
                </a:lnTo>
                <a:lnTo>
                  <a:pt x="894080" y="304800"/>
                </a:lnTo>
                <a:lnTo>
                  <a:pt x="902208" y="304800"/>
                </a:lnTo>
                <a:lnTo>
                  <a:pt x="902208" y="0"/>
                </a:lnTo>
                <a:close/>
              </a:path>
              <a:path w="2121535" h="304800">
                <a:moveTo>
                  <a:pt x="942848" y="0"/>
                </a:moveTo>
                <a:lnTo>
                  <a:pt x="910336" y="0"/>
                </a:lnTo>
                <a:lnTo>
                  <a:pt x="910336" y="304800"/>
                </a:lnTo>
                <a:lnTo>
                  <a:pt x="942848" y="304800"/>
                </a:lnTo>
                <a:lnTo>
                  <a:pt x="942848" y="0"/>
                </a:lnTo>
                <a:close/>
              </a:path>
              <a:path w="2121535" h="304800">
                <a:moveTo>
                  <a:pt x="975360" y="0"/>
                </a:moveTo>
                <a:lnTo>
                  <a:pt x="950976" y="0"/>
                </a:lnTo>
                <a:lnTo>
                  <a:pt x="950976" y="304800"/>
                </a:lnTo>
                <a:lnTo>
                  <a:pt x="975360" y="304800"/>
                </a:lnTo>
                <a:lnTo>
                  <a:pt x="975360" y="0"/>
                </a:lnTo>
                <a:close/>
              </a:path>
              <a:path w="2121535" h="304800">
                <a:moveTo>
                  <a:pt x="991616" y="0"/>
                </a:moveTo>
                <a:lnTo>
                  <a:pt x="983488" y="0"/>
                </a:lnTo>
                <a:lnTo>
                  <a:pt x="983488" y="304800"/>
                </a:lnTo>
                <a:lnTo>
                  <a:pt x="991616" y="304800"/>
                </a:lnTo>
                <a:lnTo>
                  <a:pt x="991616" y="0"/>
                </a:lnTo>
                <a:close/>
              </a:path>
              <a:path w="2121535" h="304800">
                <a:moveTo>
                  <a:pt x="1032256" y="0"/>
                </a:moveTo>
                <a:lnTo>
                  <a:pt x="1016000" y="0"/>
                </a:lnTo>
                <a:lnTo>
                  <a:pt x="1016000" y="304800"/>
                </a:lnTo>
                <a:lnTo>
                  <a:pt x="1032256" y="304800"/>
                </a:lnTo>
                <a:lnTo>
                  <a:pt x="1032256" y="0"/>
                </a:lnTo>
                <a:close/>
              </a:path>
              <a:path w="2121535" h="304800">
                <a:moveTo>
                  <a:pt x="1064768" y="0"/>
                </a:moveTo>
                <a:lnTo>
                  <a:pt x="1056640" y="0"/>
                </a:lnTo>
                <a:lnTo>
                  <a:pt x="1056640" y="304800"/>
                </a:lnTo>
                <a:lnTo>
                  <a:pt x="1064768" y="304800"/>
                </a:lnTo>
                <a:lnTo>
                  <a:pt x="1064768" y="0"/>
                </a:lnTo>
                <a:close/>
              </a:path>
              <a:path w="2121535" h="304800">
                <a:moveTo>
                  <a:pt x="1081024" y="0"/>
                </a:moveTo>
                <a:lnTo>
                  <a:pt x="1072896" y="0"/>
                </a:lnTo>
                <a:lnTo>
                  <a:pt x="1072896" y="304800"/>
                </a:lnTo>
                <a:lnTo>
                  <a:pt x="1081024" y="304800"/>
                </a:lnTo>
                <a:lnTo>
                  <a:pt x="1081024" y="0"/>
                </a:lnTo>
                <a:close/>
              </a:path>
              <a:path w="2121535" h="304800">
                <a:moveTo>
                  <a:pt x="1113536" y="0"/>
                </a:moveTo>
                <a:lnTo>
                  <a:pt x="1089152" y="0"/>
                </a:lnTo>
                <a:lnTo>
                  <a:pt x="1089152" y="304800"/>
                </a:lnTo>
                <a:lnTo>
                  <a:pt x="1113536" y="304800"/>
                </a:lnTo>
                <a:lnTo>
                  <a:pt x="1113536" y="0"/>
                </a:lnTo>
                <a:close/>
              </a:path>
              <a:path w="2121535" h="304800">
                <a:moveTo>
                  <a:pt x="1137920" y="0"/>
                </a:moveTo>
                <a:lnTo>
                  <a:pt x="1121664" y="0"/>
                </a:lnTo>
                <a:lnTo>
                  <a:pt x="1121664" y="304800"/>
                </a:lnTo>
                <a:lnTo>
                  <a:pt x="1137920" y="304800"/>
                </a:lnTo>
                <a:lnTo>
                  <a:pt x="1137920" y="0"/>
                </a:lnTo>
                <a:close/>
              </a:path>
              <a:path w="2121535" h="304800">
                <a:moveTo>
                  <a:pt x="1170432" y="0"/>
                </a:moveTo>
                <a:lnTo>
                  <a:pt x="1162304" y="0"/>
                </a:lnTo>
                <a:lnTo>
                  <a:pt x="1162304" y="304800"/>
                </a:lnTo>
                <a:lnTo>
                  <a:pt x="1170432" y="304800"/>
                </a:lnTo>
                <a:lnTo>
                  <a:pt x="1170432" y="0"/>
                </a:lnTo>
                <a:close/>
              </a:path>
              <a:path w="2121535" h="304800">
                <a:moveTo>
                  <a:pt x="1202944" y="0"/>
                </a:moveTo>
                <a:lnTo>
                  <a:pt x="1194816" y="0"/>
                </a:lnTo>
                <a:lnTo>
                  <a:pt x="1194816" y="304800"/>
                </a:lnTo>
                <a:lnTo>
                  <a:pt x="1202944" y="304800"/>
                </a:lnTo>
                <a:lnTo>
                  <a:pt x="1202944" y="0"/>
                </a:lnTo>
                <a:close/>
              </a:path>
              <a:path w="2121535" h="304800">
                <a:moveTo>
                  <a:pt x="1243584" y="0"/>
                </a:moveTo>
                <a:lnTo>
                  <a:pt x="1227328" y="0"/>
                </a:lnTo>
                <a:lnTo>
                  <a:pt x="1227328" y="304800"/>
                </a:lnTo>
                <a:lnTo>
                  <a:pt x="1243584" y="304800"/>
                </a:lnTo>
                <a:lnTo>
                  <a:pt x="1243584" y="0"/>
                </a:lnTo>
                <a:close/>
              </a:path>
              <a:path w="2121535" h="304800">
                <a:moveTo>
                  <a:pt x="1267968" y="0"/>
                </a:moveTo>
                <a:lnTo>
                  <a:pt x="1251712" y="0"/>
                </a:lnTo>
                <a:lnTo>
                  <a:pt x="1251712" y="304800"/>
                </a:lnTo>
                <a:lnTo>
                  <a:pt x="1267968" y="304800"/>
                </a:lnTo>
                <a:lnTo>
                  <a:pt x="1267968" y="0"/>
                </a:lnTo>
                <a:close/>
              </a:path>
              <a:path w="2121535" h="304800">
                <a:moveTo>
                  <a:pt x="1300480" y="0"/>
                </a:moveTo>
                <a:lnTo>
                  <a:pt x="1276096" y="0"/>
                </a:lnTo>
                <a:lnTo>
                  <a:pt x="1276096" y="304800"/>
                </a:lnTo>
                <a:lnTo>
                  <a:pt x="1300480" y="304800"/>
                </a:lnTo>
                <a:lnTo>
                  <a:pt x="1300480" y="0"/>
                </a:lnTo>
                <a:close/>
              </a:path>
              <a:path w="2121535" h="304800">
                <a:moveTo>
                  <a:pt x="1332992" y="0"/>
                </a:moveTo>
                <a:lnTo>
                  <a:pt x="1324864" y="0"/>
                </a:lnTo>
                <a:lnTo>
                  <a:pt x="1324864" y="304800"/>
                </a:lnTo>
                <a:lnTo>
                  <a:pt x="1332992" y="304800"/>
                </a:lnTo>
                <a:lnTo>
                  <a:pt x="1332992" y="0"/>
                </a:lnTo>
                <a:close/>
              </a:path>
              <a:path w="2121535" h="304800">
                <a:moveTo>
                  <a:pt x="1349248" y="0"/>
                </a:moveTo>
                <a:lnTo>
                  <a:pt x="1341120" y="0"/>
                </a:lnTo>
                <a:lnTo>
                  <a:pt x="1341120" y="304800"/>
                </a:lnTo>
                <a:lnTo>
                  <a:pt x="1349248" y="304800"/>
                </a:lnTo>
                <a:lnTo>
                  <a:pt x="1349248" y="0"/>
                </a:lnTo>
                <a:close/>
              </a:path>
              <a:path w="2121535" h="304800">
                <a:moveTo>
                  <a:pt x="1381760" y="0"/>
                </a:moveTo>
                <a:lnTo>
                  <a:pt x="1373632" y="0"/>
                </a:lnTo>
                <a:lnTo>
                  <a:pt x="1373632" y="304800"/>
                </a:lnTo>
                <a:lnTo>
                  <a:pt x="1381760" y="304800"/>
                </a:lnTo>
                <a:lnTo>
                  <a:pt x="1381760" y="0"/>
                </a:lnTo>
                <a:close/>
              </a:path>
              <a:path w="2121535" h="304800">
                <a:moveTo>
                  <a:pt x="1422400" y="0"/>
                </a:moveTo>
                <a:lnTo>
                  <a:pt x="1406144" y="0"/>
                </a:lnTo>
                <a:lnTo>
                  <a:pt x="1406144" y="304800"/>
                </a:lnTo>
                <a:lnTo>
                  <a:pt x="1422400" y="304800"/>
                </a:lnTo>
                <a:lnTo>
                  <a:pt x="1422400" y="0"/>
                </a:lnTo>
                <a:close/>
              </a:path>
              <a:path w="2121535" h="304800">
                <a:moveTo>
                  <a:pt x="1438656" y="0"/>
                </a:moveTo>
                <a:lnTo>
                  <a:pt x="1430528" y="0"/>
                </a:lnTo>
                <a:lnTo>
                  <a:pt x="1430528" y="304800"/>
                </a:lnTo>
                <a:lnTo>
                  <a:pt x="1438656" y="304800"/>
                </a:lnTo>
                <a:lnTo>
                  <a:pt x="1438656" y="0"/>
                </a:lnTo>
                <a:close/>
              </a:path>
              <a:path w="2121535" h="304800">
                <a:moveTo>
                  <a:pt x="1471168" y="0"/>
                </a:moveTo>
                <a:lnTo>
                  <a:pt x="1446784" y="0"/>
                </a:lnTo>
                <a:lnTo>
                  <a:pt x="1446784" y="304800"/>
                </a:lnTo>
                <a:lnTo>
                  <a:pt x="1471168" y="304800"/>
                </a:lnTo>
                <a:lnTo>
                  <a:pt x="1471168" y="0"/>
                </a:lnTo>
                <a:close/>
              </a:path>
              <a:path w="2121535" h="304800">
                <a:moveTo>
                  <a:pt x="1511808" y="0"/>
                </a:moveTo>
                <a:lnTo>
                  <a:pt x="1479296" y="0"/>
                </a:lnTo>
                <a:lnTo>
                  <a:pt x="1479296" y="304800"/>
                </a:lnTo>
                <a:lnTo>
                  <a:pt x="1511808" y="304800"/>
                </a:lnTo>
                <a:lnTo>
                  <a:pt x="1511808" y="0"/>
                </a:lnTo>
                <a:close/>
              </a:path>
              <a:path w="2121535" h="304800">
                <a:moveTo>
                  <a:pt x="1536192" y="0"/>
                </a:moveTo>
                <a:lnTo>
                  <a:pt x="1519936" y="0"/>
                </a:lnTo>
                <a:lnTo>
                  <a:pt x="1519936" y="304800"/>
                </a:lnTo>
                <a:lnTo>
                  <a:pt x="1536192" y="304800"/>
                </a:lnTo>
                <a:lnTo>
                  <a:pt x="1536192" y="0"/>
                </a:lnTo>
                <a:close/>
              </a:path>
              <a:path w="2121535" h="304800">
                <a:moveTo>
                  <a:pt x="1560576" y="0"/>
                </a:moveTo>
                <a:lnTo>
                  <a:pt x="1544320" y="0"/>
                </a:lnTo>
                <a:lnTo>
                  <a:pt x="1544320" y="304800"/>
                </a:lnTo>
                <a:lnTo>
                  <a:pt x="1560576" y="304800"/>
                </a:lnTo>
                <a:lnTo>
                  <a:pt x="1560576" y="0"/>
                </a:lnTo>
                <a:close/>
              </a:path>
              <a:path w="2121535" h="304800">
                <a:moveTo>
                  <a:pt x="1593088" y="0"/>
                </a:moveTo>
                <a:lnTo>
                  <a:pt x="1576832" y="0"/>
                </a:lnTo>
                <a:lnTo>
                  <a:pt x="1576832" y="304800"/>
                </a:lnTo>
                <a:lnTo>
                  <a:pt x="1593088" y="304800"/>
                </a:lnTo>
                <a:lnTo>
                  <a:pt x="1593088" y="0"/>
                </a:lnTo>
                <a:close/>
              </a:path>
              <a:path w="2121535" h="304800">
                <a:moveTo>
                  <a:pt x="1625600" y="0"/>
                </a:moveTo>
                <a:lnTo>
                  <a:pt x="1609344" y="0"/>
                </a:lnTo>
                <a:lnTo>
                  <a:pt x="1609344" y="304800"/>
                </a:lnTo>
                <a:lnTo>
                  <a:pt x="1625600" y="304800"/>
                </a:lnTo>
                <a:lnTo>
                  <a:pt x="1625600" y="0"/>
                </a:lnTo>
                <a:close/>
              </a:path>
              <a:path w="2121535" h="304800">
                <a:moveTo>
                  <a:pt x="1649984" y="0"/>
                </a:moveTo>
                <a:lnTo>
                  <a:pt x="1633728" y="0"/>
                </a:lnTo>
                <a:lnTo>
                  <a:pt x="1633728" y="304800"/>
                </a:lnTo>
                <a:lnTo>
                  <a:pt x="1649984" y="304800"/>
                </a:lnTo>
                <a:lnTo>
                  <a:pt x="1649984" y="0"/>
                </a:lnTo>
                <a:close/>
              </a:path>
              <a:path w="2121535" h="304800">
                <a:moveTo>
                  <a:pt x="1682496" y="0"/>
                </a:moveTo>
                <a:lnTo>
                  <a:pt x="1666240" y="0"/>
                </a:lnTo>
                <a:lnTo>
                  <a:pt x="1666240" y="304800"/>
                </a:lnTo>
                <a:lnTo>
                  <a:pt x="1682496" y="304800"/>
                </a:lnTo>
                <a:lnTo>
                  <a:pt x="1682496" y="0"/>
                </a:lnTo>
                <a:close/>
              </a:path>
              <a:path w="2121535" h="304800">
                <a:moveTo>
                  <a:pt x="1715008" y="0"/>
                </a:moveTo>
                <a:lnTo>
                  <a:pt x="1698752" y="0"/>
                </a:lnTo>
                <a:lnTo>
                  <a:pt x="1698752" y="304800"/>
                </a:lnTo>
                <a:lnTo>
                  <a:pt x="1715008" y="304800"/>
                </a:lnTo>
                <a:lnTo>
                  <a:pt x="1715008" y="0"/>
                </a:lnTo>
                <a:close/>
              </a:path>
              <a:path w="2121535" h="304800">
                <a:moveTo>
                  <a:pt x="1747520" y="0"/>
                </a:moveTo>
                <a:lnTo>
                  <a:pt x="1731264" y="0"/>
                </a:lnTo>
                <a:lnTo>
                  <a:pt x="1731264" y="304800"/>
                </a:lnTo>
                <a:lnTo>
                  <a:pt x="1747520" y="304800"/>
                </a:lnTo>
                <a:lnTo>
                  <a:pt x="1747520" y="0"/>
                </a:lnTo>
                <a:close/>
              </a:path>
              <a:path w="2121535" h="304800">
                <a:moveTo>
                  <a:pt x="1771904" y="0"/>
                </a:moveTo>
                <a:lnTo>
                  <a:pt x="1755648" y="0"/>
                </a:lnTo>
                <a:lnTo>
                  <a:pt x="1755648" y="304800"/>
                </a:lnTo>
                <a:lnTo>
                  <a:pt x="1771904" y="304800"/>
                </a:lnTo>
                <a:lnTo>
                  <a:pt x="1771904" y="0"/>
                </a:lnTo>
                <a:close/>
              </a:path>
              <a:path w="2121535" h="304800">
                <a:moveTo>
                  <a:pt x="1796288" y="0"/>
                </a:moveTo>
                <a:lnTo>
                  <a:pt x="1788160" y="0"/>
                </a:lnTo>
                <a:lnTo>
                  <a:pt x="1788160" y="304800"/>
                </a:lnTo>
                <a:lnTo>
                  <a:pt x="1796288" y="304800"/>
                </a:lnTo>
                <a:lnTo>
                  <a:pt x="1796288" y="0"/>
                </a:lnTo>
                <a:close/>
              </a:path>
              <a:path w="2121535" h="304800">
                <a:moveTo>
                  <a:pt x="1836928" y="0"/>
                </a:moveTo>
                <a:lnTo>
                  <a:pt x="1812544" y="0"/>
                </a:lnTo>
                <a:lnTo>
                  <a:pt x="1812544" y="304800"/>
                </a:lnTo>
                <a:lnTo>
                  <a:pt x="1836928" y="304800"/>
                </a:lnTo>
                <a:lnTo>
                  <a:pt x="1836928" y="0"/>
                </a:lnTo>
                <a:close/>
              </a:path>
              <a:path w="2121535" h="304800">
                <a:moveTo>
                  <a:pt x="1869440" y="0"/>
                </a:moveTo>
                <a:lnTo>
                  <a:pt x="1853184" y="0"/>
                </a:lnTo>
                <a:lnTo>
                  <a:pt x="1853184" y="304800"/>
                </a:lnTo>
                <a:lnTo>
                  <a:pt x="1869440" y="304800"/>
                </a:lnTo>
                <a:lnTo>
                  <a:pt x="1869440" y="0"/>
                </a:lnTo>
                <a:close/>
              </a:path>
              <a:path w="2121535" h="304800">
                <a:moveTo>
                  <a:pt x="1885696" y="0"/>
                </a:moveTo>
                <a:lnTo>
                  <a:pt x="1877568" y="0"/>
                </a:lnTo>
                <a:lnTo>
                  <a:pt x="1877568" y="304800"/>
                </a:lnTo>
                <a:lnTo>
                  <a:pt x="1885696" y="304800"/>
                </a:lnTo>
                <a:lnTo>
                  <a:pt x="1885696" y="0"/>
                </a:lnTo>
                <a:close/>
              </a:path>
              <a:path w="2121535" h="304800">
                <a:moveTo>
                  <a:pt x="1926336" y="0"/>
                </a:moveTo>
                <a:lnTo>
                  <a:pt x="1918208" y="0"/>
                </a:lnTo>
                <a:lnTo>
                  <a:pt x="1918208" y="304800"/>
                </a:lnTo>
                <a:lnTo>
                  <a:pt x="1926336" y="304800"/>
                </a:lnTo>
                <a:lnTo>
                  <a:pt x="1926336" y="0"/>
                </a:lnTo>
                <a:close/>
              </a:path>
              <a:path w="2121535" h="304800">
                <a:moveTo>
                  <a:pt x="1958848" y="0"/>
                </a:moveTo>
                <a:lnTo>
                  <a:pt x="1942592" y="0"/>
                </a:lnTo>
                <a:lnTo>
                  <a:pt x="1942592" y="304800"/>
                </a:lnTo>
                <a:lnTo>
                  <a:pt x="1958848" y="304800"/>
                </a:lnTo>
                <a:lnTo>
                  <a:pt x="1958848" y="0"/>
                </a:lnTo>
                <a:close/>
              </a:path>
              <a:path w="2121535" h="304800">
                <a:moveTo>
                  <a:pt x="1983232" y="0"/>
                </a:moveTo>
                <a:lnTo>
                  <a:pt x="1966976" y="0"/>
                </a:lnTo>
                <a:lnTo>
                  <a:pt x="1966976" y="304800"/>
                </a:lnTo>
                <a:lnTo>
                  <a:pt x="1983232" y="304800"/>
                </a:lnTo>
                <a:lnTo>
                  <a:pt x="1983232" y="0"/>
                </a:lnTo>
                <a:close/>
              </a:path>
              <a:path w="2121535" h="304800">
                <a:moveTo>
                  <a:pt x="2023872" y="0"/>
                </a:moveTo>
                <a:lnTo>
                  <a:pt x="1999488" y="0"/>
                </a:lnTo>
                <a:lnTo>
                  <a:pt x="1999488" y="304800"/>
                </a:lnTo>
                <a:lnTo>
                  <a:pt x="2023872" y="304800"/>
                </a:lnTo>
                <a:lnTo>
                  <a:pt x="2023872" y="0"/>
                </a:lnTo>
                <a:close/>
              </a:path>
              <a:path w="2121535" h="304800">
                <a:moveTo>
                  <a:pt x="2040128" y="0"/>
                </a:moveTo>
                <a:lnTo>
                  <a:pt x="2032000" y="0"/>
                </a:lnTo>
                <a:lnTo>
                  <a:pt x="2032000" y="304800"/>
                </a:lnTo>
                <a:lnTo>
                  <a:pt x="2040128" y="304800"/>
                </a:lnTo>
                <a:lnTo>
                  <a:pt x="2040128" y="0"/>
                </a:lnTo>
                <a:close/>
              </a:path>
              <a:path w="2121535" h="304800">
                <a:moveTo>
                  <a:pt x="2072640" y="0"/>
                </a:moveTo>
                <a:lnTo>
                  <a:pt x="2056384" y="0"/>
                </a:lnTo>
                <a:lnTo>
                  <a:pt x="2056384" y="304800"/>
                </a:lnTo>
                <a:lnTo>
                  <a:pt x="2072640" y="304800"/>
                </a:lnTo>
                <a:lnTo>
                  <a:pt x="2072640" y="0"/>
                </a:lnTo>
                <a:close/>
              </a:path>
              <a:path w="2121535" h="304800">
                <a:moveTo>
                  <a:pt x="2121408" y="0"/>
                </a:moveTo>
                <a:lnTo>
                  <a:pt x="2097024" y="0"/>
                </a:lnTo>
                <a:lnTo>
                  <a:pt x="2097024" y="304800"/>
                </a:lnTo>
                <a:lnTo>
                  <a:pt x="2121408" y="304800"/>
                </a:lnTo>
                <a:lnTo>
                  <a:pt x="2121408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2097024" y="0"/>
            <a:ext cx="65405" cy="304800"/>
          </a:xfrm>
          <a:custGeom>
            <a:avLst/>
            <a:gdLst/>
            <a:ahLst/>
            <a:cxnLst/>
            <a:rect l="0" t="0" r="0" b="0"/>
            <a:pathLst>
              <a:path w="65405" h="304800">
                <a:moveTo>
                  <a:pt x="24384" y="0"/>
                </a:moveTo>
                <a:lnTo>
                  <a:pt x="0" y="0"/>
                </a:lnTo>
                <a:lnTo>
                  <a:pt x="0" y="304800"/>
                </a:lnTo>
                <a:lnTo>
                  <a:pt x="24384" y="304800"/>
                </a:lnTo>
                <a:lnTo>
                  <a:pt x="24384" y="0"/>
                </a:lnTo>
                <a:close/>
              </a:path>
              <a:path w="65405" h="304800">
                <a:moveTo>
                  <a:pt x="40640" y="0"/>
                </a:moveTo>
                <a:lnTo>
                  <a:pt x="32512" y="0"/>
                </a:lnTo>
                <a:lnTo>
                  <a:pt x="32512" y="304800"/>
                </a:lnTo>
                <a:lnTo>
                  <a:pt x="40640" y="304800"/>
                </a:lnTo>
                <a:lnTo>
                  <a:pt x="40640" y="0"/>
                </a:lnTo>
                <a:close/>
              </a:path>
              <a:path w="65405" h="304800">
                <a:moveTo>
                  <a:pt x="65024" y="0"/>
                </a:moveTo>
                <a:lnTo>
                  <a:pt x="48768" y="0"/>
                </a:lnTo>
                <a:lnTo>
                  <a:pt x="48768" y="304800"/>
                </a:lnTo>
                <a:lnTo>
                  <a:pt x="65024" y="304800"/>
                </a:lnTo>
                <a:lnTo>
                  <a:pt x="65024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17</xdr:col>
      <xdr:colOff>2379</xdr:colOff>
      <xdr:row>23</xdr:row>
      <xdr:rowOff>137337</xdr:rowOff>
    </xdr:from>
    <xdr:ext cx="120650" cy="156845"/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2688429" y="647700"/>
          <a:ext cx="120650" cy="156845"/>
          <a:chOff x="0" y="0"/>
          <a:chExt cx="120650" cy="156845"/>
        </a:xfrm>
      </xdr:grpSpPr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7"/>
                </a:lnTo>
                <a:lnTo>
                  <a:pt x="107950" y="144017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7"/>
                </a:moveTo>
                <a:lnTo>
                  <a:pt x="107950" y="144017"/>
                </a:lnTo>
                <a:lnTo>
                  <a:pt x="107950" y="0"/>
                </a:lnTo>
                <a:lnTo>
                  <a:pt x="0" y="0"/>
                </a:lnTo>
                <a:lnTo>
                  <a:pt x="0" y="144017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27</xdr:col>
      <xdr:colOff>230735</xdr:colOff>
      <xdr:row>98</xdr:row>
      <xdr:rowOff>0</xdr:rowOff>
    </xdr:from>
    <xdr:ext cx="844469" cy="166743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4469" cy="166743"/>
        </a:xfrm>
        <a:prstGeom prst="rect">
          <a:avLst/>
        </a:prstGeom>
      </xdr:spPr>
    </xdr:pic>
    <xdr:clientData/>
  </xdr:oneCellAnchor>
  <xdr:oneCellAnchor>
    <xdr:from>
      <xdr:col>34</xdr:col>
      <xdr:colOff>247650</xdr:colOff>
      <xdr:row>31</xdr:row>
      <xdr:rowOff>137159</xdr:rowOff>
    </xdr:from>
    <xdr:ext cx="120650" cy="156845"/>
    <xdr:grpSp>
      <xdr:nvGrpSpPr>
        <xdr:cNvPr id="12" name="Group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6191250" y="1546859"/>
          <a:ext cx="120650" cy="156845"/>
          <a:chOff x="0" y="0"/>
          <a:chExt cx="120650" cy="156845"/>
        </a:xfrm>
      </xdr:grpSpPr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7"/>
                </a:lnTo>
                <a:lnTo>
                  <a:pt x="107950" y="144017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7"/>
                </a:moveTo>
                <a:lnTo>
                  <a:pt x="107950" y="144017"/>
                </a:lnTo>
                <a:lnTo>
                  <a:pt x="107950" y="0"/>
                </a:lnTo>
                <a:lnTo>
                  <a:pt x="0" y="0"/>
                </a:lnTo>
                <a:lnTo>
                  <a:pt x="0" y="144017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34</xdr:col>
      <xdr:colOff>247650</xdr:colOff>
      <xdr:row>33</xdr:row>
      <xdr:rowOff>137160</xdr:rowOff>
    </xdr:from>
    <xdr:ext cx="120650" cy="156845"/>
    <xdr:grpSp>
      <xdr:nvGrpSpPr>
        <xdr:cNvPr id="15" name="Group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6191250" y="1851660"/>
          <a:ext cx="120650" cy="156845"/>
          <a:chOff x="0" y="0"/>
          <a:chExt cx="120650" cy="156845"/>
        </a:xfrm>
      </xdr:grpSpPr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7"/>
                </a:lnTo>
                <a:lnTo>
                  <a:pt x="107950" y="144017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7"/>
                </a:moveTo>
                <a:lnTo>
                  <a:pt x="107950" y="144017"/>
                </a:lnTo>
                <a:lnTo>
                  <a:pt x="107950" y="0"/>
                </a:lnTo>
                <a:lnTo>
                  <a:pt x="0" y="0"/>
                </a:lnTo>
                <a:lnTo>
                  <a:pt x="0" y="144017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34</xdr:col>
      <xdr:colOff>247650</xdr:colOff>
      <xdr:row>42</xdr:row>
      <xdr:rowOff>142493</xdr:rowOff>
    </xdr:from>
    <xdr:ext cx="120650" cy="156845"/>
    <xdr:grpSp>
      <xdr:nvGrpSpPr>
        <xdr:cNvPr id="18" name="Group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6191250" y="3380993"/>
          <a:ext cx="120650" cy="156845"/>
          <a:chOff x="0" y="0"/>
          <a:chExt cx="120650" cy="156845"/>
        </a:xfrm>
      </xdr:grpSpPr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8"/>
                </a:lnTo>
                <a:lnTo>
                  <a:pt x="107950" y="144018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8"/>
                </a:moveTo>
                <a:lnTo>
                  <a:pt x="107950" y="144018"/>
                </a:lnTo>
                <a:lnTo>
                  <a:pt x="107950" y="0"/>
                </a:lnTo>
                <a:lnTo>
                  <a:pt x="0" y="0"/>
                </a:lnTo>
                <a:lnTo>
                  <a:pt x="0" y="144018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34</xdr:col>
      <xdr:colOff>247650</xdr:colOff>
      <xdr:row>44</xdr:row>
      <xdr:rowOff>138430</xdr:rowOff>
    </xdr:from>
    <xdr:ext cx="120650" cy="156845"/>
    <xdr:grpSp>
      <xdr:nvGrpSpPr>
        <xdr:cNvPr id="21" name="Group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6191250" y="3681730"/>
          <a:ext cx="120650" cy="156845"/>
          <a:chOff x="0" y="0"/>
          <a:chExt cx="120650" cy="156845"/>
        </a:xfrm>
      </xdr:grpSpPr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8"/>
                </a:lnTo>
                <a:lnTo>
                  <a:pt x="107950" y="144018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8"/>
                </a:moveTo>
                <a:lnTo>
                  <a:pt x="107950" y="144018"/>
                </a:lnTo>
                <a:lnTo>
                  <a:pt x="107950" y="0"/>
                </a:lnTo>
                <a:lnTo>
                  <a:pt x="0" y="0"/>
                </a:lnTo>
                <a:lnTo>
                  <a:pt x="0" y="144018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34</xdr:col>
      <xdr:colOff>247650</xdr:colOff>
      <xdr:row>47</xdr:row>
      <xdr:rowOff>138683</xdr:rowOff>
    </xdr:from>
    <xdr:ext cx="120650" cy="156845"/>
    <xdr:grpSp>
      <xdr:nvGrpSpPr>
        <xdr:cNvPr id="24" name="Group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6191250" y="4139183"/>
          <a:ext cx="120650" cy="156845"/>
          <a:chOff x="0" y="0"/>
          <a:chExt cx="120650" cy="156845"/>
        </a:xfrm>
      </xdr:grpSpPr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8"/>
                </a:lnTo>
                <a:lnTo>
                  <a:pt x="107950" y="144018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8"/>
                </a:moveTo>
                <a:lnTo>
                  <a:pt x="107950" y="144018"/>
                </a:lnTo>
                <a:lnTo>
                  <a:pt x="107950" y="0"/>
                </a:lnTo>
                <a:lnTo>
                  <a:pt x="0" y="0"/>
                </a:lnTo>
                <a:lnTo>
                  <a:pt x="0" y="144018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34</xdr:col>
      <xdr:colOff>247650</xdr:colOff>
      <xdr:row>53</xdr:row>
      <xdr:rowOff>139064</xdr:rowOff>
    </xdr:from>
    <xdr:ext cx="120650" cy="156845"/>
    <xdr:grpSp>
      <xdr:nvGrpSpPr>
        <xdr:cNvPr id="27" name="Group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6191250" y="5053964"/>
          <a:ext cx="120650" cy="156845"/>
          <a:chOff x="0" y="0"/>
          <a:chExt cx="120650" cy="156845"/>
        </a:xfrm>
      </xdr:grpSpPr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8"/>
                </a:lnTo>
                <a:lnTo>
                  <a:pt x="107950" y="144018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8"/>
                </a:moveTo>
                <a:lnTo>
                  <a:pt x="107950" y="144018"/>
                </a:lnTo>
                <a:lnTo>
                  <a:pt x="107950" y="0"/>
                </a:lnTo>
                <a:lnTo>
                  <a:pt x="0" y="0"/>
                </a:lnTo>
                <a:lnTo>
                  <a:pt x="0" y="144018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1</xdr:col>
      <xdr:colOff>119887</xdr:colOff>
      <xdr:row>62</xdr:row>
      <xdr:rowOff>104901</xdr:rowOff>
    </xdr:from>
    <xdr:ext cx="1446530" cy="1191260"/>
    <xdr:grpSp>
      <xdr:nvGrpSpPr>
        <xdr:cNvPr id="30" name="Group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510412" y="6343776"/>
          <a:ext cx="1446530" cy="1191260"/>
          <a:chOff x="0" y="0"/>
          <a:chExt cx="1446530" cy="1191260"/>
        </a:xfrm>
      </xdr:grpSpPr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3175" y="3175"/>
            <a:ext cx="1440180" cy="1188085"/>
          </a:xfrm>
          <a:custGeom>
            <a:avLst/>
            <a:gdLst/>
            <a:ahLst/>
            <a:cxnLst/>
            <a:rect l="0" t="0" r="0" b="0"/>
            <a:pathLst>
              <a:path w="1440180" h="1188085">
                <a:moveTo>
                  <a:pt x="0" y="0"/>
                </a:moveTo>
                <a:lnTo>
                  <a:pt x="1440053" y="0"/>
                </a:lnTo>
                <a:lnTo>
                  <a:pt x="1440053" y="1152017"/>
                </a:lnTo>
                <a:lnTo>
                  <a:pt x="0" y="1152017"/>
                </a:lnTo>
                <a:lnTo>
                  <a:pt x="0" y="0"/>
                </a:lnTo>
                <a:close/>
              </a:path>
              <a:path w="1440180" h="1188085">
                <a:moveTo>
                  <a:pt x="18034" y="237616"/>
                </a:moveTo>
                <a:lnTo>
                  <a:pt x="144017" y="237616"/>
                </a:lnTo>
              </a:path>
              <a:path w="1440180" h="1188085">
                <a:moveTo>
                  <a:pt x="288036" y="237616"/>
                </a:moveTo>
                <a:lnTo>
                  <a:pt x="575945" y="237616"/>
                </a:lnTo>
              </a:path>
              <a:path w="1440180" h="1188085">
                <a:moveTo>
                  <a:pt x="719963" y="237616"/>
                </a:moveTo>
                <a:lnTo>
                  <a:pt x="1422018" y="237616"/>
                </a:lnTo>
              </a:path>
              <a:path w="1440180" h="1188085">
                <a:moveTo>
                  <a:pt x="18034" y="460755"/>
                </a:moveTo>
                <a:lnTo>
                  <a:pt x="144017" y="460755"/>
                </a:lnTo>
              </a:path>
              <a:path w="1440180" h="1188085">
                <a:moveTo>
                  <a:pt x="288036" y="460755"/>
                </a:moveTo>
                <a:lnTo>
                  <a:pt x="575945" y="460755"/>
                </a:lnTo>
              </a:path>
              <a:path w="1440180" h="1188085">
                <a:moveTo>
                  <a:pt x="719963" y="460755"/>
                </a:moveTo>
                <a:lnTo>
                  <a:pt x="1007999" y="460755"/>
                </a:lnTo>
              </a:path>
              <a:path w="1440180" h="1188085">
                <a:moveTo>
                  <a:pt x="1152017" y="460755"/>
                </a:moveTo>
                <a:lnTo>
                  <a:pt x="1422018" y="460755"/>
                </a:lnTo>
              </a:path>
              <a:path w="1440180" h="1188085">
                <a:moveTo>
                  <a:pt x="18034" y="683895"/>
                </a:moveTo>
                <a:lnTo>
                  <a:pt x="144017" y="683895"/>
                </a:lnTo>
              </a:path>
              <a:path w="1440180" h="1188085">
                <a:moveTo>
                  <a:pt x="288036" y="683895"/>
                </a:moveTo>
                <a:lnTo>
                  <a:pt x="575945" y="683895"/>
                </a:lnTo>
              </a:path>
              <a:path w="1440180" h="1188085">
                <a:moveTo>
                  <a:pt x="719963" y="683895"/>
                </a:moveTo>
                <a:lnTo>
                  <a:pt x="1007999" y="683895"/>
                </a:lnTo>
              </a:path>
              <a:path w="1440180" h="1188085">
                <a:moveTo>
                  <a:pt x="1152017" y="683895"/>
                </a:moveTo>
                <a:lnTo>
                  <a:pt x="1224026" y="683895"/>
                </a:lnTo>
              </a:path>
              <a:path w="1440180" h="1188085">
                <a:moveTo>
                  <a:pt x="1296035" y="683895"/>
                </a:moveTo>
                <a:lnTo>
                  <a:pt x="1422018" y="683895"/>
                </a:lnTo>
              </a:path>
              <a:path w="1440180" h="1188085">
                <a:moveTo>
                  <a:pt x="18034" y="907160"/>
                </a:moveTo>
                <a:lnTo>
                  <a:pt x="144017" y="907160"/>
                </a:lnTo>
              </a:path>
              <a:path w="1440180" h="1188085">
                <a:moveTo>
                  <a:pt x="288036" y="907160"/>
                </a:moveTo>
                <a:lnTo>
                  <a:pt x="575945" y="907160"/>
                </a:lnTo>
              </a:path>
              <a:path w="1440180" h="1188085">
                <a:moveTo>
                  <a:pt x="719963" y="907160"/>
                </a:moveTo>
                <a:lnTo>
                  <a:pt x="863981" y="907160"/>
                </a:lnTo>
              </a:path>
              <a:path w="1440180" h="1188085">
                <a:moveTo>
                  <a:pt x="935990" y="907160"/>
                </a:moveTo>
                <a:lnTo>
                  <a:pt x="1007999" y="907160"/>
                </a:lnTo>
              </a:path>
              <a:path w="1440180" h="1188085">
                <a:moveTo>
                  <a:pt x="1152017" y="907160"/>
                </a:moveTo>
                <a:lnTo>
                  <a:pt x="1224026" y="907160"/>
                </a:lnTo>
              </a:path>
              <a:path w="1440180" h="1188085">
                <a:moveTo>
                  <a:pt x="1296035" y="907160"/>
                </a:moveTo>
                <a:lnTo>
                  <a:pt x="1422018" y="907160"/>
                </a:lnTo>
              </a:path>
              <a:path w="1440180" h="1188085">
                <a:moveTo>
                  <a:pt x="216026" y="1152016"/>
                </a:moveTo>
                <a:lnTo>
                  <a:pt x="216026" y="1187957"/>
                </a:lnTo>
              </a:path>
              <a:path w="1440180" h="1188085">
                <a:moveTo>
                  <a:pt x="431926" y="1152016"/>
                </a:moveTo>
                <a:lnTo>
                  <a:pt x="431926" y="1187957"/>
                </a:lnTo>
              </a:path>
              <a:path w="1440180" h="1188085">
                <a:moveTo>
                  <a:pt x="647953" y="1152016"/>
                </a:moveTo>
                <a:lnTo>
                  <a:pt x="647953" y="1187957"/>
                </a:lnTo>
              </a:path>
              <a:path w="1440180" h="1188085">
                <a:moveTo>
                  <a:pt x="863981" y="1152016"/>
                </a:moveTo>
                <a:lnTo>
                  <a:pt x="863981" y="1187957"/>
                </a:lnTo>
              </a:path>
              <a:path w="1440180" h="1188085">
                <a:moveTo>
                  <a:pt x="1043939" y="1152016"/>
                </a:moveTo>
                <a:lnTo>
                  <a:pt x="1043939" y="1187957"/>
                </a:lnTo>
              </a:path>
              <a:path w="1440180" h="1188085">
                <a:moveTo>
                  <a:pt x="1296035" y="1152016"/>
                </a:moveTo>
                <a:lnTo>
                  <a:pt x="1296035" y="1187957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147193" y="6730"/>
            <a:ext cx="72390" cy="1144905"/>
          </a:xfrm>
          <a:custGeom>
            <a:avLst/>
            <a:gdLst/>
            <a:ahLst/>
            <a:cxnLst/>
            <a:rect l="0" t="0" r="0" b="0"/>
            <a:pathLst>
              <a:path w="72390" h="1144905">
                <a:moveTo>
                  <a:pt x="72009" y="0"/>
                </a:moveTo>
                <a:lnTo>
                  <a:pt x="0" y="0"/>
                </a:lnTo>
                <a:lnTo>
                  <a:pt x="0" y="1144777"/>
                </a:lnTo>
                <a:lnTo>
                  <a:pt x="72009" y="1144777"/>
                </a:lnTo>
                <a:lnTo>
                  <a:pt x="72009" y="0"/>
                </a:lnTo>
                <a:close/>
              </a:path>
            </a:pathLst>
          </a:custGeom>
          <a:solidFill>
            <a:srgbClr val="435466">
              <a:alpha val="50000"/>
            </a:srgbClr>
          </a:solidFill>
        </xdr:spPr>
      </xdr:sp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219202" y="6730"/>
            <a:ext cx="72390" cy="1144905"/>
          </a:xfrm>
          <a:custGeom>
            <a:avLst/>
            <a:gdLst/>
            <a:ahLst/>
            <a:cxnLst/>
            <a:rect l="0" t="0" r="0" b="0"/>
            <a:pathLst>
              <a:path w="72390" h="1144905">
                <a:moveTo>
                  <a:pt x="72009" y="0"/>
                </a:moveTo>
                <a:lnTo>
                  <a:pt x="0" y="0"/>
                </a:lnTo>
                <a:lnTo>
                  <a:pt x="0" y="1144777"/>
                </a:lnTo>
                <a:lnTo>
                  <a:pt x="72009" y="1144777"/>
                </a:lnTo>
                <a:lnTo>
                  <a:pt x="72009" y="0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363220" y="1148537"/>
            <a:ext cx="72390" cy="3175"/>
          </a:xfrm>
          <a:custGeom>
            <a:avLst/>
            <a:gdLst/>
            <a:ahLst/>
            <a:cxnLst/>
            <a:rect l="0" t="0" r="0" b="0"/>
            <a:pathLst>
              <a:path w="72390" h="3175">
                <a:moveTo>
                  <a:pt x="72009" y="0"/>
                </a:moveTo>
                <a:lnTo>
                  <a:pt x="0" y="0"/>
                </a:lnTo>
                <a:lnTo>
                  <a:pt x="0" y="2971"/>
                </a:lnTo>
                <a:lnTo>
                  <a:pt x="72009" y="2971"/>
                </a:lnTo>
                <a:lnTo>
                  <a:pt x="72009" y="0"/>
                </a:lnTo>
                <a:close/>
              </a:path>
            </a:pathLst>
          </a:custGeom>
          <a:solidFill>
            <a:srgbClr val="435466">
              <a:alpha val="50000"/>
            </a:srgbClr>
          </a:solidFill>
        </xdr:spPr>
      </xdr:sp>
      <xdr:sp macro="" textlink="">
        <xdr:nvSpPr>
          <xdr:cNvPr id="35" name="Shape 35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435101" y="1148537"/>
            <a:ext cx="72390" cy="3175"/>
          </a:xfrm>
          <a:custGeom>
            <a:avLst/>
            <a:gdLst/>
            <a:ahLst/>
            <a:cxnLst/>
            <a:rect l="0" t="0" r="0" b="0"/>
            <a:pathLst>
              <a:path w="72390" h="3175">
                <a:moveTo>
                  <a:pt x="72009" y="0"/>
                </a:moveTo>
                <a:lnTo>
                  <a:pt x="0" y="0"/>
                </a:lnTo>
                <a:lnTo>
                  <a:pt x="0" y="2971"/>
                </a:lnTo>
                <a:lnTo>
                  <a:pt x="72009" y="2971"/>
                </a:lnTo>
                <a:lnTo>
                  <a:pt x="72009" y="0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579119" y="120650"/>
            <a:ext cx="72390" cy="1031240"/>
          </a:xfrm>
          <a:custGeom>
            <a:avLst/>
            <a:gdLst/>
            <a:ahLst/>
            <a:cxnLst/>
            <a:rect l="0" t="0" r="0" b="0"/>
            <a:pathLst>
              <a:path w="72390" h="1031240">
                <a:moveTo>
                  <a:pt x="72009" y="0"/>
                </a:moveTo>
                <a:lnTo>
                  <a:pt x="0" y="0"/>
                </a:lnTo>
                <a:lnTo>
                  <a:pt x="0" y="1030858"/>
                </a:lnTo>
                <a:lnTo>
                  <a:pt x="72009" y="1030858"/>
                </a:lnTo>
                <a:lnTo>
                  <a:pt x="72009" y="0"/>
                </a:lnTo>
                <a:close/>
              </a:path>
            </a:pathLst>
          </a:custGeom>
          <a:solidFill>
            <a:srgbClr val="435466">
              <a:alpha val="50000"/>
            </a:srgbClr>
          </a:solidFill>
        </xdr:spPr>
      </xdr:sp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651129" y="120650"/>
            <a:ext cx="72390" cy="1031240"/>
          </a:xfrm>
          <a:custGeom>
            <a:avLst/>
            <a:gdLst/>
            <a:ahLst/>
            <a:cxnLst/>
            <a:rect l="0" t="0" r="0" b="0"/>
            <a:pathLst>
              <a:path w="72390" h="1031240">
                <a:moveTo>
                  <a:pt x="72009" y="0"/>
                </a:moveTo>
                <a:lnTo>
                  <a:pt x="0" y="0"/>
                </a:lnTo>
                <a:lnTo>
                  <a:pt x="0" y="1030858"/>
                </a:lnTo>
                <a:lnTo>
                  <a:pt x="72009" y="1030858"/>
                </a:lnTo>
                <a:lnTo>
                  <a:pt x="72009" y="0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  <xdr:sp macro="" textlink="">
        <xdr:nv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795147" y="949578"/>
            <a:ext cx="72390" cy="201930"/>
          </a:xfrm>
          <a:custGeom>
            <a:avLst/>
            <a:gdLst/>
            <a:ahLst/>
            <a:cxnLst/>
            <a:rect l="0" t="0" r="0" b="0"/>
            <a:pathLst>
              <a:path w="72390" h="201930">
                <a:moveTo>
                  <a:pt x="72009" y="0"/>
                </a:moveTo>
                <a:lnTo>
                  <a:pt x="0" y="0"/>
                </a:lnTo>
                <a:lnTo>
                  <a:pt x="0" y="201929"/>
                </a:lnTo>
                <a:lnTo>
                  <a:pt x="72009" y="201929"/>
                </a:lnTo>
                <a:lnTo>
                  <a:pt x="72009" y="0"/>
                </a:lnTo>
                <a:close/>
              </a:path>
            </a:pathLst>
          </a:custGeom>
          <a:solidFill>
            <a:srgbClr val="435466">
              <a:alpha val="50000"/>
            </a:srgbClr>
          </a:solidFill>
        </xdr:spPr>
      </xdr:sp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867155" y="901827"/>
            <a:ext cx="72390" cy="250190"/>
          </a:xfrm>
          <a:custGeom>
            <a:avLst/>
            <a:gdLst/>
            <a:ahLst/>
            <a:cxnLst/>
            <a:rect l="0" t="0" r="0" b="0"/>
            <a:pathLst>
              <a:path w="72390" h="250190">
                <a:moveTo>
                  <a:pt x="72009" y="0"/>
                </a:moveTo>
                <a:lnTo>
                  <a:pt x="0" y="0"/>
                </a:lnTo>
                <a:lnTo>
                  <a:pt x="0" y="249681"/>
                </a:lnTo>
                <a:lnTo>
                  <a:pt x="72009" y="249681"/>
                </a:lnTo>
                <a:lnTo>
                  <a:pt x="72009" y="0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  <xdr:sp macro="" textlink="">
        <xdr:nvSpPr>
          <xdr:cNvPr id="40" name="Shape 40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011174" y="410972"/>
            <a:ext cx="72390" cy="741045"/>
          </a:xfrm>
          <a:custGeom>
            <a:avLst/>
            <a:gdLst/>
            <a:ahLst/>
            <a:cxnLst/>
            <a:rect l="0" t="0" r="0" b="0"/>
            <a:pathLst>
              <a:path w="72390" h="741045">
                <a:moveTo>
                  <a:pt x="72009" y="0"/>
                </a:moveTo>
                <a:lnTo>
                  <a:pt x="0" y="0"/>
                </a:lnTo>
                <a:lnTo>
                  <a:pt x="0" y="740537"/>
                </a:lnTo>
                <a:lnTo>
                  <a:pt x="72009" y="740537"/>
                </a:lnTo>
                <a:lnTo>
                  <a:pt x="72009" y="0"/>
                </a:lnTo>
                <a:close/>
              </a:path>
            </a:pathLst>
          </a:custGeom>
          <a:solidFill>
            <a:srgbClr val="435466">
              <a:alpha val="50000"/>
            </a:srgbClr>
          </a:solidFill>
        </xdr:spPr>
      </xdr:sp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1083183" y="410972"/>
            <a:ext cx="72390" cy="741045"/>
          </a:xfrm>
          <a:custGeom>
            <a:avLst/>
            <a:gdLst/>
            <a:ahLst/>
            <a:cxnLst/>
            <a:rect l="0" t="0" r="0" b="0"/>
            <a:pathLst>
              <a:path w="72390" h="741045">
                <a:moveTo>
                  <a:pt x="72009" y="0"/>
                </a:moveTo>
                <a:lnTo>
                  <a:pt x="0" y="0"/>
                </a:lnTo>
                <a:lnTo>
                  <a:pt x="0" y="740537"/>
                </a:lnTo>
                <a:lnTo>
                  <a:pt x="72009" y="740537"/>
                </a:lnTo>
                <a:lnTo>
                  <a:pt x="72009" y="0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1227200" y="614933"/>
            <a:ext cx="72390" cy="536575"/>
          </a:xfrm>
          <a:custGeom>
            <a:avLst/>
            <a:gdLst/>
            <a:ahLst/>
            <a:cxnLst/>
            <a:rect l="0" t="0" r="0" b="0"/>
            <a:pathLst>
              <a:path w="72390" h="536575">
                <a:moveTo>
                  <a:pt x="72009" y="0"/>
                </a:moveTo>
                <a:lnTo>
                  <a:pt x="0" y="0"/>
                </a:lnTo>
                <a:lnTo>
                  <a:pt x="0" y="536575"/>
                </a:lnTo>
                <a:lnTo>
                  <a:pt x="72009" y="536575"/>
                </a:lnTo>
                <a:lnTo>
                  <a:pt x="72009" y="0"/>
                </a:lnTo>
                <a:close/>
              </a:path>
            </a:pathLst>
          </a:custGeom>
          <a:solidFill>
            <a:srgbClr val="435466">
              <a:alpha val="50000"/>
            </a:srgbClr>
          </a:solidFill>
        </xdr:spPr>
      </xdr:sp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299210" y="1151508"/>
            <a:ext cx="72390" cy="0"/>
          </a:xfrm>
          <a:custGeom>
            <a:avLst/>
            <a:gdLst/>
            <a:ahLst/>
            <a:cxnLst/>
            <a:rect l="0" t="0" r="0" b="0"/>
            <a:pathLst>
              <a:path w="72390">
                <a:moveTo>
                  <a:pt x="72008" y="0"/>
                </a:moveTo>
                <a:lnTo>
                  <a:pt x="0" y="0"/>
                </a:lnTo>
                <a:lnTo>
                  <a:pt x="72008" y="0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</xdr:grpSp>
    <xdr:clientData/>
  </xdr:oneCellAnchor>
  <xdr:oneCellAnchor>
    <xdr:from>
      <xdr:col>12</xdr:col>
      <xdr:colOff>44323</xdr:colOff>
      <xdr:row>62</xdr:row>
      <xdr:rowOff>680846</xdr:rowOff>
    </xdr:from>
    <xdr:ext cx="78740" cy="78740"/>
    <xdr:grpSp>
      <xdr:nvGrpSpPr>
        <xdr:cNvPr id="44" name="Group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2044573" y="6919721"/>
          <a:ext cx="78740" cy="78740"/>
          <a:chOff x="0" y="0"/>
          <a:chExt cx="78740" cy="78740"/>
        </a:xfrm>
      </xdr:grpSpPr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3175" y="3175"/>
            <a:ext cx="72390" cy="72390"/>
          </a:xfrm>
          <a:custGeom>
            <a:avLst/>
            <a:gdLst/>
            <a:ahLst/>
            <a:cxnLst/>
            <a:rect l="0" t="0" r="0" b="0"/>
            <a:pathLst>
              <a:path w="72390" h="72390">
                <a:moveTo>
                  <a:pt x="72008" y="0"/>
                </a:moveTo>
                <a:lnTo>
                  <a:pt x="0" y="0"/>
                </a:lnTo>
                <a:lnTo>
                  <a:pt x="0" y="72008"/>
                </a:lnTo>
                <a:lnTo>
                  <a:pt x="72008" y="72008"/>
                </a:lnTo>
                <a:lnTo>
                  <a:pt x="72008" y="0"/>
                </a:lnTo>
                <a:close/>
              </a:path>
            </a:pathLst>
          </a:custGeom>
          <a:solidFill>
            <a:srgbClr val="435466"/>
          </a:solidFill>
        </xdr:spPr>
      </xdr:sp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3175" y="3175"/>
            <a:ext cx="72390" cy="72390"/>
          </a:xfrm>
          <a:custGeom>
            <a:avLst/>
            <a:gdLst/>
            <a:ahLst/>
            <a:cxnLst/>
            <a:rect l="0" t="0" r="0" b="0"/>
            <a:pathLst>
              <a:path w="72390" h="72390">
                <a:moveTo>
                  <a:pt x="0" y="0"/>
                </a:moveTo>
                <a:lnTo>
                  <a:pt x="72008" y="0"/>
                </a:lnTo>
                <a:lnTo>
                  <a:pt x="72008" y="72008"/>
                </a:lnTo>
                <a:lnTo>
                  <a:pt x="0" y="7200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12</xdr:col>
      <xdr:colOff>44323</xdr:colOff>
      <xdr:row>62</xdr:row>
      <xdr:rowOff>824865</xdr:rowOff>
    </xdr:from>
    <xdr:ext cx="78740" cy="78740"/>
    <xdr:grpSp>
      <xdr:nvGrpSpPr>
        <xdr:cNvPr id="47" name="Group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2044573" y="7063740"/>
          <a:ext cx="78740" cy="78740"/>
          <a:chOff x="0" y="0"/>
          <a:chExt cx="78740" cy="78740"/>
        </a:xfrm>
      </xdr:grpSpPr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3175" y="3175"/>
            <a:ext cx="72390" cy="72390"/>
          </a:xfrm>
          <a:custGeom>
            <a:avLst/>
            <a:gdLst/>
            <a:ahLst/>
            <a:cxnLst/>
            <a:rect l="0" t="0" r="0" b="0"/>
            <a:pathLst>
              <a:path w="72390" h="72390">
                <a:moveTo>
                  <a:pt x="72008" y="0"/>
                </a:moveTo>
                <a:lnTo>
                  <a:pt x="0" y="0"/>
                </a:lnTo>
                <a:lnTo>
                  <a:pt x="0" y="72008"/>
                </a:lnTo>
                <a:lnTo>
                  <a:pt x="72008" y="72008"/>
                </a:lnTo>
                <a:lnTo>
                  <a:pt x="72008" y="0"/>
                </a:lnTo>
                <a:close/>
              </a:path>
            </a:pathLst>
          </a:custGeom>
          <a:solidFill>
            <a:srgbClr val="85AACD"/>
          </a:solidFill>
        </xdr:spPr>
      </xdr:sp>
      <xdr:sp macro="" textlink="">
        <xdr:nvSpPr>
          <xdr:cNvPr id="49" name="Shape 49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3175" y="3175"/>
            <a:ext cx="72390" cy="72390"/>
          </a:xfrm>
          <a:custGeom>
            <a:avLst/>
            <a:gdLst/>
            <a:ahLst/>
            <a:cxnLst/>
            <a:rect l="0" t="0" r="0" b="0"/>
            <a:pathLst>
              <a:path w="72390" h="72390">
                <a:moveTo>
                  <a:pt x="0" y="0"/>
                </a:moveTo>
                <a:lnTo>
                  <a:pt x="72008" y="0"/>
                </a:lnTo>
                <a:lnTo>
                  <a:pt x="72008" y="72008"/>
                </a:lnTo>
                <a:lnTo>
                  <a:pt x="0" y="7200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159004</xdr:colOff>
      <xdr:row>82</xdr:row>
      <xdr:rowOff>0</xdr:rowOff>
    </xdr:from>
    <xdr:ext cx="3960495" cy="325120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3960495" cy="325120"/>
        </a:xfrm>
        <a:custGeom>
          <a:avLst/>
          <a:gdLst/>
          <a:ahLst/>
          <a:cxnLst/>
          <a:rect l="0" t="0" r="0" b="0"/>
          <a:pathLst>
            <a:path w="3960495" h="325120">
              <a:moveTo>
                <a:pt x="2375916" y="0"/>
              </a:moveTo>
              <a:lnTo>
                <a:pt x="1583944" y="0"/>
              </a:lnTo>
              <a:lnTo>
                <a:pt x="791972" y="0"/>
              </a:lnTo>
              <a:lnTo>
                <a:pt x="0" y="0"/>
              </a:lnTo>
              <a:lnTo>
                <a:pt x="0" y="144018"/>
              </a:lnTo>
              <a:lnTo>
                <a:pt x="0" y="181102"/>
              </a:lnTo>
              <a:lnTo>
                <a:pt x="0" y="325120"/>
              </a:lnTo>
              <a:lnTo>
                <a:pt x="791972" y="325120"/>
              </a:lnTo>
              <a:lnTo>
                <a:pt x="1583944" y="325120"/>
              </a:lnTo>
              <a:lnTo>
                <a:pt x="2375916" y="325120"/>
              </a:lnTo>
              <a:lnTo>
                <a:pt x="2375916" y="181102"/>
              </a:lnTo>
              <a:lnTo>
                <a:pt x="2375916" y="144018"/>
              </a:lnTo>
              <a:lnTo>
                <a:pt x="2375916" y="0"/>
              </a:lnTo>
              <a:close/>
            </a:path>
            <a:path w="3960495" h="325120">
              <a:moveTo>
                <a:pt x="3959987" y="0"/>
              </a:moveTo>
              <a:lnTo>
                <a:pt x="3168015" y="0"/>
              </a:lnTo>
              <a:lnTo>
                <a:pt x="2376043" y="0"/>
              </a:lnTo>
              <a:lnTo>
                <a:pt x="2376043" y="144018"/>
              </a:lnTo>
              <a:lnTo>
                <a:pt x="2376043" y="181102"/>
              </a:lnTo>
              <a:lnTo>
                <a:pt x="2376043" y="325120"/>
              </a:lnTo>
              <a:lnTo>
                <a:pt x="3168015" y="325120"/>
              </a:lnTo>
              <a:lnTo>
                <a:pt x="3959987" y="325120"/>
              </a:lnTo>
              <a:lnTo>
                <a:pt x="3959987" y="181102"/>
              </a:lnTo>
              <a:lnTo>
                <a:pt x="3959987" y="144018"/>
              </a:lnTo>
              <a:lnTo>
                <a:pt x="39599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410589</xdr:colOff>
      <xdr:row>40</xdr:row>
      <xdr:rowOff>67588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C51072-730F-3A17-5F25-85A3155BC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68589" cy="6544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cmfchile.cl/" TargetMode="External"/><Relationship Id="rId1" Type="http://schemas.openxmlformats.org/officeDocument/2006/relationships/hyperlink" Target="mailto:ACCOUNTS.CHILE@DESWIK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2"/>
  <sheetViews>
    <sheetView tabSelected="1" topLeftCell="A33" workbookViewId="0">
      <selection activeCell="AV50" sqref="AV50"/>
    </sheetView>
  </sheetViews>
  <sheetFormatPr baseColWidth="10" defaultColWidth="9.33203125" defaultRowHeight="12.75"/>
  <cols>
    <col min="1" max="1" width="6.83203125" style="1" customWidth="1"/>
    <col min="2" max="2" width="5.83203125" style="1" customWidth="1"/>
    <col min="3" max="3" width="1.1640625" style="1" customWidth="1"/>
    <col min="4" max="4" width="2.1640625" style="1" customWidth="1"/>
    <col min="5" max="7" width="3.33203125" style="1" customWidth="1"/>
    <col min="8" max="8" width="2.1640625" style="1" customWidth="1"/>
    <col min="9" max="9" width="3.33203125" style="1" customWidth="1"/>
    <col min="10" max="12" width="1.1640625" style="1" customWidth="1"/>
    <col min="13" max="15" width="2.1640625" style="1" customWidth="1"/>
    <col min="16" max="16" width="3.33203125" style="1" customWidth="1"/>
    <col min="17" max="18" width="2.1640625" style="1" customWidth="1"/>
    <col min="19" max="20" width="1.1640625" style="1" customWidth="1"/>
    <col min="21" max="21" width="2.1640625" style="1" customWidth="1"/>
    <col min="22" max="24" width="1.1640625" style="1" customWidth="1"/>
    <col min="25" max="25" width="3.33203125" style="1" customWidth="1"/>
    <col min="26" max="26" width="6.83203125" style="1" customWidth="1"/>
    <col min="27" max="27" width="2.1640625" style="1" customWidth="1"/>
    <col min="28" max="28" width="5.83203125" style="1" customWidth="1"/>
    <col min="29" max="29" width="1.1640625" style="1" customWidth="1"/>
    <col min="30" max="30" width="4.6640625" style="1" customWidth="1"/>
    <col min="31" max="31" width="2.1640625" style="1" customWidth="1"/>
    <col min="32" max="32" width="5.83203125" style="1" customWidth="1"/>
    <col min="33" max="33" width="8" style="1" customWidth="1"/>
    <col min="34" max="34" width="6.83203125" style="1" customWidth="1"/>
    <col min="35" max="35" width="4.6640625" style="1" customWidth="1"/>
    <col min="36" max="36" width="2.1640625" style="1" customWidth="1"/>
    <col min="37" max="37" width="14" style="1" customWidth="1"/>
    <col min="38" max="38" width="1" style="1" customWidth="1"/>
    <col min="39" max="39" width="4" style="1" customWidth="1"/>
    <col min="40" max="40" width="13.33203125" style="1" bestFit="1" customWidth="1"/>
    <col min="41" max="46" width="9.33203125" style="1"/>
    <col min="47" max="47" width="10.1640625" style="1" bestFit="1" customWidth="1"/>
    <col min="48" max="48" width="11.33203125" style="1" bestFit="1" customWidth="1"/>
    <col min="49" max="49" width="13.1640625" style="1" bestFit="1" customWidth="1"/>
    <col min="50" max="50" width="11.6640625" style="1" bestFit="1" customWidth="1"/>
    <col min="51" max="16384" width="9.33203125" style="1"/>
  </cols>
  <sheetData>
    <row r="1" spans="1:38" ht="12" customHeight="1">
      <c r="A1" s="91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209"/>
    </row>
    <row r="2" spans="1:38" ht="12" customHeight="1">
      <c r="A2" s="46" t="s">
        <v>1</v>
      </c>
      <c r="B2" s="47"/>
      <c r="C2" s="47"/>
      <c r="D2" s="47"/>
      <c r="E2" s="47"/>
      <c r="F2" s="47"/>
      <c r="G2" s="47"/>
      <c r="H2" s="48"/>
      <c r="I2" s="46" t="s">
        <v>2</v>
      </c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8"/>
    </row>
    <row r="3" spans="1:38" ht="12" customHeight="1">
      <c r="A3" s="49" t="s">
        <v>3</v>
      </c>
      <c r="B3" s="50"/>
      <c r="C3" s="50"/>
      <c r="D3" s="50"/>
      <c r="E3" s="50"/>
      <c r="F3" s="50"/>
      <c r="G3" s="50"/>
      <c r="H3" s="51"/>
      <c r="I3" s="49" t="s">
        <v>4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1"/>
    </row>
    <row r="4" spans="1:38" ht="15" customHeight="1">
      <c r="A4" s="52" t="s">
        <v>5</v>
      </c>
      <c r="B4" s="53"/>
      <c r="C4" s="53"/>
      <c r="D4" s="53"/>
      <c r="E4" s="53"/>
      <c r="F4" s="53"/>
      <c r="G4" s="53"/>
      <c r="H4" s="54"/>
      <c r="I4" s="210">
        <v>45772</v>
      </c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1"/>
      <c r="AE4" s="211"/>
      <c r="AF4" s="211"/>
      <c r="AG4" s="211"/>
      <c r="AH4" s="211"/>
      <c r="AI4" s="211"/>
      <c r="AJ4" s="211"/>
      <c r="AK4" s="212"/>
    </row>
    <row r="5" spans="1:38" ht="12" hidden="1" customHeight="1">
      <c r="A5" s="213">
        <v>558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</row>
    <row r="6" spans="1:38" ht="20.45" hidden="1" customHeight="1">
      <c r="A6" s="214" t="s">
        <v>6</v>
      </c>
      <c r="B6" s="214"/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  <c r="AL6" s="214"/>
    </row>
    <row r="7" spans="1:38" ht="12" hidden="1" customHeight="1">
      <c r="A7" s="188" t="s">
        <v>7</v>
      </c>
      <c r="B7" s="189"/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89"/>
      <c r="AD7" s="189"/>
      <c r="AE7" s="189"/>
      <c r="AF7" s="189"/>
      <c r="AG7" s="189"/>
      <c r="AH7" s="189"/>
      <c r="AI7" s="189"/>
      <c r="AJ7" s="189"/>
      <c r="AK7" s="190"/>
    </row>
    <row r="8" spans="1:38" ht="12" hidden="1" customHeight="1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7"/>
      <c r="N8" s="68" t="s">
        <v>8</v>
      </c>
      <c r="O8" s="69"/>
      <c r="P8" s="69"/>
      <c r="Q8" s="69"/>
      <c r="R8" s="69"/>
      <c r="S8" s="69"/>
      <c r="T8" s="69"/>
      <c r="U8" s="69"/>
      <c r="V8" s="69"/>
      <c r="W8" s="70"/>
      <c r="X8" s="68" t="s">
        <v>9</v>
      </c>
      <c r="Y8" s="69"/>
      <c r="Z8" s="69"/>
      <c r="AA8" s="69"/>
      <c r="AB8" s="69"/>
      <c r="AC8" s="70"/>
      <c r="AD8" s="68" t="s">
        <v>10</v>
      </c>
      <c r="AE8" s="69"/>
      <c r="AF8" s="69"/>
      <c r="AG8" s="70"/>
    </row>
    <row r="9" spans="1:38" ht="12" hidden="1" customHeight="1">
      <c r="A9" s="155" t="s">
        <v>11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56"/>
      <c r="N9" s="152">
        <v>5000000</v>
      </c>
      <c r="O9" s="153"/>
      <c r="P9" s="153"/>
      <c r="Q9" s="153"/>
      <c r="R9" s="153"/>
      <c r="S9" s="153"/>
      <c r="T9" s="153"/>
      <c r="U9" s="153"/>
      <c r="V9" s="153"/>
      <c r="W9" s="154"/>
      <c r="X9" s="152">
        <v>1901018</v>
      </c>
      <c r="Y9" s="153"/>
      <c r="Z9" s="153"/>
      <c r="AA9" s="153"/>
      <c r="AB9" s="153"/>
      <c r="AC9" s="154"/>
      <c r="AD9" s="152">
        <v>3098982</v>
      </c>
      <c r="AE9" s="153"/>
      <c r="AF9" s="153"/>
      <c r="AG9" s="154"/>
    </row>
    <row r="10" spans="1:38" ht="12" hidden="1" customHeight="1">
      <c r="A10" s="155" t="s">
        <v>12</v>
      </c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56"/>
      <c r="N10" s="152">
        <v>4750000</v>
      </c>
      <c r="O10" s="153"/>
      <c r="P10" s="153"/>
      <c r="Q10" s="153"/>
      <c r="R10" s="153"/>
      <c r="S10" s="153"/>
      <c r="T10" s="153"/>
      <c r="U10" s="153"/>
      <c r="V10" s="153"/>
      <c r="W10" s="154"/>
      <c r="X10" s="61">
        <v>0</v>
      </c>
      <c r="Y10" s="62"/>
      <c r="Z10" s="62"/>
      <c r="AA10" s="62"/>
      <c r="AB10" s="62"/>
      <c r="AC10" s="63"/>
      <c r="AD10" s="152">
        <v>3098982</v>
      </c>
      <c r="AE10" s="153"/>
      <c r="AF10" s="153"/>
      <c r="AG10" s="154"/>
    </row>
    <row r="11" spans="1:38" ht="18" hidden="1" customHeight="1">
      <c r="A11" s="194" t="s">
        <v>13</v>
      </c>
      <c r="B11" s="195"/>
      <c r="C11" s="195"/>
      <c r="D11" s="195"/>
      <c r="E11" s="196"/>
    </row>
    <row r="12" spans="1:38" ht="22.7" hidden="1" customHeight="1">
      <c r="A12" s="197">
        <v>0</v>
      </c>
      <c r="B12" s="198"/>
      <c r="C12" s="198"/>
      <c r="D12" s="198"/>
      <c r="E12" s="199"/>
    </row>
    <row r="13" spans="1:38" ht="28.35" hidden="1" customHeight="1">
      <c r="A13" s="200" t="s">
        <v>14</v>
      </c>
      <c r="B13" s="201"/>
      <c r="C13" s="201"/>
      <c r="D13" s="201"/>
      <c r="E13" s="202"/>
    </row>
    <row r="14" spans="1:38" ht="12" hidden="1" customHeight="1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7"/>
      <c r="N14" s="77" t="s">
        <v>15</v>
      </c>
      <c r="O14" s="78"/>
      <c r="P14" s="78"/>
      <c r="Q14" s="78"/>
      <c r="R14" s="78"/>
      <c r="S14" s="78"/>
      <c r="T14" s="78"/>
      <c r="U14" s="78"/>
      <c r="V14" s="78"/>
      <c r="W14" s="79"/>
      <c r="X14" s="203" t="s">
        <v>16</v>
      </c>
      <c r="Y14" s="204"/>
      <c r="Z14" s="204"/>
      <c r="AA14" s="204"/>
      <c r="AB14" s="204"/>
      <c r="AC14" s="205"/>
      <c r="AD14" s="206" t="s">
        <v>17</v>
      </c>
      <c r="AE14" s="207"/>
      <c r="AF14" s="207"/>
      <c r="AG14" s="208"/>
    </row>
    <row r="15" spans="1:38" ht="12" hidden="1" customHeight="1">
      <c r="A15" s="155" t="s">
        <v>18</v>
      </c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56"/>
      <c r="N15" s="191">
        <v>2.5999999999999999E-2</v>
      </c>
      <c r="O15" s="192"/>
      <c r="P15" s="192"/>
      <c r="Q15" s="192"/>
      <c r="R15" s="192"/>
      <c r="S15" s="192"/>
      <c r="T15" s="192"/>
      <c r="U15" s="192"/>
      <c r="V15" s="192"/>
      <c r="W15" s="193"/>
      <c r="X15" s="191">
        <v>2.5999999999999999E-2</v>
      </c>
      <c r="Y15" s="192"/>
      <c r="Z15" s="192"/>
      <c r="AA15" s="192"/>
      <c r="AB15" s="192"/>
      <c r="AC15" s="193"/>
      <c r="AD15" s="191">
        <v>2.5999999999999999E-2</v>
      </c>
      <c r="AE15" s="192"/>
      <c r="AF15" s="192"/>
      <c r="AG15" s="193"/>
    </row>
    <row r="16" spans="1:38" ht="12" hidden="1" customHeight="1">
      <c r="A16" s="155" t="s">
        <v>19</v>
      </c>
      <c r="B16" s="174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56"/>
      <c r="N16" s="191">
        <v>0.4168</v>
      </c>
      <c r="O16" s="192"/>
      <c r="P16" s="192"/>
      <c r="Q16" s="192"/>
      <c r="R16" s="192"/>
      <c r="S16" s="192"/>
      <c r="T16" s="192"/>
      <c r="U16" s="192"/>
      <c r="V16" s="192"/>
      <c r="W16" s="193"/>
      <c r="X16" s="191">
        <v>0.44219999999999998</v>
      </c>
      <c r="Y16" s="192"/>
      <c r="Z16" s="192"/>
      <c r="AA16" s="192"/>
      <c r="AB16" s="192"/>
      <c r="AC16" s="193"/>
      <c r="AD16" s="191">
        <v>0.44219999999999998</v>
      </c>
      <c r="AE16" s="192"/>
      <c r="AF16" s="192"/>
      <c r="AG16" s="193"/>
    </row>
    <row r="17" spans="1:38" ht="12" hidden="1" customHeight="1">
      <c r="A17" s="66"/>
      <c r="B17" s="66"/>
      <c r="C17" s="66"/>
      <c r="D17" s="66"/>
      <c r="E17" s="66"/>
      <c r="F17" s="67"/>
      <c r="G17" s="31" t="s">
        <v>20</v>
      </c>
      <c r="H17" s="32"/>
      <c r="I17" s="33"/>
      <c r="J17" s="31" t="s">
        <v>21</v>
      </c>
      <c r="K17" s="32"/>
      <c r="L17" s="32"/>
      <c r="M17" s="32"/>
      <c r="N17" s="32"/>
      <c r="O17" s="33"/>
    </row>
    <row r="18" spans="1:38" ht="12" hidden="1" customHeight="1">
      <c r="A18" s="155" t="s">
        <v>22</v>
      </c>
      <c r="B18" s="174"/>
      <c r="C18" s="174"/>
      <c r="D18" s="174"/>
      <c r="E18" s="174"/>
      <c r="F18" s="156"/>
      <c r="G18" s="37">
        <v>45744</v>
      </c>
      <c r="H18" s="38"/>
      <c r="I18" s="39"/>
      <c r="J18" s="37">
        <v>45772</v>
      </c>
      <c r="K18" s="38"/>
      <c r="L18" s="38"/>
      <c r="M18" s="38"/>
      <c r="N18" s="38"/>
      <c r="O18" s="39"/>
    </row>
    <row r="19" spans="1:38" ht="12" hidden="1" customHeight="1">
      <c r="A19" s="155" t="s">
        <v>23</v>
      </c>
      <c r="B19" s="174"/>
      <c r="C19" s="174"/>
      <c r="D19" s="174"/>
      <c r="E19" s="174"/>
      <c r="F19" s="156"/>
      <c r="G19" s="184">
        <v>45792</v>
      </c>
      <c r="H19" s="185"/>
      <c r="I19" s="185"/>
      <c r="J19" s="185"/>
      <c r="K19" s="185"/>
      <c r="L19" s="185"/>
      <c r="M19" s="185"/>
      <c r="N19" s="185"/>
      <c r="O19" s="186"/>
    </row>
    <row r="20" spans="1:38" ht="28.7" hidden="1" customHeight="1">
      <c r="A20" s="187" t="s">
        <v>24</v>
      </c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  <c r="AE20" s="187"/>
      <c r="AF20" s="187"/>
      <c r="AG20" s="187"/>
      <c r="AH20" s="187"/>
      <c r="AI20" s="187"/>
      <c r="AJ20" s="187"/>
      <c r="AK20" s="187"/>
      <c r="AL20" s="187"/>
    </row>
    <row r="21" spans="1:38" ht="12" hidden="1" customHeight="1">
      <c r="A21" s="188" t="s">
        <v>25</v>
      </c>
      <c r="B21" s="189"/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89"/>
      <c r="Z21" s="189"/>
      <c r="AA21" s="189"/>
      <c r="AB21" s="189"/>
      <c r="AC21" s="189"/>
      <c r="AD21" s="189"/>
      <c r="AE21" s="189"/>
      <c r="AF21" s="189"/>
      <c r="AG21" s="189"/>
      <c r="AH21" s="189"/>
      <c r="AI21" s="189"/>
      <c r="AJ21" s="189"/>
      <c r="AK21" s="190"/>
    </row>
    <row r="22" spans="1:38" ht="12" hidden="1" customHeight="1">
      <c r="A22" s="40" t="s">
        <v>26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2"/>
      <c r="U22" s="68" t="s">
        <v>27</v>
      </c>
      <c r="V22" s="69"/>
      <c r="W22" s="69"/>
      <c r="X22" s="69"/>
      <c r="Y22" s="69"/>
      <c r="Z22" s="70"/>
      <c r="AA22" s="68" t="s">
        <v>28</v>
      </c>
      <c r="AB22" s="69"/>
      <c r="AC22" s="69"/>
      <c r="AD22" s="69"/>
      <c r="AE22" s="70"/>
    </row>
    <row r="23" spans="1:38" ht="12" hidden="1" customHeight="1">
      <c r="A23" s="155" t="s">
        <v>29</v>
      </c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56"/>
      <c r="U23" s="37">
        <v>45715</v>
      </c>
      <c r="V23" s="38"/>
      <c r="W23" s="38"/>
      <c r="X23" s="38"/>
      <c r="Y23" s="38"/>
      <c r="Z23" s="39"/>
      <c r="AA23" s="37">
        <v>45743</v>
      </c>
      <c r="AB23" s="38"/>
      <c r="AC23" s="38"/>
      <c r="AD23" s="38"/>
      <c r="AE23" s="39"/>
    </row>
    <row r="24" spans="1:38" ht="12" hidden="1" customHeight="1">
      <c r="A24" s="123" t="s">
        <v>30</v>
      </c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6"/>
      <c r="R24" s="176"/>
      <c r="S24" s="176"/>
      <c r="T24" s="177"/>
      <c r="U24" s="105">
        <v>-168986</v>
      </c>
      <c r="V24" s="106"/>
      <c r="W24" s="106"/>
      <c r="X24" s="106"/>
      <c r="Y24" s="106"/>
      <c r="Z24" s="107"/>
      <c r="AA24" s="111"/>
      <c r="AB24" s="95"/>
      <c r="AC24" s="95"/>
      <c r="AD24" s="95"/>
      <c r="AE24" s="95"/>
    </row>
    <row r="25" spans="1:38" ht="12" hidden="1" customHeight="1">
      <c r="A25" s="134" t="s">
        <v>31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9" t="s">
        <v>32</v>
      </c>
      <c r="R25" s="179"/>
      <c r="S25" s="179"/>
      <c r="T25" s="180"/>
      <c r="U25" s="71">
        <v>2623654</v>
      </c>
      <c r="V25" s="72"/>
      <c r="W25" s="72"/>
      <c r="X25" s="72"/>
      <c r="Y25" s="72"/>
      <c r="Z25" s="73"/>
      <c r="AA25" s="113"/>
      <c r="AB25" s="97"/>
      <c r="AC25" s="97"/>
      <c r="AD25" s="97"/>
      <c r="AE25" s="97"/>
    </row>
    <row r="26" spans="1:38" ht="12" hidden="1" customHeight="1">
      <c r="A26" s="134" t="s">
        <v>33</v>
      </c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81"/>
      <c r="R26" s="181"/>
      <c r="S26" s="181"/>
      <c r="T26" s="182"/>
      <c r="U26" s="71">
        <v>-2623654</v>
      </c>
      <c r="V26" s="72"/>
      <c r="W26" s="72"/>
      <c r="X26" s="72"/>
      <c r="Y26" s="72"/>
      <c r="Z26" s="73"/>
      <c r="AA26" s="113"/>
      <c r="AB26" s="97"/>
      <c r="AC26" s="97"/>
      <c r="AD26" s="97"/>
      <c r="AE26" s="97"/>
    </row>
    <row r="27" spans="1:38" ht="12" hidden="1" customHeight="1">
      <c r="A27" s="89" t="s">
        <v>34</v>
      </c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66"/>
      <c r="R27" s="66"/>
      <c r="S27" s="66"/>
      <c r="T27" s="67"/>
      <c r="U27" s="74">
        <v>0</v>
      </c>
      <c r="V27" s="75"/>
      <c r="W27" s="75"/>
      <c r="X27" s="75"/>
      <c r="Y27" s="75"/>
      <c r="Z27" s="76"/>
      <c r="AA27" s="113"/>
      <c r="AB27" s="97"/>
      <c r="AC27" s="97"/>
      <c r="AD27" s="97"/>
      <c r="AE27" s="97"/>
    </row>
    <row r="28" spans="1:38" ht="12" customHeight="1">
      <c r="A28" s="40" t="s">
        <v>35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2"/>
    </row>
    <row r="29" spans="1:38" ht="12" customHeight="1">
      <c r="A29" s="46" t="s">
        <v>36</v>
      </c>
      <c r="B29" s="48"/>
      <c r="C29" s="46" t="s">
        <v>37</v>
      </c>
      <c r="D29" s="47"/>
      <c r="E29" s="47"/>
      <c r="F29" s="48"/>
      <c r="G29" s="46" t="s">
        <v>38</v>
      </c>
      <c r="H29" s="47"/>
      <c r="I29" s="47"/>
      <c r="J29" s="47"/>
      <c r="K29" s="48"/>
      <c r="L29" s="46" t="s">
        <v>39</v>
      </c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8"/>
      <c r="AC29" s="111" t="s">
        <v>40</v>
      </c>
      <c r="AD29" s="95"/>
      <c r="AE29" s="95"/>
      <c r="AF29" s="112"/>
      <c r="AG29" s="111" t="s">
        <v>41</v>
      </c>
      <c r="AH29" s="112"/>
      <c r="AI29" s="163" t="s">
        <v>42</v>
      </c>
      <c r="AJ29" s="164"/>
      <c r="AK29" s="165"/>
    </row>
    <row r="30" spans="1:38" ht="24" customHeight="1">
      <c r="A30" s="52"/>
      <c r="B30" s="54"/>
      <c r="C30" s="52"/>
      <c r="D30" s="53"/>
      <c r="E30" s="53"/>
      <c r="F30" s="54"/>
      <c r="G30" s="52"/>
      <c r="H30" s="53"/>
      <c r="I30" s="53"/>
      <c r="J30" s="53"/>
      <c r="K30" s="54"/>
      <c r="L30" s="52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4"/>
      <c r="AC30" s="115"/>
      <c r="AD30" s="162"/>
      <c r="AE30" s="162"/>
      <c r="AF30" s="116"/>
      <c r="AG30" s="115"/>
      <c r="AH30" s="116"/>
      <c r="AI30" s="34" t="s">
        <v>43</v>
      </c>
      <c r="AJ30" s="36"/>
      <c r="AK30" s="3" t="s">
        <v>44</v>
      </c>
    </row>
    <row r="31" spans="1:38" ht="12" customHeight="1">
      <c r="A31" s="68" t="s">
        <v>45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70"/>
    </row>
    <row r="32" spans="1:38" ht="12" customHeight="1">
      <c r="A32" s="25"/>
      <c r="B32" s="27"/>
      <c r="C32" s="37">
        <v>45762</v>
      </c>
      <c r="D32" s="38"/>
      <c r="E32" s="38"/>
      <c r="F32" s="39"/>
      <c r="G32" s="149">
        <v>150400000000</v>
      </c>
      <c r="H32" s="150"/>
      <c r="I32" s="150"/>
      <c r="J32" s="150"/>
      <c r="K32" s="151"/>
      <c r="L32" s="34" t="s">
        <v>46</v>
      </c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6"/>
      <c r="AC32" s="152">
        <v>-2623654</v>
      </c>
      <c r="AD32" s="153"/>
      <c r="AE32" s="153"/>
      <c r="AF32" s="154"/>
      <c r="AG32" s="152">
        <v>-2623654</v>
      </c>
      <c r="AH32" s="154"/>
      <c r="AI32" s="155" t="s">
        <v>47</v>
      </c>
      <c r="AJ32" s="156"/>
      <c r="AK32" s="4">
        <v>-2623654</v>
      </c>
    </row>
    <row r="33" spans="1:48" ht="12" customHeight="1">
      <c r="A33" s="172" t="s">
        <v>48</v>
      </c>
      <c r="B33" s="173"/>
      <c r="C33" s="173"/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  <c r="AG33" s="173"/>
      <c r="AH33" s="173"/>
      <c r="AI33" s="173"/>
      <c r="AJ33" s="2" t="s">
        <v>49</v>
      </c>
      <c r="AK33" s="5" t="s">
        <v>50</v>
      </c>
    </row>
    <row r="34" spans="1:48" ht="12" customHeight="1">
      <c r="A34" s="25"/>
      <c r="B34" s="27"/>
      <c r="C34" s="25"/>
      <c r="D34" s="26"/>
      <c r="E34" s="26"/>
      <c r="F34" s="27"/>
      <c r="G34" s="25"/>
      <c r="H34" s="26"/>
      <c r="I34" s="26"/>
      <c r="J34" s="26"/>
      <c r="K34" s="27"/>
      <c r="L34" s="34" t="s">
        <v>51</v>
      </c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6"/>
      <c r="AC34" s="25"/>
      <c r="AD34" s="26"/>
      <c r="AE34" s="26"/>
      <c r="AF34" s="27"/>
      <c r="AG34" s="25"/>
      <c r="AH34" s="27"/>
      <c r="AI34" s="25"/>
      <c r="AJ34" s="27"/>
      <c r="AK34" s="7"/>
    </row>
    <row r="35" spans="1:48" ht="12" customHeight="1">
      <c r="A35" s="170" t="s">
        <v>52</v>
      </c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2" t="s">
        <v>53</v>
      </c>
      <c r="AK35" s="5" t="s">
        <v>54</v>
      </c>
      <c r="AN35" s="13" t="s">
        <v>122</v>
      </c>
      <c r="AO35" s="13" t="s">
        <v>123</v>
      </c>
      <c r="AP35" s="13" t="s">
        <v>124</v>
      </c>
      <c r="AQ35" s="13" t="s">
        <v>125</v>
      </c>
      <c r="AR35" s="14"/>
      <c r="AS35" s="14"/>
      <c r="AT35" s="14"/>
      <c r="AU35" s="14"/>
      <c r="AV35"/>
    </row>
    <row r="36" spans="1:48" ht="12" customHeight="1">
      <c r="A36" s="46" t="s">
        <v>55</v>
      </c>
      <c r="B36" s="48"/>
      <c r="C36" s="117">
        <v>45743</v>
      </c>
      <c r="D36" s="118"/>
      <c r="E36" s="118"/>
      <c r="F36" s="119"/>
      <c r="G36" s="120">
        <v>280314027742</v>
      </c>
      <c r="H36" s="121"/>
      <c r="I36" s="121"/>
      <c r="J36" s="121"/>
      <c r="K36" s="122"/>
      <c r="L36" s="46" t="s">
        <v>56</v>
      </c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8"/>
      <c r="AC36" s="105">
        <v>17977</v>
      </c>
      <c r="AD36" s="106"/>
      <c r="AE36" s="106"/>
      <c r="AF36" s="107"/>
      <c r="AG36" s="105">
        <v>17977</v>
      </c>
      <c r="AH36" s="107"/>
      <c r="AI36" s="123" t="s">
        <v>47</v>
      </c>
      <c r="AJ36" s="124"/>
      <c r="AK36" s="8">
        <v>17977</v>
      </c>
      <c r="AN36" s="15" t="s">
        <v>126</v>
      </c>
      <c r="AO36" s="14"/>
      <c r="AP36" s="14"/>
      <c r="AQ36" s="14">
        <f t="shared" ref="AQ36:AQ54" si="0">VLOOKUP(AN36,AS:AT,2,0)</f>
        <v>8040708</v>
      </c>
      <c r="AR36" s="15"/>
      <c r="AS36" s="14"/>
      <c r="AT36" s="14"/>
      <c r="AU36" s="14"/>
      <c r="AV36"/>
    </row>
    <row r="37" spans="1:48" ht="12" customHeight="1">
      <c r="A37" s="49" t="s">
        <v>55</v>
      </c>
      <c r="B37" s="51"/>
      <c r="C37" s="125">
        <v>45751</v>
      </c>
      <c r="D37" s="126"/>
      <c r="E37" s="126"/>
      <c r="F37" s="127"/>
      <c r="G37" s="167">
        <v>70405364657</v>
      </c>
      <c r="H37" s="168"/>
      <c r="I37" s="168"/>
      <c r="J37" s="168"/>
      <c r="K37" s="169"/>
      <c r="L37" s="49" t="s">
        <v>57</v>
      </c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1"/>
      <c r="AC37" s="71">
        <v>51210</v>
      </c>
      <c r="AD37" s="72"/>
      <c r="AE37" s="72"/>
      <c r="AF37" s="73"/>
      <c r="AG37" s="71">
        <v>51210</v>
      </c>
      <c r="AH37" s="73"/>
      <c r="AI37" s="134" t="s">
        <v>47</v>
      </c>
      <c r="AJ37" s="135"/>
      <c r="AK37" s="9">
        <v>51210</v>
      </c>
      <c r="AN37" s="14" t="s">
        <v>127</v>
      </c>
      <c r="AO37" s="14"/>
      <c r="AP37" s="14"/>
      <c r="AQ37" s="14">
        <f t="shared" si="0"/>
        <v>8040706</v>
      </c>
      <c r="AR37" s="14"/>
      <c r="AS37" s="14"/>
      <c r="AT37" s="14"/>
      <c r="AU37" s="14"/>
      <c r="AV37"/>
    </row>
    <row r="38" spans="1:48" ht="12" customHeight="1">
      <c r="A38" s="52" t="s">
        <v>55</v>
      </c>
      <c r="B38" s="54"/>
      <c r="C38" s="136">
        <v>45769</v>
      </c>
      <c r="D38" s="137"/>
      <c r="E38" s="137"/>
      <c r="F38" s="138"/>
      <c r="G38" s="139">
        <v>230410317284</v>
      </c>
      <c r="H38" s="140"/>
      <c r="I38" s="140"/>
      <c r="J38" s="140"/>
      <c r="K38" s="141"/>
      <c r="L38" s="52" t="s">
        <v>58</v>
      </c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4"/>
      <c r="AC38" s="87">
        <v>325710</v>
      </c>
      <c r="AD38" s="142"/>
      <c r="AE38" s="142"/>
      <c r="AF38" s="88"/>
      <c r="AG38" s="87">
        <v>325710</v>
      </c>
      <c r="AH38" s="88"/>
      <c r="AI38" s="89" t="s">
        <v>47</v>
      </c>
      <c r="AJ38" s="90"/>
      <c r="AK38" s="10">
        <v>325710</v>
      </c>
      <c r="AN38" s="14" t="s">
        <v>127</v>
      </c>
      <c r="AO38" s="15"/>
      <c r="AP38" s="14"/>
      <c r="AQ38" s="14">
        <f t="shared" si="0"/>
        <v>8040706</v>
      </c>
      <c r="AR38" s="14"/>
      <c r="AS38" s="15" t="s">
        <v>126</v>
      </c>
      <c r="AT38" s="14">
        <v>8040708</v>
      </c>
      <c r="AU38" s="17">
        <f>SUMIF(AQ:AQ,AT38,AK:AK)</f>
        <v>17977</v>
      </c>
      <c r="AV38"/>
    </row>
    <row r="39" spans="1:48" ht="12" customHeight="1">
      <c r="A39" s="40" t="s">
        <v>35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2"/>
      <c r="AN39" s="15"/>
      <c r="AO39" s="14"/>
      <c r="AP39" s="14"/>
      <c r="AQ39" s="14"/>
      <c r="AR39" s="14"/>
      <c r="AS39" s="14" t="s">
        <v>128</v>
      </c>
      <c r="AT39" s="14">
        <v>8050701</v>
      </c>
      <c r="AU39" s="17">
        <f t="shared" ref="AU39:AV50" si="1">SUMIF(AQ:AQ,AT39,AK:AK)</f>
        <v>0</v>
      </c>
      <c r="AV39"/>
    </row>
    <row r="40" spans="1:48" ht="12" customHeight="1">
      <c r="A40" s="46" t="s">
        <v>36</v>
      </c>
      <c r="B40" s="48"/>
      <c r="C40" s="46" t="s">
        <v>37</v>
      </c>
      <c r="D40" s="47"/>
      <c r="E40" s="47"/>
      <c r="F40" s="48"/>
      <c r="G40" s="46" t="s">
        <v>38</v>
      </c>
      <c r="H40" s="47"/>
      <c r="I40" s="47"/>
      <c r="J40" s="47"/>
      <c r="K40" s="48"/>
      <c r="L40" s="46" t="s">
        <v>39</v>
      </c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8"/>
      <c r="AC40" s="111" t="s">
        <v>68</v>
      </c>
      <c r="AD40" s="95"/>
      <c r="AE40" s="95"/>
      <c r="AF40" s="112"/>
      <c r="AG40" s="111" t="s">
        <v>69</v>
      </c>
      <c r="AH40" s="112"/>
      <c r="AI40" s="163" t="s">
        <v>42</v>
      </c>
      <c r="AJ40" s="164"/>
      <c r="AK40" s="165"/>
      <c r="AN40" s="14"/>
      <c r="AO40" s="14"/>
      <c r="AP40" s="14"/>
      <c r="AQ40" s="14"/>
      <c r="AR40" s="14"/>
      <c r="AS40" s="14" t="s">
        <v>127</v>
      </c>
      <c r="AT40" s="14">
        <v>8040706</v>
      </c>
      <c r="AU40" s="17">
        <f t="shared" si="1"/>
        <v>435330</v>
      </c>
      <c r="AV40"/>
    </row>
    <row r="41" spans="1:48" ht="24" customHeight="1">
      <c r="A41" s="52"/>
      <c r="B41" s="54"/>
      <c r="C41" s="52"/>
      <c r="D41" s="53"/>
      <c r="E41" s="53"/>
      <c r="F41" s="54"/>
      <c r="G41" s="52"/>
      <c r="H41" s="53"/>
      <c r="I41" s="53"/>
      <c r="J41" s="53"/>
      <c r="K41" s="54"/>
      <c r="L41" s="52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4"/>
      <c r="AC41" s="115"/>
      <c r="AD41" s="162"/>
      <c r="AE41" s="162"/>
      <c r="AF41" s="116"/>
      <c r="AG41" s="115"/>
      <c r="AH41" s="116"/>
      <c r="AI41" s="34" t="s">
        <v>43</v>
      </c>
      <c r="AJ41" s="36"/>
      <c r="AK41" s="3" t="s">
        <v>44</v>
      </c>
      <c r="AN41" s="15"/>
      <c r="AO41" s="14"/>
      <c r="AP41" s="14"/>
      <c r="AQ41" s="14"/>
      <c r="AR41" s="15"/>
      <c r="AS41" s="14" t="s">
        <v>129</v>
      </c>
      <c r="AT41" s="14">
        <v>8051420</v>
      </c>
      <c r="AU41" s="17">
        <f t="shared" si="1"/>
        <v>0</v>
      </c>
      <c r="AV41"/>
    </row>
    <row r="42" spans="1:48" ht="12" customHeight="1">
      <c r="A42" s="34" t="s">
        <v>55</v>
      </c>
      <c r="B42" s="36"/>
      <c r="C42" s="37">
        <v>45771</v>
      </c>
      <c r="D42" s="38"/>
      <c r="E42" s="38"/>
      <c r="F42" s="39"/>
      <c r="G42" s="149">
        <v>250456935719</v>
      </c>
      <c r="H42" s="150"/>
      <c r="I42" s="150"/>
      <c r="J42" s="150"/>
      <c r="K42" s="151"/>
      <c r="L42" s="34" t="s">
        <v>70</v>
      </c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6"/>
      <c r="AC42" s="152">
        <v>58410</v>
      </c>
      <c r="AD42" s="153"/>
      <c r="AE42" s="153"/>
      <c r="AF42" s="154"/>
      <c r="AG42" s="152">
        <v>58410</v>
      </c>
      <c r="AH42" s="154"/>
      <c r="AI42" s="155" t="s">
        <v>47</v>
      </c>
      <c r="AJ42" s="156"/>
      <c r="AK42" s="4">
        <v>58410</v>
      </c>
      <c r="AN42" s="14" t="s">
        <v>127</v>
      </c>
      <c r="AO42" s="14"/>
      <c r="AP42" s="14"/>
      <c r="AQ42" s="14">
        <f t="shared" si="0"/>
        <v>8040706</v>
      </c>
      <c r="AR42" s="15"/>
      <c r="AS42" s="14" t="s">
        <v>131</v>
      </c>
      <c r="AT42" s="14">
        <v>8051416</v>
      </c>
      <c r="AU42" s="17">
        <f t="shared" si="1"/>
        <v>0</v>
      </c>
      <c r="AV42"/>
    </row>
    <row r="43" spans="1:48" ht="12" customHeight="1">
      <c r="A43" s="25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157" t="s">
        <v>71</v>
      </c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26"/>
      <c r="AH43" s="26"/>
      <c r="AI43" s="6"/>
      <c r="AJ43" s="6"/>
      <c r="AK43" s="5" t="s">
        <v>72</v>
      </c>
      <c r="AN43" s="16"/>
      <c r="AO43" s="14"/>
      <c r="AP43" s="14"/>
      <c r="AQ43" s="14"/>
      <c r="AR43" s="14"/>
      <c r="AS43" s="14" t="s">
        <v>132</v>
      </c>
      <c r="AT43" s="14">
        <v>8050901</v>
      </c>
      <c r="AU43" s="17">
        <f t="shared" si="1"/>
        <v>0</v>
      </c>
      <c r="AV43"/>
    </row>
    <row r="44" spans="1:48" ht="12" customHeight="1">
      <c r="A44" s="145" t="s">
        <v>73</v>
      </c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2" t="s">
        <v>74</v>
      </c>
      <c r="AK44" s="5" t="s">
        <v>75</v>
      </c>
      <c r="AN44" s="16"/>
      <c r="AO44" s="14"/>
      <c r="AP44" s="14"/>
      <c r="AQ44" s="14"/>
      <c r="AR44" s="14"/>
      <c r="AS44" s="14" t="s">
        <v>133</v>
      </c>
      <c r="AT44" s="14">
        <v>8051301</v>
      </c>
      <c r="AU44" s="17">
        <f t="shared" si="1"/>
        <v>41396</v>
      </c>
      <c r="AV44"/>
    </row>
    <row r="45" spans="1:48" ht="12" customHeight="1">
      <c r="A45" s="25"/>
      <c r="B45" s="27"/>
      <c r="C45" s="25"/>
      <c r="D45" s="26"/>
      <c r="E45" s="26"/>
      <c r="F45" s="27"/>
      <c r="G45" s="25"/>
      <c r="H45" s="26"/>
      <c r="I45" s="26"/>
      <c r="J45" s="26"/>
      <c r="K45" s="27"/>
      <c r="L45" s="34" t="s">
        <v>51</v>
      </c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6"/>
      <c r="AC45" s="25"/>
      <c r="AD45" s="26"/>
      <c r="AE45" s="26"/>
      <c r="AF45" s="27"/>
      <c r="AG45" s="25"/>
      <c r="AH45" s="27"/>
      <c r="AI45" s="25"/>
      <c r="AJ45" s="27"/>
      <c r="AK45" s="7"/>
      <c r="AN45" s="14"/>
      <c r="AO45" s="14"/>
      <c r="AP45" s="14"/>
      <c r="AQ45" s="14"/>
      <c r="AR45" s="15"/>
      <c r="AS45" s="14" t="s">
        <v>134</v>
      </c>
      <c r="AT45" s="14">
        <v>8040703</v>
      </c>
      <c r="AU45" s="17">
        <f t="shared" si="1"/>
        <v>0</v>
      </c>
      <c r="AV45"/>
    </row>
    <row r="46" spans="1:48" ht="12" customHeight="1">
      <c r="A46" s="147" t="s">
        <v>76</v>
      </c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2" t="s">
        <v>77</v>
      </c>
      <c r="AK46" s="5" t="s">
        <v>54</v>
      </c>
      <c r="AN46" s="16"/>
      <c r="AO46" s="14"/>
      <c r="AP46" s="14"/>
      <c r="AQ46" s="14"/>
      <c r="AR46" s="14"/>
      <c r="AS46" s="14" t="s">
        <v>135</v>
      </c>
      <c r="AT46" s="14">
        <v>8050708</v>
      </c>
      <c r="AU46" s="17">
        <f t="shared" si="1"/>
        <v>0</v>
      </c>
      <c r="AV46"/>
    </row>
    <row r="47" spans="1:48" ht="12" customHeight="1">
      <c r="A47" s="68" t="s">
        <v>78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70"/>
      <c r="AN47" s="16"/>
      <c r="AO47" s="14"/>
      <c r="AP47" s="14"/>
      <c r="AQ47" s="14"/>
      <c r="AR47" s="14"/>
      <c r="AS47" s="14" t="s">
        <v>136</v>
      </c>
      <c r="AT47" s="14">
        <v>8040705</v>
      </c>
      <c r="AU47" s="17">
        <f t="shared" si="1"/>
        <v>0</v>
      </c>
      <c r="AV47"/>
    </row>
    <row r="48" spans="1:48" ht="12" customHeight="1">
      <c r="A48" s="25"/>
      <c r="B48" s="27"/>
      <c r="C48" s="25"/>
      <c r="D48" s="26"/>
      <c r="E48" s="26"/>
      <c r="F48" s="27"/>
      <c r="G48" s="25"/>
      <c r="H48" s="26"/>
      <c r="I48" s="26"/>
      <c r="J48" s="26"/>
      <c r="K48" s="27"/>
      <c r="L48" s="34" t="s">
        <v>51</v>
      </c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6"/>
      <c r="AC48" s="25"/>
      <c r="AD48" s="26"/>
      <c r="AE48" s="26"/>
      <c r="AF48" s="27"/>
      <c r="AG48" s="25"/>
      <c r="AH48" s="27"/>
      <c r="AI48" s="25"/>
      <c r="AJ48" s="27"/>
      <c r="AK48" s="7"/>
      <c r="AN48" s="16"/>
      <c r="AO48" s="14"/>
      <c r="AP48" s="14"/>
      <c r="AQ48" s="14"/>
      <c r="AR48" s="14"/>
      <c r="AS48" s="18" t="s">
        <v>130</v>
      </c>
      <c r="AT48" s="14">
        <v>3030101</v>
      </c>
      <c r="AU48" s="17">
        <f t="shared" si="1"/>
        <v>0</v>
      </c>
      <c r="AV48"/>
    </row>
    <row r="49" spans="1:50" ht="12" customHeight="1">
      <c r="A49" s="143" t="s">
        <v>79</v>
      </c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2" t="s">
        <v>80</v>
      </c>
      <c r="AK49" s="5" t="s">
        <v>54</v>
      </c>
      <c r="AN49" s="16"/>
      <c r="AO49" s="14"/>
      <c r="AP49" s="14"/>
      <c r="AQ49" s="14"/>
      <c r="AR49" s="14"/>
      <c r="AS49" s="19" t="s">
        <v>137</v>
      </c>
      <c r="AT49" s="14">
        <v>3011302</v>
      </c>
      <c r="AU49" s="17">
        <f t="shared" si="1"/>
        <v>1406315</v>
      </c>
      <c r="AV49" s="17">
        <v>1406315</v>
      </c>
      <c r="AW49" s="1">
        <f>+Hoja1!L39</f>
        <v>1420.52</v>
      </c>
      <c r="AX49" s="24">
        <f>AU49/AW49</f>
        <v>990.00014079351229</v>
      </c>
    </row>
    <row r="50" spans="1:50" ht="12" customHeight="1">
      <c r="A50" s="68" t="s">
        <v>81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70"/>
      <c r="AQ50" s="14"/>
      <c r="AS50" s="18" t="s">
        <v>138</v>
      </c>
      <c r="AT50" s="14">
        <v>3011301</v>
      </c>
      <c r="AU50" s="17">
        <f t="shared" si="1"/>
        <v>0</v>
      </c>
      <c r="AV50" s="22">
        <f>SUM(AU36:AU48)</f>
        <v>494703</v>
      </c>
    </row>
    <row r="51" spans="1:50" ht="12" customHeight="1">
      <c r="A51" s="111"/>
      <c r="B51" s="112"/>
      <c r="C51" s="117">
        <v>45762</v>
      </c>
      <c r="D51" s="118"/>
      <c r="E51" s="118"/>
      <c r="F51" s="119"/>
      <c r="G51" s="120">
        <v>150400000000</v>
      </c>
      <c r="H51" s="121"/>
      <c r="I51" s="121"/>
      <c r="J51" s="121"/>
      <c r="K51" s="122"/>
      <c r="L51" s="46" t="s">
        <v>82</v>
      </c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8"/>
      <c r="AC51" s="105">
        <v>1406315</v>
      </c>
      <c r="AD51" s="106"/>
      <c r="AE51" s="106"/>
      <c r="AF51" s="107"/>
      <c r="AG51" s="105">
        <v>1406315</v>
      </c>
      <c r="AH51" s="107"/>
      <c r="AI51" s="123" t="s">
        <v>47</v>
      </c>
      <c r="AJ51" s="124"/>
      <c r="AK51" s="8">
        <v>1406315</v>
      </c>
      <c r="AN51" s="20" t="s">
        <v>137</v>
      </c>
      <c r="AQ51" s="14">
        <f t="shared" si="0"/>
        <v>3011302</v>
      </c>
      <c r="AU51" s="18" t="s">
        <v>139</v>
      </c>
      <c r="AV51" s="23">
        <f>AV49+AV50-T57</f>
        <v>0</v>
      </c>
    </row>
    <row r="52" spans="1:50" ht="12" customHeight="1">
      <c r="A52" s="113"/>
      <c r="B52" s="114"/>
      <c r="C52" s="125">
        <v>45772</v>
      </c>
      <c r="D52" s="126"/>
      <c r="E52" s="126"/>
      <c r="F52" s="127"/>
      <c r="G52" s="128">
        <v>250400000000</v>
      </c>
      <c r="H52" s="129"/>
      <c r="I52" s="129"/>
      <c r="J52" s="129"/>
      <c r="K52" s="130"/>
      <c r="L52" s="49" t="s">
        <v>83</v>
      </c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131">
        <v>928</v>
      </c>
      <c r="AD52" s="132"/>
      <c r="AE52" s="132"/>
      <c r="AF52" s="133"/>
      <c r="AG52" s="131">
        <v>928</v>
      </c>
      <c r="AH52" s="133"/>
      <c r="AI52" s="134" t="s">
        <v>47</v>
      </c>
      <c r="AJ52" s="135"/>
      <c r="AK52" s="12">
        <v>928</v>
      </c>
      <c r="AN52" s="14" t="s">
        <v>133</v>
      </c>
      <c r="AQ52" s="14">
        <f t="shared" si="0"/>
        <v>8051301</v>
      </c>
      <c r="AU52" s="21"/>
    </row>
    <row r="53" spans="1:50" ht="12" customHeight="1">
      <c r="A53" s="113"/>
      <c r="B53" s="114"/>
      <c r="C53" s="125">
        <v>45772</v>
      </c>
      <c r="D53" s="126"/>
      <c r="E53" s="126"/>
      <c r="F53" s="127"/>
      <c r="G53" s="128">
        <v>250400000000</v>
      </c>
      <c r="H53" s="129"/>
      <c r="I53" s="129"/>
      <c r="J53" s="129"/>
      <c r="K53" s="130"/>
      <c r="L53" s="49" t="s">
        <v>84</v>
      </c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71">
        <v>3904</v>
      </c>
      <c r="AD53" s="72"/>
      <c r="AE53" s="72"/>
      <c r="AF53" s="73"/>
      <c r="AG53" s="71">
        <v>3904</v>
      </c>
      <c r="AH53" s="73"/>
      <c r="AI53" s="134" t="s">
        <v>47</v>
      </c>
      <c r="AJ53" s="135"/>
      <c r="AK53" s="9">
        <v>3904</v>
      </c>
      <c r="AN53" s="14" t="s">
        <v>133</v>
      </c>
      <c r="AQ53" s="14">
        <f t="shared" si="0"/>
        <v>8051301</v>
      </c>
      <c r="AU53" s="21"/>
    </row>
    <row r="54" spans="1:50" ht="12" customHeight="1">
      <c r="A54" s="115"/>
      <c r="B54" s="116"/>
      <c r="C54" s="136">
        <v>45772</v>
      </c>
      <c r="D54" s="137"/>
      <c r="E54" s="137"/>
      <c r="F54" s="138"/>
      <c r="G54" s="139">
        <v>250400000000</v>
      </c>
      <c r="H54" s="140"/>
      <c r="I54" s="140"/>
      <c r="J54" s="140"/>
      <c r="K54" s="141"/>
      <c r="L54" s="52" t="s">
        <v>85</v>
      </c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4"/>
      <c r="AC54" s="87">
        <v>36564</v>
      </c>
      <c r="AD54" s="142"/>
      <c r="AE54" s="142"/>
      <c r="AF54" s="88"/>
      <c r="AG54" s="87">
        <v>36564</v>
      </c>
      <c r="AH54" s="88"/>
      <c r="AI54" s="89" t="s">
        <v>47</v>
      </c>
      <c r="AJ54" s="90"/>
      <c r="AK54" s="10">
        <v>36564</v>
      </c>
      <c r="AN54" s="14" t="s">
        <v>133</v>
      </c>
      <c r="AQ54" s="14">
        <f t="shared" si="0"/>
        <v>8051301</v>
      </c>
      <c r="AU54" s="21"/>
    </row>
    <row r="55" spans="1:50" ht="12" customHeight="1">
      <c r="A55" s="91" t="s">
        <v>86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2" t="s">
        <v>87</v>
      </c>
      <c r="AK55" s="5" t="s">
        <v>88</v>
      </c>
      <c r="AU55" s="21"/>
    </row>
    <row r="56" spans="1:50" ht="14.25" customHeight="1">
      <c r="A56" s="40" t="s">
        <v>89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2"/>
    </row>
    <row r="57" spans="1:50" ht="12" customHeight="1">
      <c r="A57" s="46" t="s">
        <v>90</v>
      </c>
      <c r="B57" s="47"/>
      <c r="C57" s="47"/>
      <c r="D57" s="47"/>
      <c r="E57" s="47"/>
      <c r="F57" s="47"/>
      <c r="G57" s="47"/>
      <c r="H57" s="47"/>
      <c r="I57" s="47"/>
      <c r="J57" s="93"/>
      <c r="K57" s="95" t="s">
        <v>91</v>
      </c>
      <c r="L57" s="96"/>
      <c r="M57" s="99" t="s">
        <v>92</v>
      </c>
      <c r="N57" s="99" t="s">
        <v>93</v>
      </c>
      <c r="O57" s="99" t="s">
        <v>94</v>
      </c>
      <c r="P57" s="99" t="s">
        <v>95</v>
      </c>
      <c r="Q57" s="99" t="s">
        <v>96</v>
      </c>
      <c r="R57" s="101" t="s">
        <v>87</v>
      </c>
      <c r="S57" s="103" t="s">
        <v>97</v>
      </c>
      <c r="T57" s="105">
        <v>1901018</v>
      </c>
      <c r="U57" s="106"/>
      <c r="V57" s="106"/>
      <c r="W57" s="106"/>
      <c r="X57" s="106"/>
      <c r="Y57" s="106"/>
      <c r="Z57" s="106"/>
      <c r="AA57" s="107"/>
    </row>
    <row r="58" spans="1:50" ht="2.25" customHeight="1">
      <c r="A58" s="49"/>
      <c r="B58" s="50"/>
      <c r="C58" s="50"/>
      <c r="D58" s="50"/>
      <c r="E58" s="50"/>
      <c r="F58" s="50"/>
      <c r="G58" s="50"/>
      <c r="H58" s="50"/>
      <c r="I58" s="50"/>
      <c r="J58" s="94"/>
      <c r="K58" s="97"/>
      <c r="L58" s="98"/>
      <c r="M58" s="100"/>
      <c r="N58" s="100"/>
      <c r="O58" s="100"/>
      <c r="P58" s="100"/>
      <c r="Q58" s="100"/>
      <c r="R58" s="102"/>
      <c r="S58" s="104"/>
      <c r="T58" s="108">
        <v>77679</v>
      </c>
      <c r="U58" s="109"/>
      <c r="V58" s="109"/>
      <c r="W58" s="109"/>
      <c r="X58" s="109"/>
      <c r="Y58" s="109"/>
      <c r="Z58" s="109"/>
      <c r="AA58" s="110"/>
    </row>
    <row r="59" spans="1:50" ht="12" customHeight="1">
      <c r="A59" s="49" t="s">
        <v>98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1"/>
      <c r="T59" s="108"/>
      <c r="U59" s="109"/>
      <c r="V59" s="109"/>
      <c r="W59" s="109"/>
      <c r="X59" s="109"/>
      <c r="Y59" s="109"/>
      <c r="Z59" s="109"/>
      <c r="AA59" s="110"/>
    </row>
    <row r="60" spans="1:50" ht="12" customHeight="1">
      <c r="A60" s="49" t="s">
        <v>99</v>
      </c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1"/>
      <c r="T60" s="71">
        <v>1901018</v>
      </c>
      <c r="U60" s="72"/>
      <c r="V60" s="72"/>
      <c r="W60" s="72"/>
      <c r="X60" s="72"/>
      <c r="Y60" s="72"/>
      <c r="Z60" s="72"/>
      <c r="AA60" s="73"/>
    </row>
    <row r="61" spans="1:50" ht="13.7" customHeight="1">
      <c r="A61" s="52" t="s">
        <v>100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4"/>
      <c r="T61" s="74">
        <v>0</v>
      </c>
      <c r="U61" s="75"/>
      <c r="V61" s="75"/>
      <c r="W61" s="75"/>
      <c r="X61" s="75"/>
      <c r="Y61" s="75"/>
      <c r="Z61" s="75"/>
      <c r="AA61" s="76"/>
    </row>
    <row r="62" spans="1:50" ht="14.25" customHeight="1">
      <c r="A62" s="77" t="s">
        <v>101</v>
      </c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9"/>
    </row>
    <row r="63" spans="1:50" ht="121.5" customHeight="1">
      <c r="A63" s="80" t="s">
        <v>102</v>
      </c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2"/>
    </row>
    <row r="64" spans="1:50" ht="12" customHeight="1">
      <c r="A64" s="83" t="s">
        <v>103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</row>
    <row r="65" spans="1:37" ht="12" customHeight="1">
      <c r="A65" s="84" t="s">
        <v>104</v>
      </c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6"/>
    </row>
    <row r="66" spans="1:37" ht="12" customHeight="1">
      <c r="A66" s="31" t="s">
        <v>105</v>
      </c>
      <c r="B66" s="32"/>
      <c r="C66" s="33"/>
      <c r="D66" s="31" t="s">
        <v>106</v>
      </c>
      <c r="E66" s="32"/>
      <c r="F66" s="32"/>
      <c r="G66" s="32"/>
      <c r="H66" s="33"/>
      <c r="I66" s="31" t="s">
        <v>107</v>
      </c>
      <c r="J66" s="32"/>
      <c r="K66" s="32"/>
      <c r="L66" s="32"/>
      <c r="M66" s="32"/>
      <c r="N66" s="32"/>
      <c r="O66" s="33"/>
      <c r="P66" s="31" t="s">
        <v>108</v>
      </c>
      <c r="Q66" s="32"/>
      <c r="R66" s="32"/>
      <c r="S66" s="32"/>
      <c r="T66" s="32"/>
      <c r="U66" s="32"/>
      <c r="V66" s="32"/>
      <c r="W66" s="33"/>
      <c r="X66" s="31" t="s">
        <v>109</v>
      </c>
      <c r="Y66" s="32"/>
      <c r="Z66" s="32"/>
      <c r="AA66" s="33"/>
    </row>
    <row r="67" spans="1:37" ht="14.25" customHeight="1">
      <c r="A67" s="61">
        <v>0</v>
      </c>
      <c r="B67" s="62"/>
      <c r="C67" s="63"/>
      <c r="D67" s="61">
        <v>0</v>
      </c>
      <c r="E67" s="62"/>
      <c r="F67" s="62"/>
      <c r="G67" s="62"/>
      <c r="H67" s="63"/>
      <c r="I67" s="61">
        <v>0</v>
      </c>
      <c r="J67" s="62"/>
      <c r="K67" s="62"/>
      <c r="L67" s="62"/>
      <c r="M67" s="62"/>
      <c r="N67" s="62"/>
      <c r="O67" s="63"/>
      <c r="P67" s="61">
        <v>0</v>
      </c>
      <c r="Q67" s="62"/>
      <c r="R67" s="62"/>
      <c r="S67" s="62"/>
      <c r="T67" s="62"/>
      <c r="U67" s="62"/>
      <c r="V67" s="62"/>
      <c r="W67" s="63"/>
      <c r="X67" s="61">
        <v>0</v>
      </c>
      <c r="Y67" s="62"/>
      <c r="Z67" s="62"/>
      <c r="AA67" s="63"/>
    </row>
    <row r="68" spans="1:37" ht="28.35" customHeight="1">
      <c r="A68" s="64" t="s">
        <v>110</v>
      </c>
      <c r="B68" s="64"/>
      <c r="C68" s="64"/>
      <c r="D68" s="65"/>
    </row>
    <row r="69" spans="1:37" ht="12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7"/>
      <c r="P69" s="68" t="s">
        <v>27</v>
      </c>
      <c r="Q69" s="69"/>
      <c r="R69" s="69"/>
      <c r="S69" s="69"/>
      <c r="T69" s="69"/>
      <c r="U69" s="69"/>
      <c r="V69" s="69"/>
      <c r="W69" s="70"/>
      <c r="X69" s="68" t="s">
        <v>28</v>
      </c>
      <c r="Y69" s="69"/>
      <c r="Z69" s="69"/>
      <c r="AA69" s="70"/>
    </row>
    <row r="70" spans="1:37" ht="14.25" customHeight="1">
      <c r="A70" s="34" t="s">
        <v>111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6"/>
      <c r="P70" s="37">
        <v>45773</v>
      </c>
      <c r="Q70" s="38"/>
      <c r="R70" s="38"/>
      <c r="S70" s="38"/>
      <c r="T70" s="38"/>
      <c r="U70" s="38"/>
      <c r="V70" s="38"/>
      <c r="W70" s="39"/>
      <c r="X70" s="37">
        <v>45805</v>
      </c>
      <c r="Y70" s="38"/>
      <c r="Z70" s="38"/>
      <c r="AA70" s="39"/>
    </row>
    <row r="71" spans="1:37" ht="14.25" customHeight="1">
      <c r="A71" s="40" t="s">
        <v>112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2"/>
    </row>
    <row r="72" spans="1:37" ht="14.25" customHeight="1">
      <c r="A72" s="34" t="s">
        <v>113</v>
      </c>
      <c r="B72" s="35"/>
      <c r="C72" s="35"/>
      <c r="D72" s="35"/>
      <c r="E72" s="35"/>
      <c r="F72" s="35"/>
      <c r="G72" s="36"/>
      <c r="H72" s="43">
        <v>0.312</v>
      </c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5"/>
    </row>
    <row r="73" spans="1:37" ht="12" customHeight="1">
      <c r="A73" s="46" t="s">
        <v>114</v>
      </c>
      <c r="B73" s="47"/>
      <c r="C73" s="47"/>
      <c r="D73" s="47"/>
      <c r="E73" s="47"/>
      <c r="F73" s="47"/>
      <c r="G73" s="48"/>
      <c r="H73" s="55" t="s">
        <v>115</v>
      </c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7"/>
      <c r="Y73" s="31" t="s">
        <v>116</v>
      </c>
      <c r="Z73" s="32"/>
      <c r="AA73" s="33"/>
    </row>
    <row r="74" spans="1:37" ht="14.25" customHeight="1">
      <c r="A74" s="49"/>
      <c r="B74" s="50"/>
      <c r="C74" s="50"/>
      <c r="D74" s="50"/>
      <c r="E74" s="50"/>
      <c r="F74" s="50"/>
      <c r="G74" s="51"/>
      <c r="H74" s="34" t="s">
        <v>117</v>
      </c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6"/>
      <c r="Y74" s="58">
        <v>0.09</v>
      </c>
      <c r="Z74" s="59"/>
      <c r="AA74" s="60"/>
    </row>
    <row r="75" spans="1:37" ht="14.25" customHeight="1">
      <c r="A75" s="49"/>
      <c r="B75" s="50"/>
      <c r="C75" s="50"/>
      <c r="D75" s="50"/>
      <c r="E75" s="50"/>
      <c r="F75" s="50"/>
      <c r="G75" s="51"/>
      <c r="H75" s="34" t="s">
        <v>118</v>
      </c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6"/>
      <c r="Y75" s="58">
        <v>0.06</v>
      </c>
      <c r="Z75" s="59"/>
      <c r="AA75" s="60"/>
    </row>
    <row r="76" spans="1:37" ht="14.25" customHeight="1">
      <c r="A76" s="52"/>
      <c r="B76" s="53"/>
      <c r="C76" s="53"/>
      <c r="D76" s="53"/>
      <c r="E76" s="53"/>
      <c r="F76" s="53"/>
      <c r="G76" s="54"/>
      <c r="H76" s="34" t="s">
        <v>119</v>
      </c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6"/>
      <c r="Y76" s="58">
        <v>0.03</v>
      </c>
      <c r="Z76" s="59"/>
      <c r="AA76" s="60"/>
    </row>
    <row r="77" spans="1:37" ht="11.25" customHeight="1">
      <c r="A77" s="25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7"/>
    </row>
    <row r="78" spans="1:37" ht="57.75" customHeight="1">
      <c r="A78" s="28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30"/>
    </row>
    <row r="79" spans="1:37" ht="42.6" customHeight="1">
      <c r="A79" s="31" t="s">
        <v>120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3"/>
    </row>
    <row r="80" spans="1:37" ht="11.25" customHeight="1">
      <c r="A80" s="25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7"/>
    </row>
    <row r="81" spans="1:25" ht="57.75" customHeight="1">
      <c r="A81" s="28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30"/>
    </row>
    <row r="82" spans="1:25" ht="42.6" customHeight="1">
      <c r="A82" s="31" t="s">
        <v>121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3"/>
    </row>
    <row r="83" spans="1:25" ht="14.25" customHeight="1">
      <c r="A83" s="84" t="s">
        <v>59</v>
      </c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6"/>
    </row>
    <row r="84" spans="1:25" ht="24" customHeight="1">
      <c r="A84" s="111" t="s">
        <v>60</v>
      </c>
      <c r="B84" s="95"/>
      <c r="C84" s="95"/>
      <c r="D84" s="95"/>
      <c r="E84" s="95"/>
      <c r="F84" s="95"/>
      <c r="G84" s="95"/>
      <c r="H84" s="112"/>
      <c r="I84" s="111" t="s">
        <v>61</v>
      </c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112"/>
    </row>
    <row r="85" spans="1:25" ht="8.4499999999999993" customHeight="1">
      <c r="A85" s="115"/>
      <c r="B85" s="162"/>
      <c r="C85" s="162"/>
      <c r="D85" s="162"/>
      <c r="E85" s="162"/>
      <c r="F85" s="162"/>
      <c r="G85" s="162"/>
      <c r="H85" s="116"/>
      <c r="I85" s="11"/>
      <c r="J85" s="166"/>
      <c r="K85" s="67"/>
      <c r="L85" s="166"/>
      <c r="M85" s="67"/>
      <c r="N85" s="11"/>
      <c r="O85" s="11"/>
      <c r="P85" s="166"/>
      <c r="Q85" s="67"/>
      <c r="R85" s="166"/>
      <c r="S85" s="66"/>
      <c r="T85" s="66"/>
      <c r="U85" s="67"/>
      <c r="V85" s="166"/>
      <c r="W85" s="66"/>
      <c r="X85" s="66"/>
      <c r="Y85" s="67"/>
    </row>
    <row r="86" spans="1:25" ht="24" customHeight="1">
      <c r="A86" s="28" t="s">
        <v>62</v>
      </c>
      <c r="B86" s="29"/>
      <c r="C86" s="29"/>
      <c r="D86" s="29"/>
      <c r="E86" s="29"/>
      <c r="F86" s="29"/>
      <c r="G86" s="29"/>
      <c r="H86" s="30"/>
      <c r="I86" s="158" t="s">
        <v>63</v>
      </c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60"/>
    </row>
    <row r="87" spans="1:25" ht="24" customHeight="1">
      <c r="A87" s="28" t="s">
        <v>64</v>
      </c>
      <c r="B87" s="29"/>
      <c r="C87" s="29"/>
      <c r="D87" s="29"/>
      <c r="E87" s="29"/>
      <c r="F87" s="29"/>
      <c r="G87" s="29"/>
      <c r="H87" s="30"/>
      <c r="I87" s="40" t="s">
        <v>65</v>
      </c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2"/>
    </row>
    <row r="88" spans="1:25" ht="14.25" customHeight="1">
      <c r="A88" s="84" t="s">
        <v>59</v>
      </c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6"/>
    </row>
    <row r="89" spans="1:25" ht="24" customHeight="1">
      <c r="A89" s="111" t="s">
        <v>60</v>
      </c>
      <c r="B89" s="95"/>
      <c r="C89" s="95"/>
      <c r="D89" s="95"/>
      <c r="E89" s="95"/>
      <c r="F89" s="95"/>
      <c r="G89" s="95"/>
      <c r="H89" s="112"/>
      <c r="I89" s="111" t="s">
        <v>61</v>
      </c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112"/>
    </row>
    <row r="90" spans="1:25" ht="8.4499999999999993" customHeight="1">
      <c r="A90" s="115"/>
      <c r="B90" s="162"/>
      <c r="C90" s="162"/>
      <c r="D90" s="162"/>
      <c r="E90" s="162"/>
      <c r="F90" s="162"/>
      <c r="G90" s="162"/>
      <c r="H90" s="116"/>
      <c r="I90" s="11"/>
      <c r="J90" s="166"/>
      <c r="K90" s="67"/>
      <c r="L90" s="166"/>
      <c r="M90" s="67"/>
      <c r="N90" s="11"/>
      <c r="O90" s="11"/>
      <c r="P90" s="166"/>
      <c r="Q90" s="67"/>
      <c r="R90" s="166"/>
      <c r="S90" s="66"/>
      <c r="T90" s="66"/>
      <c r="U90" s="67"/>
      <c r="V90" s="166"/>
      <c r="W90" s="66"/>
      <c r="X90" s="66"/>
      <c r="Y90" s="67"/>
    </row>
    <row r="91" spans="1:25" ht="24" customHeight="1">
      <c r="A91" s="28" t="s">
        <v>66</v>
      </c>
      <c r="B91" s="29"/>
      <c r="C91" s="29"/>
      <c r="D91" s="29"/>
      <c r="E91" s="29"/>
      <c r="F91" s="29"/>
      <c r="G91" s="29"/>
      <c r="H91" s="30"/>
      <c r="I91" s="158" t="s">
        <v>63</v>
      </c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60"/>
    </row>
    <row r="92" spans="1:25" ht="24" customHeight="1">
      <c r="A92" s="28" t="s">
        <v>64</v>
      </c>
      <c r="B92" s="29"/>
      <c r="C92" s="29"/>
      <c r="D92" s="29"/>
      <c r="E92" s="29"/>
      <c r="F92" s="29"/>
      <c r="G92" s="29"/>
      <c r="H92" s="30"/>
      <c r="I92" s="40" t="s">
        <v>65</v>
      </c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2"/>
    </row>
    <row r="93" spans="1:25" ht="11.25" customHeight="1">
      <c r="A93" s="7"/>
    </row>
    <row r="94" spans="1:25" ht="11.25" customHeight="1">
      <c r="A94" s="7"/>
    </row>
    <row r="95" spans="1:25" ht="11.25" customHeight="1">
      <c r="A95" s="7"/>
    </row>
    <row r="96" spans="1:25" ht="11.25" customHeight="1">
      <c r="A96" s="7"/>
    </row>
    <row r="97" spans="1:38" ht="12" customHeight="1">
      <c r="A97" s="161" t="s">
        <v>67</v>
      </c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</row>
    <row r="98" spans="1:38" ht="24" customHeight="1"/>
    <row r="99" spans="1:38" ht="14.1" customHeight="1"/>
    <row r="100" spans="1:38" ht="81" customHeight="1"/>
    <row r="101" spans="1:38" ht="90.95" customHeight="1"/>
    <row r="102" spans="1:38" ht="57" customHeight="1"/>
  </sheetData>
  <mergeCells count="260">
    <mergeCell ref="A1:AK1"/>
    <mergeCell ref="A2:H2"/>
    <mergeCell ref="I2:AK2"/>
    <mergeCell ref="A3:H3"/>
    <mergeCell ref="I3:AK3"/>
    <mergeCell ref="A4:H4"/>
    <mergeCell ref="I4:AK4"/>
    <mergeCell ref="A5:AL5"/>
    <mergeCell ref="A6:AL6"/>
    <mergeCell ref="A7:AK7"/>
    <mergeCell ref="A8:M8"/>
    <mergeCell ref="N8:W8"/>
    <mergeCell ref="X8:AC8"/>
    <mergeCell ref="AD8:AG8"/>
    <mergeCell ref="A9:M9"/>
    <mergeCell ref="N9:W9"/>
    <mergeCell ref="X9:AC9"/>
    <mergeCell ref="AD9:AG9"/>
    <mergeCell ref="A10:M10"/>
    <mergeCell ref="N10:W10"/>
    <mergeCell ref="X10:AC10"/>
    <mergeCell ref="AD10:AG10"/>
    <mergeCell ref="A11:E11"/>
    <mergeCell ref="A12:E12"/>
    <mergeCell ref="A13:E13"/>
    <mergeCell ref="A14:M14"/>
    <mergeCell ref="N14:W14"/>
    <mergeCell ref="X14:AC14"/>
    <mergeCell ref="AD14:AG14"/>
    <mergeCell ref="A15:M15"/>
    <mergeCell ref="N15:W15"/>
    <mergeCell ref="X15:AC15"/>
    <mergeCell ref="AD15:AG15"/>
    <mergeCell ref="A16:M16"/>
    <mergeCell ref="N16:W16"/>
    <mergeCell ref="X16:AC16"/>
    <mergeCell ref="AD16:AG16"/>
    <mergeCell ref="A17:F17"/>
    <mergeCell ref="G17:I17"/>
    <mergeCell ref="J17:O17"/>
    <mergeCell ref="A18:F18"/>
    <mergeCell ref="G18:I18"/>
    <mergeCell ref="J18:O18"/>
    <mergeCell ref="A19:F19"/>
    <mergeCell ref="G19:O19"/>
    <mergeCell ref="A20:AL20"/>
    <mergeCell ref="A21:AK21"/>
    <mergeCell ref="A22:T22"/>
    <mergeCell ref="U22:Z22"/>
    <mergeCell ref="AA22:AE22"/>
    <mergeCell ref="A23:T23"/>
    <mergeCell ref="U23:Z23"/>
    <mergeCell ref="AA23:AE23"/>
    <mergeCell ref="A24:P24"/>
    <mergeCell ref="Q24:T24"/>
    <mergeCell ref="U24:Z24"/>
    <mergeCell ref="AA24:AE27"/>
    <mergeCell ref="A25:P25"/>
    <mergeCell ref="Q25:T25"/>
    <mergeCell ref="U25:Z25"/>
    <mergeCell ref="A26:P26"/>
    <mergeCell ref="Q26:T26"/>
    <mergeCell ref="U26:Z26"/>
    <mergeCell ref="A27:P27"/>
    <mergeCell ref="Q27:T27"/>
    <mergeCell ref="U27:Z27"/>
    <mergeCell ref="A28:AK28"/>
    <mergeCell ref="A29:B30"/>
    <mergeCell ref="C29:F30"/>
    <mergeCell ref="G29:K30"/>
    <mergeCell ref="L29:AB30"/>
    <mergeCell ref="AC29:AF30"/>
    <mergeCell ref="AG29:AH30"/>
    <mergeCell ref="AI29:AK29"/>
    <mergeCell ref="AI30:AJ30"/>
    <mergeCell ref="A31:AK31"/>
    <mergeCell ref="A32:B32"/>
    <mergeCell ref="C32:F32"/>
    <mergeCell ref="G32:K32"/>
    <mergeCell ref="L32:AB32"/>
    <mergeCell ref="AC32:AF32"/>
    <mergeCell ref="AG32:AH32"/>
    <mergeCell ref="AI32:AJ32"/>
    <mergeCell ref="A33:AI33"/>
    <mergeCell ref="A34:B34"/>
    <mergeCell ref="C34:F34"/>
    <mergeCell ref="G34:K34"/>
    <mergeCell ref="L34:AB34"/>
    <mergeCell ref="AC34:AF34"/>
    <mergeCell ref="AG34:AH34"/>
    <mergeCell ref="AI34:AJ34"/>
    <mergeCell ref="A35:AI35"/>
    <mergeCell ref="A36:B36"/>
    <mergeCell ref="C36:F36"/>
    <mergeCell ref="G36:K36"/>
    <mergeCell ref="L36:AB36"/>
    <mergeCell ref="AC36:AF36"/>
    <mergeCell ref="AG36:AH36"/>
    <mergeCell ref="AI36:AJ36"/>
    <mergeCell ref="A37:B37"/>
    <mergeCell ref="C37:F37"/>
    <mergeCell ref="G37:K37"/>
    <mergeCell ref="L37:AB37"/>
    <mergeCell ref="AC37:AF37"/>
    <mergeCell ref="AG37:AH37"/>
    <mergeCell ref="AI37:AJ37"/>
    <mergeCell ref="A38:B38"/>
    <mergeCell ref="C38:F38"/>
    <mergeCell ref="G38:K38"/>
    <mergeCell ref="L38:AB38"/>
    <mergeCell ref="AC38:AF38"/>
    <mergeCell ref="AG38:AH38"/>
    <mergeCell ref="AI38:AJ38"/>
    <mergeCell ref="R90:U90"/>
    <mergeCell ref="V90:Y90"/>
    <mergeCell ref="A83:Y83"/>
    <mergeCell ref="A84:H85"/>
    <mergeCell ref="I84:Y84"/>
    <mergeCell ref="J85:K85"/>
    <mergeCell ref="L85:M85"/>
    <mergeCell ref="P85:Q85"/>
    <mergeCell ref="R85:U85"/>
    <mergeCell ref="V85:Y85"/>
    <mergeCell ref="A91:H91"/>
    <mergeCell ref="I91:Y91"/>
    <mergeCell ref="A92:H92"/>
    <mergeCell ref="I92:Y92"/>
    <mergeCell ref="A97:AL97"/>
    <mergeCell ref="A39:AK39"/>
    <mergeCell ref="A40:B41"/>
    <mergeCell ref="C40:F41"/>
    <mergeCell ref="G40:K41"/>
    <mergeCell ref="L40:AB41"/>
    <mergeCell ref="AC40:AF41"/>
    <mergeCell ref="AG40:AH41"/>
    <mergeCell ref="AI40:AK40"/>
    <mergeCell ref="AI41:AJ41"/>
    <mergeCell ref="A86:H86"/>
    <mergeCell ref="I86:Y86"/>
    <mergeCell ref="A87:H87"/>
    <mergeCell ref="I87:Y87"/>
    <mergeCell ref="A88:Y88"/>
    <mergeCell ref="A89:H90"/>
    <mergeCell ref="I89:Y89"/>
    <mergeCell ref="J90:K90"/>
    <mergeCell ref="L90:M90"/>
    <mergeCell ref="P90:Q90"/>
    <mergeCell ref="A42:B42"/>
    <mergeCell ref="C42:F42"/>
    <mergeCell ref="G42:K42"/>
    <mergeCell ref="L42:AB42"/>
    <mergeCell ref="AC42:AF42"/>
    <mergeCell ref="AG42:AH42"/>
    <mergeCell ref="AI42:AJ42"/>
    <mergeCell ref="A43:B43"/>
    <mergeCell ref="C43:F43"/>
    <mergeCell ref="G43:K43"/>
    <mergeCell ref="L43:AF43"/>
    <mergeCell ref="AG43:AH43"/>
    <mergeCell ref="A44:AI44"/>
    <mergeCell ref="A45:B45"/>
    <mergeCell ref="C45:F45"/>
    <mergeCell ref="G45:K45"/>
    <mergeCell ref="L45:AB45"/>
    <mergeCell ref="AC45:AF45"/>
    <mergeCell ref="AG45:AH45"/>
    <mergeCell ref="AI45:AJ45"/>
    <mergeCell ref="A46:AI46"/>
    <mergeCell ref="A47:AK47"/>
    <mergeCell ref="A48:B48"/>
    <mergeCell ref="C48:F48"/>
    <mergeCell ref="G48:K48"/>
    <mergeCell ref="L48:AB48"/>
    <mergeCell ref="AC48:AF48"/>
    <mergeCell ref="AG48:AH48"/>
    <mergeCell ref="AI48:AJ48"/>
    <mergeCell ref="A49:AI49"/>
    <mergeCell ref="A50:AK50"/>
    <mergeCell ref="A51:B54"/>
    <mergeCell ref="C51:F51"/>
    <mergeCell ref="G51:K51"/>
    <mergeCell ref="L51:AB51"/>
    <mergeCell ref="AC51:AF51"/>
    <mergeCell ref="AG51:AH51"/>
    <mergeCell ref="AI51:AJ51"/>
    <mergeCell ref="C52:F52"/>
    <mergeCell ref="G52:K52"/>
    <mergeCell ref="L52:AB52"/>
    <mergeCell ref="AC52:AF52"/>
    <mergeCell ref="AG52:AH52"/>
    <mergeCell ref="AI52:AJ52"/>
    <mergeCell ref="C53:F53"/>
    <mergeCell ref="G53:K53"/>
    <mergeCell ref="L53:AB53"/>
    <mergeCell ref="AC53:AF53"/>
    <mergeCell ref="AG53:AH53"/>
    <mergeCell ref="AI53:AJ53"/>
    <mergeCell ref="C54:F54"/>
    <mergeCell ref="G54:K54"/>
    <mergeCell ref="L54:AB54"/>
    <mergeCell ref="AC54:AF54"/>
    <mergeCell ref="AG54:AH54"/>
    <mergeCell ref="AI54:AJ54"/>
    <mergeCell ref="A55:AI55"/>
    <mergeCell ref="A56:AK56"/>
    <mergeCell ref="A57:J58"/>
    <mergeCell ref="K57:L58"/>
    <mergeCell ref="M57:M58"/>
    <mergeCell ref="N57:N58"/>
    <mergeCell ref="O57:O58"/>
    <mergeCell ref="P57:P58"/>
    <mergeCell ref="Q57:Q58"/>
    <mergeCell ref="R57:R58"/>
    <mergeCell ref="S57:S58"/>
    <mergeCell ref="T57:AA57"/>
    <mergeCell ref="T58:AA59"/>
    <mergeCell ref="A59:S59"/>
    <mergeCell ref="A60:S60"/>
    <mergeCell ref="T60:AA60"/>
    <mergeCell ref="A61:S61"/>
    <mergeCell ref="T61:AA61"/>
    <mergeCell ref="A62:S62"/>
    <mergeCell ref="A63:S63"/>
    <mergeCell ref="A64:AL64"/>
    <mergeCell ref="A65:AA65"/>
    <mergeCell ref="A66:C66"/>
    <mergeCell ref="D66:H66"/>
    <mergeCell ref="I66:O66"/>
    <mergeCell ref="P66:W66"/>
    <mergeCell ref="X66:AA66"/>
    <mergeCell ref="A67:C67"/>
    <mergeCell ref="D67:H67"/>
    <mergeCell ref="I67:O67"/>
    <mergeCell ref="P67:W67"/>
    <mergeCell ref="X67:AA67"/>
    <mergeCell ref="A68:D68"/>
    <mergeCell ref="A69:O69"/>
    <mergeCell ref="P69:W69"/>
    <mergeCell ref="X69:AA69"/>
    <mergeCell ref="A77:V77"/>
    <mergeCell ref="A78:V78"/>
    <mergeCell ref="A79:V79"/>
    <mergeCell ref="A80:V80"/>
    <mergeCell ref="A81:V81"/>
    <mergeCell ref="A82:V82"/>
    <mergeCell ref="A70:O70"/>
    <mergeCell ref="P70:W70"/>
    <mergeCell ref="X70:AA70"/>
    <mergeCell ref="A71:AK71"/>
    <mergeCell ref="A72:G72"/>
    <mergeCell ref="H72:AA72"/>
    <mergeCell ref="A73:G76"/>
    <mergeCell ref="H73:X73"/>
    <mergeCell ref="Y73:AA73"/>
    <mergeCell ref="H74:X74"/>
    <mergeCell ref="Y74:AA74"/>
    <mergeCell ref="H75:X75"/>
    <mergeCell ref="Y75:AA75"/>
    <mergeCell ref="H76:X76"/>
    <mergeCell ref="Y76:AA76"/>
  </mergeCells>
  <hyperlinks>
    <hyperlink ref="A6" r:id="rId1" display="mailto:ACCOUNTS.CHILE@DESWIK.COM" xr:uid="{00000000-0004-0000-0000-000000000000}"/>
    <hyperlink ref="A20" r:id="rId2" display="http://www.cmfchile.cl/" xr:uid="{00000000-0004-0000-0000-000001000000}"/>
  </hyperlinks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892B-AE3B-4091-8FF0-D0D55CDEBA8E}">
  <dimension ref="L39"/>
  <sheetViews>
    <sheetView workbookViewId="0">
      <selection activeCell="L40" sqref="L40"/>
    </sheetView>
  </sheetViews>
  <sheetFormatPr baseColWidth="10" defaultRowHeight="12.75"/>
  <sheetData>
    <row r="39" spans="12:12">
      <c r="L39">
        <v>1420.52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d745ab360262bb857df02af1a33bfe20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eb64c9e94d6b2a91590b4df7037309e8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B99189-C37A-4969-8EFC-3B1F4D4EB6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36EA08-39F2-45D6-8D2A-737449F8073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3.xml><?xml version="1.0" encoding="utf-8"?>
<ds:datastoreItem xmlns:ds="http://schemas.openxmlformats.org/officeDocument/2006/customXml" ds:itemID="{5B58AB8B-BA57-44AB-84B0-9ED2A1EC3CE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COLDview Document</dc:title>
  <dc:creator>COLDview</dc:creator>
  <cp:lastModifiedBy>Carolina Cabrera</cp:lastModifiedBy>
  <dcterms:created xsi:type="dcterms:W3CDTF">2025-05-28T15:50:26Z</dcterms:created>
  <dcterms:modified xsi:type="dcterms:W3CDTF">2025-06-02T20:54:20Z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VQT_CVDOCID">
    <vt:lpwstr>FMCTC0000011768</vt:lpwstr>
  </property>
  <property fmtid="{D5CDD505-2E9C-101B-9397-08002B2CF9AE}" pid="3" name="CVQT_LEY01">
    <vt:lpwstr/>
  </property>
  <property fmtid="{D5CDD505-2E9C-101B-9397-08002B2CF9AE}" pid="4" name="CVQT_N001TITULOS">
    <vt:lpwstr>204fc13c07f6cb0ca6bc0750d7e59d4e</vt:lpwstr>
  </property>
  <property fmtid="{D5CDD505-2E9C-101B-9397-08002B2CF9AE}" pid="5" name="CVQT_N002DESCRIPCION">
    <vt:lpwstr>033db73c0d144bc77a3bb2c06deb810a</vt:lpwstr>
  </property>
  <property fmtid="{D5CDD505-2E9C-101B-9397-08002B2CF9AE}" pid="6" name="CVQT_N002MONTO">
    <vt:lpwstr>431d2aade9ab38eef24f3a24c787db50</vt:lpwstr>
  </property>
  <property fmtid="{D5CDD505-2E9C-101B-9397-08002B2CF9AE}" pid="7" name="CVQT_N003APAGAR">
    <vt:lpwstr>61fcedf4c638336360c3cc3159c49920</vt:lpwstr>
  </property>
  <property fmtid="{D5CDD505-2E9C-101B-9397-08002B2CF9AE}" pid="8" name="CVQT_N003CODIGO">
    <vt:lpwstr>3cb33458c2903fcadae5a57cf6a6e890</vt:lpwstr>
  </property>
  <property fmtid="{D5CDD505-2E9C-101B-9397-08002B2CF9AE}" pid="9" name="CVQT_N003DESCRIPCION">
    <vt:lpwstr>b889b4d6a1dfd3fa1b3057e0cd0bbf7e</vt:lpwstr>
  </property>
  <property fmtid="{D5CDD505-2E9C-101B-9397-08002B2CF9AE}" pid="10" name="CVQT_N003FECHA">
    <vt:lpwstr>b04c097e16b1ebc896724cc88c1c27cd</vt:lpwstr>
  </property>
  <property fmtid="{D5CDD505-2E9C-101B-9397-08002B2CF9AE}" pid="11" name="CVQT_N003LUGAR">
    <vt:lpwstr>268d4e2c20c3a2a4fcd9f450187dbf63</vt:lpwstr>
  </property>
  <property fmtid="{D5CDD505-2E9C-101B-9397-08002B2CF9AE}" pid="12" name="CVQT_N003MONTO">
    <vt:lpwstr>61fcedf4c638336360c3cc3159c49920</vt:lpwstr>
  </property>
  <property fmtid="{D5CDD505-2E9C-101B-9397-08002B2CF9AE}" pid="13" name="CVQT_N003NROCUOTA">
    <vt:lpwstr>f106ccdf03ced61aac6300a5db2f8760</vt:lpwstr>
  </property>
  <property fmtid="{D5CDD505-2E9C-101B-9397-08002B2CF9AE}" pid="14" name="CVQT_N003VALORCUOTA">
    <vt:lpwstr>61fcedf4c638336360c3cc3159c49920</vt:lpwstr>
  </property>
  <property fmtid="{D5CDD505-2E9C-101B-9397-08002B2CF9AE}" pid="15" name="CVQT_N005APAGAR">
    <vt:lpwstr>9ca8dcb38da469843337521a48c102a6</vt:lpwstr>
  </property>
  <property fmtid="{D5CDD505-2E9C-101B-9397-08002B2CF9AE}" pid="16" name="CVQT_N005CODIGO">
    <vt:lpwstr>0e2db162a64ea5e85445e209fba5214e</vt:lpwstr>
  </property>
  <property fmtid="{D5CDD505-2E9C-101B-9397-08002B2CF9AE}" pid="17" name="CVQT_N005DESCRIPCION">
    <vt:lpwstr>9155063cb52356d342abb44b37f09065</vt:lpwstr>
  </property>
  <property fmtid="{D5CDD505-2E9C-101B-9397-08002B2CF9AE}" pid="18" name="CVQT_N005FECHA">
    <vt:lpwstr>e0ec369c6d4797e8074fa24db6049a26</vt:lpwstr>
  </property>
  <property fmtid="{D5CDD505-2E9C-101B-9397-08002B2CF9AE}" pid="19" name="CVQT_N005LUGAR">
    <vt:lpwstr>6ea195ce429f7fd587bad83d0aae4061</vt:lpwstr>
  </property>
  <property fmtid="{D5CDD505-2E9C-101B-9397-08002B2CF9AE}" pid="20" name="CVQT_N005MONTO">
    <vt:lpwstr>9ca8dcb38da469843337521a48c102a6</vt:lpwstr>
  </property>
  <property fmtid="{D5CDD505-2E9C-101B-9397-08002B2CF9AE}" pid="21" name="CVQT_N005NROCUOTA">
    <vt:lpwstr>94d8ff6d298e14687e3139588d62e92f</vt:lpwstr>
  </property>
  <property fmtid="{D5CDD505-2E9C-101B-9397-08002B2CF9AE}" pid="22" name="CVQT_N005VALORCUOTA">
    <vt:lpwstr>9ca8dcb38da469843337521a48c102a6</vt:lpwstr>
  </property>
  <property fmtid="{D5CDD505-2E9C-101B-9397-08002B2CF9AE}" pid="23" name="CVQT_NAVANCECAE">
    <vt:lpwstr>04422</vt:lpwstr>
  </property>
  <property fmtid="{D5CDD505-2E9C-101B-9397-08002B2CF9AE}" pid="24" name="CVQT_NAVANCETASA">
    <vt:lpwstr>0260</vt:lpwstr>
  </property>
  <property fmtid="{D5CDD505-2E9C-101B-9397-08002B2CF9AE}" pid="25" name="CVQT_NCAEPREPAGO">
    <vt:lpwstr>00000</vt:lpwstr>
  </property>
  <property fmtid="{D5CDD505-2E9C-101B-9397-08002B2CF9AE}" pid="26" name="CVQT_NCOMPRACAE">
    <vt:lpwstr>04422</vt:lpwstr>
  </property>
  <property fmtid="{D5CDD505-2E9C-101B-9397-08002B2CF9AE}" pid="27" name="CVQT_NCOMPRATASA">
    <vt:lpwstr>0260</vt:lpwstr>
  </property>
  <property fmtid="{D5CDD505-2E9C-101B-9397-08002B2CF9AE}" pid="28" name="CVQT_NCOSTOPREPAGO">
    <vt:lpwstr> $      1.901.018</vt:lpwstr>
  </property>
  <property fmtid="{D5CDD505-2E9C-101B-9397-08002B2CF9AE}" pid="29" name="CVQT_NCUPODISAVANCE">
    <vt:lpwstr>+00003098982</vt:lpwstr>
  </property>
  <property fmtid="{D5CDD505-2E9C-101B-9397-08002B2CF9AE}" pid="30" name="CVQT_NCUPODISTOTAL">
    <vt:lpwstr>+00003098982</vt:lpwstr>
  </property>
  <property fmtid="{D5CDD505-2E9C-101B-9397-08002B2CF9AE}" pid="31" name="CVQT_NCUPOTOTAVANCE">
    <vt:lpwstr>+00004750000</vt:lpwstr>
  </property>
  <property fmtid="{D5CDD505-2E9C-101B-9397-08002B2CF9AE}" pid="32" name="CVQT_NCUPOTOTTOTAL">
    <vt:lpwstr>000005000000</vt:lpwstr>
  </property>
  <property fmtid="{D5CDD505-2E9C-101B-9397-08002B2CF9AE}" pid="33" name="CVQT_NCUPOUTIAVANCE">
    <vt:lpwstr>+00000000000</vt:lpwstr>
  </property>
  <property fmtid="{D5CDD505-2E9C-101B-9397-08002B2CF9AE}" pid="34" name="CVQT_NCUPOUTITOTAL">
    <vt:lpwstr>+00001901018</vt:lpwstr>
  </property>
  <property fmtid="{D5CDD505-2E9C-101B-9397-08002B2CF9AE}" pid="35" name="CVQT_NDIRECCION">
    <vt:lpwstr>ACCOUNTS.CHILE@DESWIK.COM     </vt:lpwstr>
  </property>
  <property fmtid="{D5CDD505-2E9C-101B-9397-08002B2CF9AE}" pid="36" name="CVQT_NENTRE10Y50UF">
    <vt:lpwstr>6%</vt:lpwstr>
  </property>
  <property fmtid="{D5CDD505-2E9C-101B-9397-08002B2CF9AE}" pid="37" name="CVQT_NEXCEDAN50UF">
    <vt:lpwstr>3%</vt:lpwstr>
  </property>
  <property fmtid="{D5CDD505-2E9C-101B-9397-08002B2CF9AE}" pid="38" name="CVQT_NHASTA10UF">
    <vt:lpwstr>9%</vt:lpwstr>
  </property>
  <property fmtid="{D5CDD505-2E9C-101B-9397-08002B2CF9AE}" pid="39" name="CVQT_NINTERESMORATORIO">
    <vt:lpwstr>31,20%</vt:lpwstr>
  </property>
  <property fmtid="{D5CDD505-2E9C-101B-9397-08002B2CF9AE}" pid="40" name="CVQT_NLOGO">
    <vt:lpwstr>558</vt:lpwstr>
  </property>
  <property fmtid="{D5CDD505-2E9C-101B-9397-08002B2CF9AE}" pid="41" name="CVQT_NMONTOFACTURADOANT">
    <vt:lpwstr>+00002623654</vt:lpwstr>
  </property>
  <property fmtid="{D5CDD505-2E9C-101B-9397-08002B2CF9AE}" pid="42" name="CVQT_NMONTOMINIMO">
    <vt:lpwstr>000000077679</vt:lpwstr>
  </property>
  <property fmtid="{D5CDD505-2E9C-101B-9397-08002B2CF9AE}" pid="43" name="CVQT_NMONTOMINIMOIP">
    <vt:lpwstr> $         77.679</vt:lpwstr>
  </property>
  <property fmtid="{D5CDD505-2E9C-101B-9397-08002B2CF9AE}" pid="44" name="CVQT_NMONTOPAGADOANT">
    <vt:lpwstr>-00002623654</vt:lpwstr>
  </property>
  <property fmtid="{D5CDD505-2E9C-101B-9397-08002B2CF9AE}" pid="45" name="CVQT_NMONTOTOTAL">
    <vt:lpwstr>+00001901018</vt:lpwstr>
  </property>
  <property fmtid="{D5CDD505-2E9C-101B-9397-08002B2CF9AE}" pid="46" name="CVQT_NMONTOTOTALIP">
    <vt:lpwstr> $      1.901.018</vt:lpwstr>
  </property>
  <property fmtid="{D5CDD505-2E9C-101B-9397-08002B2CF9AE}" pid="47" name="CVQT_NNOMBRETITULAR">
    <vt:lpwstr>MARCELO PENNA                 </vt:lpwstr>
  </property>
  <property fmtid="{D5CDD505-2E9C-101B-9397-08002B2CF9AE}" pid="48" name="CVQT_NPAGARHASTA">
    <vt:lpwstr>20250515</vt:lpwstr>
  </property>
  <property fmtid="{D5CDD505-2E9C-101B-9397-08002B2CF9AE}" pid="49" name="CVQT_NPROXPERIODODESDE">
    <vt:lpwstr>26/04/2025</vt:lpwstr>
  </property>
  <property fmtid="{D5CDD505-2E9C-101B-9397-08002B2CF9AE}" pid="50" name="CVQT_NPROXPERIODOHASTA">
    <vt:lpwstr>28/05/2025</vt:lpwstr>
  </property>
  <property fmtid="{D5CDD505-2E9C-101B-9397-08002B2CF9AE}" pid="51" name="CVQT_NREC03">
    <vt:lpwstr/>
  </property>
  <property fmtid="{D5CDD505-2E9C-101B-9397-08002B2CF9AE}" pid="52" name="CVQT_NROCUENTA">
    <vt:lpwstr>0005586851000036506</vt:lpwstr>
  </property>
  <property fmtid="{D5CDD505-2E9C-101B-9397-08002B2CF9AE}" pid="53" name="CVQT_NROTATIVOCAE">
    <vt:lpwstr>04168</vt:lpwstr>
  </property>
  <property fmtid="{D5CDD505-2E9C-101B-9397-08002B2CF9AE}" pid="54" name="CVQT_NROTATIVOTASA">
    <vt:lpwstr>0260</vt:lpwstr>
  </property>
  <property fmtid="{D5CDD505-2E9C-101B-9397-08002B2CF9AE}" pid="55" name="CVQT_NSALDOFINADEUDADOANT">
    <vt:lpwstr>+00000000000</vt:lpwstr>
  </property>
  <property fmtid="{D5CDD505-2E9C-101B-9397-08002B2CF9AE}" pid="56" name="CVQT_NSALDOINIADEUDADOANT">
    <vt:lpwstr>-00000168986</vt:lpwstr>
  </property>
  <property fmtid="{D5CDD505-2E9C-101B-9397-08002B2CF9AE}" pid="57" name="CVQT_NVENCACUTAL">
    <vt:lpwstr> $              0</vt:lpwstr>
  </property>
  <property fmtid="{D5CDD505-2E9C-101B-9397-08002B2CF9AE}" pid="58" name="CVQT_NVENCMES1">
    <vt:lpwstr> $              0</vt:lpwstr>
  </property>
  <property fmtid="{D5CDD505-2E9C-101B-9397-08002B2CF9AE}" pid="59" name="CVQT_NVENCMES2">
    <vt:lpwstr> $              0</vt:lpwstr>
  </property>
  <property fmtid="{D5CDD505-2E9C-101B-9397-08002B2CF9AE}" pid="60" name="CVQT_NVENCMES3">
    <vt:lpwstr> $              0</vt:lpwstr>
  </property>
  <property fmtid="{D5CDD505-2E9C-101B-9397-08002B2CF9AE}" pid="61" name="CVQT_NVENCMES4">
    <vt:lpwstr> $              0</vt:lpwstr>
  </property>
  <property fmtid="{D5CDD505-2E9C-101B-9397-08002B2CF9AE}" pid="62" name="Created">
    <vt:filetime>2025-05-01T00:00:00Z</vt:filetime>
  </property>
  <property fmtid="{D5CDD505-2E9C-101B-9397-08002B2CF9AE}" pid="63" name="Producer">
    <vt:lpwstr>OpenPDF 1.3.32</vt:lpwstr>
  </property>
  <property fmtid="{D5CDD505-2E9C-101B-9397-08002B2CF9AE}" pid="64" name="LastSaved">
    <vt:filetime>2025-05-01T00:00:00Z</vt:filetime>
  </property>
  <property fmtid="{D5CDD505-2E9C-101B-9397-08002B2CF9AE}" pid="65" name="ContentTypeId">
    <vt:lpwstr>0x0101008C0FDD3EE9C26F4CA38A0CE1A876A831</vt:lpwstr>
  </property>
  <property fmtid="{D5CDD505-2E9C-101B-9397-08002B2CF9AE}" pid="66" name="MediaServiceImageTags">
    <vt:lpwstr/>
  </property>
</Properties>
</file>