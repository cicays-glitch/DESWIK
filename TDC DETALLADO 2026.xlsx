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5 DESWIK/TDC/"/>
    </mc:Choice>
  </mc:AlternateContent>
  <xr:revisionPtr revIDLastSave="898" documentId="8_{89270070-57E5-4748-87B5-B1FC5B244153}" xr6:coauthVersionLast="47" xr6:coauthVersionMax="47" xr10:uidLastSave="{51DF99CA-56BE-4417-AED3-50836034E69F}"/>
  <bookViews>
    <workbookView xWindow="-107" yWindow="-107" windowWidth="20847" windowHeight="11111" tabRatio="831" activeTab="12" xr2:uid="{9534A908-C09F-46B2-9234-FF190A62D8C9}"/>
  </bookViews>
  <sheets>
    <sheet name="9KA" sheetId="1" r:id="rId1"/>
    <sheet name="9X" sheetId="2" r:id="rId2"/>
    <sheet name="11SC" sheetId="3" r:id="rId3"/>
    <sheet name="11X" sheetId="5" r:id="rId4"/>
    <sheet name="12FM" sheetId="4" r:id="rId5"/>
    <sheet name="12X" sheetId="6" r:id="rId6"/>
    <sheet name="13CW" sheetId="7" r:id="rId7"/>
    <sheet name="13X" sheetId="8" r:id="rId8"/>
    <sheet name="14CM" sheetId="9" r:id="rId9"/>
    <sheet name="14X" sheetId="10" r:id="rId10"/>
    <sheet name="15JM" sheetId="13" r:id="rId11"/>
    <sheet name="15X" sheetId="14" r:id="rId12"/>
    <sheet name="54MP" sheetId="11" r:id="rId13"/>
    <sheet name="54X" sheetId="12" r:id="rId14"/>
    <sheet name="Hoja1" sheetId="15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1" l="1"/>
  <c r="H12" i="7"/>
  <c r="H13" i="7" s="1"/>
  <c r="H14" i="7" s="1"/>
  <c r="H15" i="7" s="1"/>
  <c r="H16" i="7" s="1"/>
  <c r="H17" i="7" s="1"/>
  <c r="N21" i="8"/>
  <c r="H27" i="8"/>
  <c r="H28" i="8" s="1"/>
  <c r="H29" i="8" s="1"/>
  <c r="H30" i="8" s="1"/>
  <c r="H31" i="8" s="1"/>
  <c r="H32" i="8" s="1"/>
  <c r="H33" i="8" s="1"/>
  <c r="H34" i="8" s="1"/>
  <c r="H35" i="8" s="1"/>
  <c r="H36" i="8" s="1"/>
  <c r="H37" i="8" s="1"/>
  <c r="H38" i="8" s="1"/>
  <c r="H39" i="8" s="1"/>
  <c r="H40" i="8" s="1"/>
  <c r="H41" i="8" s="1"/>
  <c r="H42" i="8" s="1"/>
  <c r="H43" i="8" s="1"/>
  <c r="H44" i="8" s="1"/>
  <c r="H45" i="8" s="1"/>
  <c r="H46" i="8" s="1"/>
  <c r="H47" i="8" s="1"/>
  <c r="H48" i="8" s="1"/>
  <c r="H49" i="8" s="1"/>
  <c r="H50" i="8" s="1"/>
  <c r="H51" i="8" s="1"/>
  <c r="H52" i="8" s="1"/>
  <c r="H53" i="8" s="1"/>
  <c r="H54" i="8" s="1"/>
  <c r="H55" i="8" s="1"/>
  <c r="H56" i="8" s="1"/>
  <c r="H57" i="8" s="1"/>
  <c r="H58" i="8" s="1"/>
  <c r="H59" i="8" s="1"/>
  <c r="H60" i="8" s="1"/>
  <c r="H61" i="8" s="1"/>
  <c r="H62" i="8" s="1"/>
  <c r="H63" i="8" s="1"/>
  <c r="H64" i="8" s="1"/>
  <c r="H65" i="8" s="1"/>
  <c r="H66" i="8" s="1"/>
  <c r="H67" i="8" s="1"/>
  <c r="H68" i="8" s="1"/>
  <c r="H69" i="8" s="1"/>
  <c r="H70" i="8" s="1"/>
  <c r="H71" i="8" s="1"/>
  <c r="H72" i="8" s="1"/>
  <c r="H73" i="8" s="1"/>
  <c r="H74" i="8" s="1"/>
  <c r="H75" i="8" s="1"/>
  <c r="H76" i="8" s="1"/>
  <c r="H77" i="8" s="1"/>
  <c r="H78" i="8" s="1"/>
  <c r="H79" i="8" s="1"/>
  <c r="H80" i="8" s="1"/>
  <c r="H81" i="8" s="1"/>
  <c r="H82" i="8" s="1"/>
  <c r="H83" i="8" s="1"/>
  <c r="H84" i="8" s="1"/>
  <c r="H85" i="8" s="1"/>
  <c r="H86" i="8" s="1"/>
  <c r="H87" i="8" s="1"/>
  <c r="H88" i="8" s="1"/>
  <c r="H25" i="8"/>
  <c r="H24" i="8"/>
  <c r="H23" i="8"/>
  <c r="H10" i="13"/>
  <c r="H11" i="13" s="1"/>
  <c r="H12" i="13" s="1"/>
  <c r="N76" i="12"/>
  <c r="H2" i="13"/>
  <c r="H3" i="13" s="1"/>
  <c r="H4" i="13" s="1"/>
  <c r="H5" i="13" s="1"/>
  <c r="H6" i="13" s="1"/>
  <c r="H7" i="13" s="1"/>
  <c r="H8" i="13" s="1"/>
  <c r="H9" i="13" s="1"/>
  <c r="H2" i="7"/>
  <c r="H3" i="7" s="1"/>
  <c r="H4" i="7" s="1"/>
  <c r="H5" i="7" s="1"/>
  <c r="H6" i="7" s="1"/>
  <c r="H7" i="7" s="1"/>
  <c r="H8" i="7" s="1"/>
  <c r="H9" i="7" s="1"/>
  <c r="H10" i="7" s="1"/>
  <c r="H11" i="7" s="1"/>
  <c r="H2" i="3"/>
  <c r="H3" i="3" s="1"/>
  <c r="H4" i="3" s="1"/>
  <c r="H5" i="3" s="1"/>
  <c r="H6" i="3" s="1"/>
  <c r="H7" i="3" s="1"/>
  <c r="H8" i="3" s="1"/>
  <c r="H3" i="1"/>
  <c r="H2" i="1"/>
  <c r="N130" i="12" l="1"/>
  <c r="N101" i="12"/>
  <c r="J5" i="13"/>
  <c r="I5" i="13"/>
  <c r="P22" i="14"/>
  <c r="P21" i="14"/>
  <c r="P19" i="14"/>
  <c r="N17" i="14"/>
  <c r="H20" i="14"/>
  <c r="H21" i="14" s="1"/>
  <c r="H22" i="14" s="1"/>
  <c r="H8" i="10"/>
  <c r="N9" i="10"/>
  <c r="N7" i="10"/>
  <c r="H7" i="10"/>
  <c r="N5" i="10"/>
  <c r="J13" i="9"/>
  <c r="J12" i="9"/>
  <c r="N87" i="8"/>
  <c r="N47" i="8"/>
  <c r="K18" i="4"/>
  <c r="K17" i="4"/>
  <c r="K15" i="4"/>
  <c r="K13" i="4"/>
  <c r="N43" i="6"/>
  <c r="N28" i="6"/>
  <c r="N13" i="6"/>
  <c r="H15" i="6"/>
  <c r="H16" i="6" s="1"/>
  <c r="H17" i="6" s="1"/>
  <c r="H18" i="6" s="1"/>
  <c r="H19" i="6" s="1"/>
  <c r="H20" i="6" s="1"/>
  <c r="H21" i="6" s="1"/>
  <c r="H22" i="6" s="1"/>
  <c r="H23" i="6" s="1"/>
  <c r="H24" i="6" s="1"/>
  <c r="H25" i="6" s="1"/>
  <c r="H26" i="6" s="1"/>
  <c r="H27" i="6" s="1"/>
  <c r="H28" i="6" s="1"/>
  <c r="H29" i="6" s="1"/>
  <c r="H30" i="6" s="1"/>
  <c r="H31" i="6" s="1"/>
  <c r="H32" i="6" s="1"/>
  <c r="H33" i="6" s="1"/>
  <c r="H34" i="6" s="1"/>
  <c r="H35" i="6" s="1"/>
  <c r="H36" i="6" s="1"/>
  <c r="H37" i="6" s="1"/>
  <c r="H38" i="6" s="1"/>
  <c r="H39" i="6" s="1"/>
  <c r="H40" i="6" s="1"/>
  <c r="H41" i="6" s="1"/>
  <c r="H42" i="6" s="1"/>
  <c r="H43" i="6" s="1"/>
  <c r="H44" i="6" s="1"/>
  <c r="J18" i="4"/>
  <c r="I18" i="4"/>
  <c r="J17" i="4"/>
  <c r="I17" i="4"/>
  <c r="H18" i="4"/>
  <c r="H6" i="4"/>
  <c r="H7" i="4"/>
  <c r="N21" i="5"/>
  <c r="N10" i="5"/>
  <c r="N7" i="5"/>
  <c r="H8" i="5"/>
  <c r="H9" i="5" s="1"/>
  <c r="H10" i="5" s="1"/>
  <c r="H11" i="5" s="1"/>
  <c r="H12" i="5" s="1"/>
  <c r="H13" i="5" s="1"/>
  <c r="H14" i="5" s="1"/>
  <c r="H15" i="5" s="1"/>
  <c r="H16" i="5" s="1"/>
  <c r="H17" i="5" s="1"/>
  <c r="H18" i="5" s="1"/>
  <c r="H19" i="5" s="1"/>
  <c r="H20" i="5" s="1"/>
  <c r="H21" i="5" s="1"/>
  <c r="H22" i="5" s="1"/>
  <c r="H7" i="5"/>
  <c r="I14" i="1"/>
  <c r="O51" i="2"/>
  <c r="O25" i="2"/>
  <c r="O17" i="2"/>
  <c r="H20" i="2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H34" i="2" s="1"/>
  <c r="H35" i="2" s="1"/>
  <c r="H36" i="2" s="1"/>
  <c r="H37" i="2" s="1"/>
  <c r="H38" i="2" s="1"/>
  <c r="H39" i="2" s="1"/>
  <c r="H40" i="2" s="1"/>
  <c r="H41" i="2" s="1"/>
  <c r="H42" i="2" s="1"/>
  <c r="H43" i="2" s="1"/>
  <c r="H44" i="2" s="1"/>
  <c r="H45" i="2" s="1"/>
  <c r="H46" i="2" s="1"/>
  <c r="H47" i="2" s="1"/>
  <c r="H48" i="2" s="1"/>
  <c r="H49" i="2" s="1"/>
  <c r="H50" i="2" s="1"/>
  <c r="H51" i="2" s="1"/>
  <c r="H52" i="2" s="1"/>
  <c r="C9" i="15" l="1"/>
  <c r="K9" i="15"/>
  <c r="L1" i="15"/>
  <c r="J1" i="7"/>
  <c r="D9" i="15"/>
  <c r="D6" i="15"/>
  <c r="K1" i="13"/>
  <c r="D10" i="15" l="1"/>
  <c r="H2" i="12" l="1"/>
  <c r="H3" i="12" s="1"/>
  <c r="H4" i="12" s="1"/>
  <c r="H5" i="12" s="1"/>
  <c r="H6" i="12" s="1"/>
  <c r="H7" i="12" s="1"/>
  <c r="H8" i="12" s="1"/>
  <c r="H9" i="12" s="1"/>
  <c r="H10" i="12" s="1"/>
  <c r="H11" i="12" s="1"/>
  <c r="H12" i="12" s="1"/>
  <c r="H13" i="12" s="1"/>
  <c r="H14" i="12" s="1"/>
  <c r="H15" i="12" s="1"/>
  <c r="H16" i="12" s="1"/>
  <c r="H17" i="12" s="1"/>
  <c r="H18" i="12" s="1"/>
  <c r="H19" i="12" s="1"/>
  <c r="H20" i="12" s="1"/>
  <c r="H21" i="12" s="1"/>
  <c r="H22" i="12" s="1"/>
  <c r="H23" i="12" s="1"/>
  <c r="H24" i="12" s="1"/>
  <c r="H25" i="12" s="1"/>
  <c r="H26" i="12" s="1"/>
  <c r="H27" i="12" s="1"/>
  <c r="H28" i="12" s="1"/>
  <c r="H29" i="12" s="1"/>
  <c r="H30" i="12" s="1"/>
  <c r="H31" i="12" s="1"/>
  <c r="H32" i="12" s="1"/>
  <c r="H33" i="12" s="1"/>
  <c r="H34" i="12" s="1"/>
  <c r="H35" i="12" s="1"/>
  <c r="H36" i="12" s="1"/>
  <c r="H37" i="12" s="1"/>
  <c r="H38" i="12" s="1"/>
  <c r="H39" i="12" s="1"/>
  <c r="H40" i="12" s="1"/>
  <c r="H41" i="12" s="1"/>
  <c r="H42" i="12" s="1"/>
  <c r="H43" i="12" s="1"/>
  <c r="H44" i="12" s="1"/>
  <c r="H45" i="12" s="1"/>
  <c r="H46" i="12" s="1"/>
  <c r="H47" i="12" s="1"/>
  <c r="H48" i="12" s="1"/>
  <c r="H49" i="12" s="1"/>
  <c r="H50" i="12" s="1"/>
  <c r="H51" i="12" s="1"/>
  <c r="H52" i="12" s="1"/>
  <c r="H53" i="12" s="1"/>
  <c r="H54" i="12" s="1"/>
  <c r="H55" i="12" s="1"/>
  <c r="H56" i="12" s="1"/>
  <c r="H57" i="12" s="1"/>
  <c r="H58" i="12" s="1"/>
  <c r="H59" i="12" s="1"/>
  <c r="H60" i="12" s="1"/>
  <c r="H61" i="12" s="1"/>
  <c r="H62" i="12" s="1"/>
  <c r="H63" i="12" s="1"/>
  <c r="H64" i="12" s="1"/>
  <c r="H65" i="12" s="1"/>
  <c r="H66" i="12" s="1"/>
  <c r="H67" i="12" s="1"/>
  <c r="H68" i="12" s="1"/>
  <c r="H69" i="12" s="1"/>
  <c r="H70" i="12" s="1"/>
  <c r="H71" i="12" s="1"/>
  <c r="H72" i="12" s="1"/>
  <c r="H73" i="12" s="1"/>
  <c r="H74" i="12" s="1"/>
  <c r="H75" i="12" s="1"/>
  <c r="H76" i="12" s="1"/>
  <c r="H77" i="12" s="1"/>
  <c r="H78" i="12" s="1"/>
  <c r="H79" i="12" s="1"/>
  <c r="H80" i="12" s="1"/>
  <c r="H81" i="12" s="1"/>
  <c r="H82" i="12" s="1"/>
  <c r="H83" i="12" s="1"/>
  <c r="H84" i="12" s="1"/>
  <c r="H85" i="12" s="1"/>
  <c r="H86" i="12" s="1"/>
  <c r="H87" i="12" s="1"/>
  <c r="H88" i="12" s="1"/>
  <c r="H89" i="12" s="1"/>
  <c r="H90" i="12" s="1"/>
  <c r="H91" i="12" s="1"/>
  <c r="H92" i="12" s="1"/>
  <c r="H93" i="12" s="1"/>
  <c r="H94" i="12" s="1"/>
  <c r="H95" i="12" s="1"/>
  <c r="H96" i="12" s="1"/>
  <c r="H97" i="12" s="1"/>
  <c r="H98" i="12" s="1"/>
  <c r="H99" i="12" s="1"/>
  <c r="H100" i="12" s="1"/>
  <c r="H101" i="12" s="1"/>
  <c r="H102" i="12" s="1"/>
  <c r="H103" i="12" s="1"/>
  <c r="H104" i="12" s="1"/>
  <c r="H105" i="12" s="1"/>
  <c r="H106" i="12" s="1"/>
  <c r="H107" i="12" s="1"/>
  <c r="H108" i="12" s="1"/>
  <c r="H109" i="12" s="1"/>
  <c r="H110" i="12" s="1"/>
  <c r="H111" i="12" s="1"/>
  <c r="H112" i="12" s="1"/>
  <c r="H113" i="12" s="1"/>
  <c r="H114" i="12" s="1"/>
  <c r="H115" i="12" s="1"/>
  <c r="H116" i="12" s="1"/>
  <c r="H117" i="12" s="1"/>
  <c r="H118" i="12" s="1"/>
  <c r="H119" i="12" s="1"/>
  <c r="H120" i="12" s="1"/>
  <c r="H121" i="12" s="1"/>
  <c r="H122" i="12" s="1"/>
  <c r="H123" i="12" s="1"/>
  <c r="H124" i="12" s="1"/>
  <c r="H125" i="12" s="1"/>
  <c r="H126" i="12" s="1"/>
  <c r="H127" i="12" s="1"/>
  <c r="H128" i="12" s="1"/>
  <c r="H129" i="12" s="1"/>
  <c r="H130" i="12" s="1"/>
  <c r="H131" i="12" s="1"/>
  <c r="H4" i="14"/>
  <c r="H5" i="14"/>
  <c r="H6" i="14"/>
  <c r="H7" i="14"/>
  <c r="H8" i="14"/>
  <c r="H9" i="14"/>
  <c r="H10" i="14"/>
  <c r="H11" i="14"/>
  <c r="H12" i="14" s="1"/>
  <c r="H13" i="14" s="1"/>
  <c r="H14" i="14" s="1"/>
  <c r="H15" i="14" s="1"/>
  <c r="H16" i="14" s="1"/>
  <c r="H17" i="14" s="1"/>
  <c r="H18" i="14" s="1"/>
  <c r="H19" i="14" s="1"/>
  <c r="H3" i="14"/>
  <c r="H2" i="14"/>
  <c r="H2" i="10"/>
  <c r="H3" i="10" s="1"/>
  <c r="H4" i="10" s="1"/>
  <c r="H5" i="10" s="1"/>
  <c r="H6" i="10" s="1"/>
  <c r="H2" i="8"/>
  <c r="H3" i="8" s="1"/>
  <c r="H4" i="8" s="1"/>
  <c r="H5" i="8" s="1"/>
  <c r="H6" i="8" s="1"/>
  <c r="H7" i="8" s="1"/>
  <c r="H8" i="8" s="1"/>
  <c r="H9" i="8" s="1"/>
  <c r="H10" i="8" s="1"/>
  <c r="H11" i="8" s="1"/>
  <c r="H12" i="8" s="1"/>
  <c r="H13" i="8" s="1"/>
  <c r="H14" i="8" s="1"/>
  <c r="H15" i="8" s="1"/>
  <c r="H16" i="8" s="1"/>
  <c r="H17" i="8" s="1"/>
  <c r="H18" i="8" s="1"/>
  <c r="H19" i="8" s="1"/>
  <c r="H20" i="8" s="1"/>
  <c r="H21" i="8" s="1"/>
  <c r="H22" i="8" s="1"/>
  <c r="H26" i="8" s="1"/>
  <c r="H4" i="6"/>
  <c r="H5" i="6" s="1"/>
  <c r="H6" i="6" s="1"/>
  <c r="H7" i="6" s="1"/>
  <c r="H8" i="6" s="1"/>
  <c r="H9" i="6" s="1"/>
  <c r="H10" i="6" s="1"/>
  <c r="H11" i="6" s="1"/>
  <c r="H12" i="6" s="1"/>
  <c r="H13" i="6" s="1"/>
  <c r="H14" i="6" s="1"/>
  <c r="H3" i="6"/>
  <c r="H2" i="6"/>
  <c r="H4" i="5"/>
  <c r="H5" i="5"/>
  <c r="H6" i="5"/>
  <c r="H3" i="5"/>
  <c r="H2" i="5"/>
  <c r="H4" i="2"/>
  <c r="H5" i="2"/>
  <c r="H6" i="2"/>
  <c r="H7" i="2" s="1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3" i="2"/>
  <c r="H2" i="2"/>
  <c r="H2" i="11"/>
  <c r="H3" i="11" s="1"/>
  <c r="H4" i="11" s="1"/>
  <c r="H5" i="11" s="1"/>
  <c r="H6" i="11" s="1"/>
  <c r="H7" i="11" s="1"/>
  <c r="I2" i="9"/>
  <c r="I3" i="9" s="1"/>
  <c r="I4" i="9" s="1"/>
  <c r="H2" i="4"/>
  <c r="H3" i="4" s="1"/>
  <c r="H4" i="4" s="1"/>
  <c r="H5" i="4" s="1"/>
  <c r="H4" i="1"/>
  <c r="L1" i="11"/>
  <c r="I13" i="11"/>
  <c r="H13" i="11"/>
  <c r="H14" i="11" s="1"/>
  <c r="J10" i="9"/>
  <c r="K10" i="9" s="1"/>
  <c r="L10" i="9" s="1"/>
  <c r="I10" i="9"/>
  <c r="I11" i="9" s="1"/>
  <c r="J11" i="9" s="1"/>
  <c r="I20" i="7"/>
  <c r="J20" i="7" s="1"/>
  <c r="K20" i="7" s="1"/>
  <c r="H20" i="7"/>
  <c r="H21" i="7" s="1"/>
  <c r="H22" i="7" s="1"/>
  <c r="I13" i="4"/>
  <c r="J13" i="4" s="1"/>
  <c r="H13" i="4"/>
  <c r="H14" i="4" s="1"/>
  <c r="H15" i="4" s="1"/>
  <c r="I14" i="3"/>
  <c r="H14" i="3"/>
  <c r="H15" i="3" s="1"/>
  <c r="J14" i="1"/>
  <c r="K14" i="1" s="1"/>
  <c r="H14" i="1"/>
  <c r="H15" i="1" s="1"/>
  <c r="H15" i="11" l="1"/>
  <c r="I14" i="11"/>
  <c r="J14" i="11" s="1"/>
  <c r="K14" i="11" s="1"/>
  <c r="I6" i="13"/>
  <c r="J6" i="13" s="1"/>
  <c r="I5" i="9"/>
  <c r="K13" i="9" s="1"/>
  <c r="L13" i="9" s="1"/>
  <c r="K12" i="9"/>
  <c r="L12" i="9" s="1"/>
  <c r="K11" i="9"/>
  <c r="L11" i="9" s="1"/>
  <c r="H16" i="3"/>
  <c r="I15" i="3"/>
  <c r="J15" i="3" s="1"/>
  <c r="K15" i="3" s="1"/>
  <c r="H16" i="1"/>
  <c r="I16" i="1" s="1"/>
  <c r="I15" i="1"/>
  <c r="J15" i="1" s="1"/>
  <c r="K15" i="1" s="1"/>
  <c r="H23" i="7"/>
  <c r="H24" i="7" s="1"/>
  <c r="I22" i="7"/>
  <c r="I15" i="4"/>
  <c r="J15" i="4" s="1"/>
  <c r="H16" i="4"/>
  <c r="H17" i="4" s="1"/>
  <c r="H5" i="1"/>
  <c r="H6" i="1" s="1"/>
  <c r="L2" i="15"/>
  <c r="N13" i="11"/>
  <c r="J14" i="3"/>
  <c r="K14" i="3" s="1"/>
  <c r="M14" i="11"/>
  <c r="N14" i="11" s="1"/>
  <c r="M13" i="11"/>
  <c r="J13" i="11"/>
  <c r="K13" i="11" s="1"/>
  <c r="L3" i="11"/>
  <c r="J22" i="7" l="1"/>
  <c r="K22" i="7" s="1"/>
  <c r="I15" i="11"/>
  <c r="J15" i="11" s="1"/>
  <c r="K15" i="11" s="1"/>
  <c r="H16" i="11"/>
  <c r="H17" i="11" s="1"/>
  <c r="I17" i="11" s="1"/>
  <c r="J17" i="11" s="1"/>
  <c r="K17" i="11" s="1"/>
  <c r="I12" i="13"/>
  <c r="J12" i="13" s="1"/>
  <c r="I11" i="13"/>
  <c r="J11" i="13" s="1"/>
  <c r="I24" i="7"/>
  <c r="J24" i="7" s="1"/>
  <c r="K24" i="7" s="1"/>
  <c r="H25" i="7"/>
  <c r="H26" i="7" s="1"/>
  <c r="I26" i="7" s="1"/>
  <c r="I16" i="3"/>
  <c r="J16" i="3" s="1"/>
  <c r="K16" i="3" s="1"/>
  <c r="H17" i="3"/>
  <c r="H18" i="3" s="1"/>
  <c r="I18" i="3" s="1"/>
  <c r="J16" i="1"/>
  <c r="K16" i="1" s="1"/>
  <c r="H17" i="1"/>
  <c r="H18" i="1" s="1"/>
  <c r="I18" i="1" s="1"/>
  <c r="O13" i="11"/>
  <c r="H7" i="1"/>
  <c r="H8" i="1" s="1"/>
  <c r="J18" i="1" s="1"/>
  <c r="K18" i="1" s="1"/>
  <c r="O14" i="11"/>
  <c r="J26" i="7" l="1"/>
  <c r="K26" i="7" s="1"/>
  <c r="K18" i="3"/>
  <c r="J18" i="3"/>
</calcChain>
</file>

<file path=xl/sharedStrings.xml><?xml version="1.0" encoding="utf-8"?>
<sst xmlns="http://schemas.openxmlformats.org/spreadsheetml/2006/main" count="1568" uniqueCount="250">
  <si>
    <t>adig/1836</t>
  </si>
  <si>
    <t>Glosa : TDC K. ALARCON</t>
  </si>
  <si>
    <t>KATHERINNE SILVANA ALARCON ESCOBAR</t>
  </si>
  <si>
    <t>adig/1838</t>
  </si>
  <si>
    <t>Glosa : TDC JS CARVALLO</t>
  </si>
  <si>
    <t>JUAN SEBASTIAN CARVALLO JIMÉNEZ</t>
  </si>
  <si>
    <t>adig/1835</t>
  </si>
  <si>
    <t>Glosa : TDC CLP/USD FRANCISCO MIRANDA</t>
  </si>
  <si>
    <t>FRANCISCO MIRANDA RIADI</t>
  </si>
  <si>
    <t>adig/1833</t>
  </si>
  <si>
    <t>Glosa : TDC CAITLYN WEAT</t>
  </si>
  <si>
    <t>CAITLIN JOY WHEAT</t>
  </si>
  <si>
    <t>adig/1834</t>
  </si>
  <si>
    <t>Glosa : TDC CESAR MACHADO</t>
  </si>
  <si>
    <t>CESAR FELIPE MACHADO RIBEIRO LOPES</t>
  </si>
  <si>
    <t>adig/1837</t>
  </si>
  <si>
    <t>Glosa : TDC M. PENNA</t>
  </si>
  <si>
    <t>MARCELO PENNA SANTOS</t>
  </si>
  <si>
    <t>adig/1813</t>
  </si>
  <si>
    <t>Glosa : 25.12 - Reimbursable Expense - Gastos Frigobar Hot... | 25.12 - Reimbursable Expense - Gastos Frigobar Hot...</t>
  </si>
  <si>
    <t>JORGE MORIS JORDÁN</t>
  </si>
  <si>
    <t>adig/1864</t>
  </si>
  <si>
    <t>Glosa : Katherinnes credit card payment</t>
  </si>
  <si>
    <t>adig/1896</t>
  </si>
  <si>
    <t>adig/1862</t>
  </si>
  <si>
    <t>Glosa : Credit card payment SC</t>
  </si>
  <si>
    <t>adig/1894</t>
  </si>
  <si>
    <t>Glosa : TDC CLP JUAN CARVALLO</t>
  </si>
  <si>
    <t>adig/1863</t>
  </si>
  <si>
    <t>Glosa : Bank Transfer to CC Francisco Miranda.</t>
  </si>
  <si>
    <t>adig/1893</t>
  </si>
  <si>
    <t>adig/1866</t>
  </si>
  <si>
    <t>Glosa : Credit card payment CW</t>
  </si>
  <si>
    <t>adig/1891</t>
  </si>
  <si>
    <t>adig/1865</t>
  </si>
  <si>
    <t>Glosa : Credit Card payment CM</t>
  </si>
  <si>
    <t>adig/1892</t>
  </si>
  <si>
    <t>adig/1897</t>
  </si>
  <si>
    <t>Glosa : TDC CLP/USD JORGE MORIS</t>
  </si>
  <si>
    <t>adig/1861</t>
  </si>
  <si>
    <t>Glosa : Credit Card payment MP</t>
  </si>
  <si>
    <t>adig/1895</t>
  </si>
  <si>
    <t>DICIEMBRE</t>
  </si>
  <si>
    <t>ENERO</t>
  </si>
  <si>
    <t>Account Code</t>
  </si>
  <si>
    <t>Date</t>
  </si>
  <si>
    <t>Source</t>
  </si>
  <si>
    <t>Description</t>
  </si>
  <si>
    <t>Reference</t>
  </si>
  <si>
    <t>Debit</t>
  </si>
  <si>
    <t>Credit</t>
  </si>
  <si>
    <t>2114-09</t>
  </si>
  <si>
    <t>Spend Money</t>
  </si>
  <si>
    <t>Provision Expenses CC</t>
  </si>
  <si>
    <t>Bank Transfer</t>
  </si>
  <si>
    <t>Bank Transfer from Citibank - CLP to CC Katherinne Alarcon</t>
  </si>
  <si>
    <t>KA´s credit crd payemnt</t>
  </si>
  <si>
    <t>Banco De Chile</t>
  </si>
  <si>
    <t>CC Expense</t>
  </si>
  <si>
    <t>Pasaje a Belo</t>
  </si>
  <si>
    <t>Receive Money</t>
  </si>
  <si>
    <t>2114-11</t>
  </si>
  <si>
    <t>Bank Transfer from Citibank - CLP to CC Sebastián Carvallo</t>
  </si>
  <si>
    <t>SC´s credit card payment</t>
  </si>
  <si>
    <t>2114-12</t>
  </si>
  <si>
    <t>Impuestro uso aeropuerto Lime Peru</t>
  </si>
  <si>
    <t>Bank Transfer from Citibank - CLP to CC Francisco Miranda</t>
  </si>
  <si>
    <t>FM´s credit card payment</t>
  </si>
  <si>
    <t>Almuerzo</t>
  </si>
  <si>
    <t>Cena</t>
  </si>
  <si>
    <t>2114-13</t>
  </si>
  <si>
    <t>Payable Payment</t>
  </si>
  <si>
    <t>Payment: Telefonica Chile S.A (Movistar)</t>
  </si>
  <si>
    <t>54133203</t>
  </si>
  <si>
    <t>Dulceria Praline - Birthday cakes - Katherinne and Denisse</t>
  </si>
  <si>
    <t>F/50708669</t>
  </si>
  <si>
    <t>Cafe Diario 5976 + Justo- Catering clients in the office</t>
  </si>
  <si>
    <t>Coca Cola - drinks for the office</t>
  </si>
  <si>
    <t xml:space="preserve">Artifood - healthy snacks </t>
  </si>
  <si>
    <t>BECKER PADRUNO GRATTINI Y COMPANIA LTDA</t>
  </si>
  <si>
    <t>Unimarc - snacks / milk for office</t>
  </si>
  <si>
    <t>My Home - homewares for the office</t>
  </si>
  <si>
    <t>Bank Transfer from Citibank - CLP to CC Caitlin Wheat</t>
  </si>
  <si>
    <t>CW´s credit card payemnt</t>
  </si>
  <si>
    <t>Municipalidad Las Condes - Patente 1er semestre</t>
  </si>
  <si>
    <t>GMG Forum - Tickets for Carolina Toro and Marcelo Penna</t>
  </si>
  <si>
    <t>Sodimac - dispensador de agua para la oficina</t>
  </si>
  <si>
    <t>Oxxo - happy hour</t>
  </si>
  <si>
    <t>Flights Sebastian Carvallo - 16 Feb to 3 march 2026</t>
  </si>
  <si>
    <t>Cabify para volver a casa despues de dejar el auto arrendado</t>
  </si>
  <si>
    <t>2114-14</t>
  </si>
  <si>
    <t>Bank Transfer from Citibank - CLP to CC Cesar Machado</t>
  </si>
  <si>
    <t>2114-15</t>
  </si>
  <si>
    <t>Estacionamiento 12 enero</t>
  </si>
  <si>
    <t>Estacionamiento 13 enero</t>
  </si>
  <si>
    <t>Estacionamiento 14 enero</t>
  </si>
  <si>
    <t>Combustible semana 1</t>
  </si>
  <si>
    <t>Estacionamiento 15 enero</t>
  </si>
  <si>
    <t xml:space="preserve">Chocolates para entrenamientos </t>
  </si>
  <si>
    <t>Estacionamiento 19 enero</t>
  </si>
  <si>
    <t>Combustible semana 2</t>
  </si>
  <si>
    <t xml:space="preserve">Estacionamiento 20 enero </t>
  </si>
  <si>
    <t xml:space="preserve">Estacionamiento 21 enero </t>
  </si>
  <si>
    <t>Estacionamiento 22 enero</t>
  </si>
  <si>
    <t>Combustible semana 3</t>
  </si>
  <si>
    <t>Estacionamiento 26 enero</t>
  </si>
  <si>
    <t>Estacionamiento 27 enero</t>
  </si>
  <si>
    <t>Estacionamiento 28 enero</t>
  </si>
  <si>
    <t>F1770256 Serpab / Arriendo Auto</t>
  </si>
  <si>
    <t>2114-54</t>
  </si>
  <si>
    <t>Taxi - Airport - House</t>
  </si>
  <si>
    <t>Water Airport</t>
  </si>
  <si>
    <t>Uber - House - Office</t>
  </si>
  <si>
    <t>Uber - Office - House</t>
  </si>
  <si>
    <t>Uber - Happy Hour - House</t>
  </si>
  <si>
    <t>Uber - House - Amadoria</t>
  </si>
  <si>
    <t>Uber - House - Olympics</t>
  </si>
  <si>
    <t>Uber to Deswik Party</t>
  </si>
  <si>
    <t>Uber - Olympics - House</t>
  </si>
  <si>
    <t>Lunch Marcelo and Jorge in Rancagua</t>
  </si>
  <si>
    <t>Coffee for Marcelo, Cesar and Sadvik team (post CODELCO meeting)</t>
  </si>
  <si>
    <t>Dinner for Marcelo, Cesar and Kevin Braund</t>
  </si>
  <si>
    <t>Lunch at the airport - Traveling to Copiap</t>
  </si>
  <si>
    <t>Water at the airport</t>
  </si>
  <si>
    <t>Dinner for Marcelo, Sebastian and Francisco in Copiap</t>
  </si>
  <si>
    <t>Taxi SCL - Home</t>
  </si>
  <si>
    <t>Breakfast at the airport</t>
  </si>
  <si>
    <t>Uber - Home - SCL</t>
  </si>
  <si>
    <t>Taxi - SCL - Home</t>
  </si>
  <si>
    <t>Uber Courier - Deswik - Glencore Office (Cintya forgot her mouse at Deswik office)</t>
  </si>
  <si>
    <t>Uber - Glencore Office - Home</t>
  </si>
  <si>
    <t>Taxi - SCL - Home (back from Brazil)</t>
  </si>
  <si>
    <t>Taxi - SCL - Home (price increase to make extra stop to drop Cesar at the hotel)</t>
  </si>
  <si>
    <t>Van in Calama - Airport to Codelco offices</t>
  </si>
  <si>
    <t>Lunch for Workshop in Codelco</t>
  </si>
  <si>
    <t>Food at Calama Airport (Marcelo, Cesar, Carolina, Francisco and Jorge)</t>
  </si>
  <si>
    <t>Lunch (Marcelo, Cesar and Carolina)</t>
  </si>
  <si>
    <t>Uber Home - SCL</t>
  </si>
  <si>
    <t>Bank Transfer from Citibank - CLP to CC Marcelo Penna</t>
  </si>
  <si>
    <t>Credit Card payment</t>
  </si>
  <si>
    <t>Glosa : CC Expense - Oxxo - happy hour</t>
  </si>
  <si>
    <t>Glosa : CC Expense - Cabify para volver a casa despues de dejar el auto arrendado</t>
  </si>
  <si>
    <t>Glosa : CC Expense - Flights Sebastian Carvallo - 16 Feb to 3 march 2026</t>
  </si>
  <si>
    <t>Glosa : CC Expense - Estacionamiento 27 enero</t>
  </si>
  <si>
    <t>Glosa : CC Expense - Combustible semana 3</t>
  </si>
  <si>
    <t>Glosa : Pago F1770256 Serpab en tdc</t>
  </si>
  <si>
    <t>AÑO ANT</t>
  </si>
  <si>
    <t>clp</t>
  </si>
  <si>
    <t>usd</t>
  </si>
  <si>
    <t>S/A</t>
  </si>
  <si>
    <t>DIF</t>
  </si>
  <si>
    <t>Glosa : Tarjeta credito caitlin</t>
  </si>
  <si>
    <t>adig/1912</t>
  </si>
  <si>
    <t>Glosa : Tarjeta credito Marcelo Penna</t>
  </si>
  <si>
    <t>adig/1941</t>
  </si>
  <si>
    <t>adig/1913</t>
  </si>
  <si>
    <t>Glosa : Tarjeta de credito sebastian carballo</t>
  </si>
  <si>
    <t>adig/1938</t>
  </si>
  <si>
    <t>adig/1914</t>
  </si>
  <si>
    <t>Glosa : Tarjeeta credito Katherinne alarcon</t>
  </si>
  <si>
    <t>adig/1942</t>
  </si>
  <si>
    <t>adig/1915</t>
  </si>
  <si>
    <t>Glosa : Tarjeta credito Cesar Machado</t>
  </si>
  <si>
    <t>adig/1916</t>
  </si>
  <si>
    <t>Glosa : Tarjeta credito francisco miranda</t>
  </si>
  <si>
    <t>adig/1940</t>
  </si>
  <si>
    <t>adig/1917</t>
  </si>
  <si>
    <t>Glosa : Tarjeta de credito jorge moris</t>
  </si>
  <si>
    <t>adig/1939</t>
  </si>
  <si>
    <t>adig/1943</t>
  </si>
  <si>
    <t>plib/122</t>
  </si>
  <si>
    <t>Glosa : Pago tarjeta de credito Katherinne Alarcon</t>
  </si>
  <si>
    <t>adig/1984</t>
  </si>
  <si>
    <t>Tarj Créd Kathe Alarcon</t>
  </si>
  <si>
    <t>Joiin Ltda</t>
  </si>
  <si>
    <t>D30E2B660005</t>
  </si>
  <si>
    <t>KA´s credit card payemnt</t>
  </si>
  <si>
    <t>saldo inicial?</t>
  </si>
  <si>
    <t>diciembre</t>
  </si>
  <si>
    <t>enero</t>
  </si>
  <si>
    <t>febrero</t>
  </si>
  <si>
    <t>marzo</t>
  </si>
  <si>
    <t>plib/121</t>
  </si>
  <si>
    <t>Glosa : Pago tarjeta de credito Sebastian Carvallo</t>
  </si>
  <si>
    <t>adig/1983</t>
  </si>
  <si>
    <t>Tarj Créd Sebastian Carvallo</t>
  </si>
  <si>
    <t>Desayuno</t>
  </si>
  <si>
    <t>SC´s credit card payemnt</t>
  </si>
  <si>
    <t>salñdo apertura?</t>
  </si>
  <si>
    <t>plib/120</t>
  </si>
  <si>
    <t>Glosa : Pago Tarjeta de credito Francisco Miranda</t>
  </si>
  <si>
    <t>adig/1985</t>
  </si>
  <si>
    <t>Tarj Créd Francisco Miranda</t>
  </si>
  <si>
    <t>Impuesto Aeropuerto</t>
  </si>
  <si>
    <t>plib/124</t>
  </si>
  <si>
    <t>Glosa : Pago tarjeta de credito Caitlin Wheat</t>
  </si>
  <si>
    <t>adig/1986</t>
  </si>
  <si>
    <t>Mi Coca Cola - Drinks for the office</t>
  </si>
  <si>
    <t>Artifood - Healthy snacks for the office</t>
  </si>
  <si>
    <t>Confiteria - Snacks for the office</t>
  </si>
  <si>
    <t>Enjoy Antofagasta - Cena mujeres - Accommodation for Carolina Toro and Marcelo Penna</t>
  </si>
  <si>
    <t>Unimarc - yoghurt for the office</t>
  </si>
  <si>
    <t>54139621</t>
  </si>
  <si>
    <t>Cabify - Marcelo Penna - Meeting - Unicorn Consulting</t>
  </si>
  <si>
    <t>Cabify - Marcelo Penna - Home from meeting (Unicorn Consulting)</t>
  </si>
  <si>
    <t>Office supplies - ream of paper for sales team</t>
  </si>
  <si>
    <t>Tarj Créd Caitlin Wheat</t>
  </si>
  <si>
    <t>Cabify - Carolina Toro - visita a GG Gardilcic</t>
  </si>
  <si>
    <t xml:space="preserve">Cabify - Carolina Toro - Reunin con Mitsubishi </t>
  </si>
  <si>
    <t xml:space="preserve">Cabify - Carolina Toro - Mitsubishi </t>
  </si>
  <si>
    <t>La Cabrera - welcome lunch Renata Morales</t>
  </si>
  <si>
    <t>San Fernando Plaza - Medellin - Travel Marcelo Penna</t>
  </si>
  <si>
    <t>Cafe Diario 6201-Justo 508703 catering BMining training</t>
  </si>
  <si>
    <t>Cafe Diario 6210 Justo 509276- catering BMining training 2nd day</t>
  </si>
  <si>
    <t>Artifood - healthy snacks for office</t>
  </si>
  <si>
    <t>Cocacola - Drinks for the office</t>
  </si>
  <si>
    <t>Confiteria - snacks for office</t>
  </si>
  <si>
    <t>Unimarc - yoghurt and office supplies</t>
  </si>
  <si>
    <t>Dulceria - Torta cumpleanos Caroline Zorzi</t>
  </si>
  <si>
    <t>Cafe Diario Encomenderos Spa</t>
  </si>
  <si>
    <t>Catering AMSA training - was cancelled and amount reimbursed directly to Bank</t>
  </si>
  <si>
    <t>Cabify - Caroline Zorzi - dia mujeres</t>
  </si>
  <si>
    <t>Cabify - Katherinne Alarcon - dia mujeres</t>
  </si>
  <si>
    <t>Cabify - Antonieta Gonzalez - dia mujeres</t>
  </si>
  <si>
    <t>Cabify - Carolina Toro - dia mujeres</t>
  </si>
  <si>
    <t>Cabify - Carolina Toro - Happy hour Cals visit</t>
  </si>
  <si>
    <t>Cabify - Denisse Castro - Happy hour Cals visit</t>
  </si>
  <si>
    <t>Cabify - Caroline Zorzi - Happy hour Cals visit</t>
  </si>
  <si>
    <t>Cabify - Yerko Franasovic - Happy hour Cals visit</t>
  </si>
  <si>
    <t>Cabify - Antonieta Gonzalez- Mutual - Medical exams</t>
  </si>
  <si>
    <t>Cabify - Caroline Zorzi- Mutual - Medical exams</t>
  </si>
  <si>
    <t>Cabify - Jorge Moris- Mutual - Medical exams</t>
  </si>
  <si>
    <t>Cabify - Marcelo Penna - Aeropuerto - visit Antofagasta Cena Mujeres</t>
  </si>
  <si>
    <t>Sodimac - nuevo dispensador de papel para oficina</t>
  </si>
  <si>
    <t>Dulceria - Torta cumpleanos Yerko Franasovic</t>
  </si>
  <si>
    <t>Avianca - Marcelo Penna - viaje Cerrejon - USD 96,10</t>
  </si>
  <si>
    <t>PPE Sebastian Carvallo - Cerro Negro</t>
  </si>
  <si>
    <t>Mobile Phone - Renata Morales</t>
  </si>
  <si>
    <t>Aerolineas Argentinas - Sebastian Carvallo - Cerro Negro</t>
  </si>
  <si>
    <t>saldo apertura</t>
  </si>
  <si>
    <t>Tarj Créd Cesar Machado</t>
  </si>
  <si>
    <t>plib/123</t>
  </si>
  <si>
    <t>Glosa : Pago tarjeta de credito Jorge Moris</t>
  </si>
  <si>
    <t>Bank Transfer from Citibank - CLP to CC Jorge Moris</t>
  </si>
  <si>
    <t>Tarj Créd Jorge Moris</t>
  </si>
  <si>
    <t>JM´s credit card payment</t>
  </si>
  <si>
    <t>plib/125</t>
  </si>
  <si>
    <t>adig/1982</t>
  </si>
  <si>
    <t>Tarj Créd Marcelo Penna</t>
  </si>
  <si>
    <t>MP´s credit card payemnt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</si>
</sst>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164" formatCode="dd\ mmm\ yyyy"/>
    <numFmt numFmtId="165" formatCode="#,##0.00;\(#,##0.00\)"/>
    <numFmt numFmtId="167" formatCode="_ * #,##0.00_ ;_ * \-#,##0.00_ ;_ * &quot;-&quot;_ ;_ @_ 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0"/>
      <color theme="1"/>
      <name val="Arial"/>
      <family val="2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CCFF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53">
    <xf numFmtId="0" fontId="0" fillId="0" borderId="0" xfId="0"/>
    <xf numFmtId="14" fontId="0" fillId="0" borderId="0" xfId="0" applyNumberFormat="1"/>
    <xf numFmtId="3" fontId="0" fillId="0" borderId="0" xfId="0" applyNumberFormat="1"/>
    <xf numFmtId="3" fontId="2" fillId="2" borderId="0" xfId="0" applyNumberFormat="1" applyFont="1" applyFill="1"/>
    <xf numFmtId="4" fontId="3" fillId="2" borderId="0" xfId="0" applyNumberFormat="1" applyFont="1" applyFill="1"/>
    <xf numFmtId="3" fontId="4" fillId="3" borderId="0" xfId="0" applyNumberFormat="1" applyFont="1" applyFill="1"/>
    <xf numFmtId="3" fontId="3" fillId="2" borderId="0" xfId="0" applyNumberFormat="1" applyFont="1" applyFill="1"/>
    <xf numFmtId="3" fontId="0" fillId="2" borderId="0" xfId="0" applyNumberFormat="1" applyFill="1"/>
    <xf numFmtId="3" fontId="5" fillId="0" borderId="0" xfId="0" applyNumberFormat="1" applyFont="1"/>
    <xf numFmtId="3" fontId="3" fillId="0" borderId="0" xfId="0" applyNumberFormat="1" applyFont="1"/>
    <xf numFmtId="4" fontId="0" fillId="0" borderId="0" xfId="0" applyNumberFormat="1"/>
    <xf numFmtId="3" fontId="0" fillId="4" borderId="0" xfId="0" applyNumberFormat="1" applyFill="1"/>
    <xf numFmtId="0" fontId="0" fillId="4" borderId="0" xfId="0" applyFill="1"/>
    <xf numFmtId="41" fontId="0" fillId="4" borderId="0" xfId="1" applyFont="1" applyFill="1"/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horizontal="left" vertical="center"/>
    </xf>
    <xf numFmtId="165" fontId="0" fillId="0" borderId="0" xfId="0" applyNumberFormat="1" applyAlignment="1">
      <alignment horizontal="right" vertical="center"/>
    </xf>
    <xf numFmtId="0" fontId="0" fillId="0" borderId="2" xfId="0" applyBorder="1" applyAlignment="1">
      <alignment vertical="center"/>
    </xf>
    <xf numFmtId="164" fontId="0" fillId="0" borderId="2" xfId="0" applyNumberFormat="1" applyBorder="1" applyAlignment="1">
      <alignment horizontal="left" vertical="center"/>
    </xf>
    <xf numFmtId="165" fontId="0" fillId="0" borderId="2" xfId="0" applyNumberFormat="1" applyBorder="1" applyAlignment="1">
      <alignment horizontal="right" vertical="center"/>
    </xf>
    <xf numFmtId="41" fontId="6" fillId="0" borderId="1" xfId="1" applyFont="1" applyBorder="1" applyAlignment="1">
      <alignment horizontal="right" vertical="center"/>
    </xf>
    <xf numFmtId="41" fontId="0" fillId="0" borderId="0" xfId="1" applyFont="1"/>
    <xf numFmtId="41" fontId="0" fillId="0" borderId="0" xfId="1" applyFont="1" applyAlignment="1">
      <alignment horizontal="right" vertical="center"/>
    </xf>
    <xf numFmtId="41" fontId="0" fillId="0" borderId="2" xfId="1" applyFont="1" applyBorder="1" applyAlignment="1">
      <alignment horizontal="right" vertical="center"/>
    </xf>
    <xf numFmtId="0" fontId="5" fillId="0" borderId="2" xfId="0" applyFont="1" applyBorder="1" applyAlignment="1">
      <alignment vertical="center"/>
    </xf>
    <xf numFmtId="164" fontId="5" fillId="0" borderId="2" xfId="0" applyNumberFormat="1" applyFont="1" applyBorder="1" applyAlignment="1">
      <alignment horizontal="left" vertical="center"/>
    </xf>
    <xf numFmtId="41" fontId="5" fillId="0" borderId="2" xfId="1" applyFont="1" applyBorder="1" applyAlignment="1">
      <alignment horizontal="right" vertical="center"/>
    </xf>
    <xf numFmtId="41" fontId="5" fillId="0" borderId="0" xfId="1" applyFont="1"/>
    <xf numFmtId="0" fontId="5" fillId="0" borderId="0" xfId="0" applyFont="1"/>
    <xf numFmtId="165" fontId="5" fillId="0" borderId="2" xfId="0" applyNumberFormat="1" applyFont="1" applyBorder="1" applyAlignment="1">
      <alignment horizontal="right" vertical="center"/>
    </xf>
    <xf numFmtId="4" fontId="5" fillId="0" borderId="0" xfId="0" applyNumberFormat="1" applyFont="1"/>
    <xf numFmtId="41" fontId="0" fillId="5" borderId="2" xfId="1" applyFont="1" applyFill="1" applyBorder="1" applyAlignment="1">
      <alignment horizontal="right" vertical="center"/>
    </xf>
    <xf numFmtId="3" fontId="0" fillId="5" borderId="0" xfId="0" applyNumberFormat="1" applyFill="1"/>
    <xf numFmtId="41" fontId="0" fillId="5" borderId="0" xfId="1" applyFont="1" applyFill="1" applyAlignment="1">
      <alignment horizontal="right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41" fontId="8" fillId="0" borderId="0" xfId="1" applyFont="1"/>
    <xf numFmtId="0" fontId="7" fillId="0" borderId="0" xfId="0" applyFont="1"/>
    <xf numFmtId="41" fontId="7" fillId="0" borderId="0" xfId="0" applyNumberFormat="1" applyFont="1"/>
    <xf numFmtId="3" fontId="0" fillId="0" borderId="0" xfId="0" applyNumberFormat="1" applyFont="1"/>
    <xf numFmtId="41" fontId="0" fillId="0" borderId="0" xfId="0" applyNumberFormat="1"/>
    <xf numFmtId="41" fontId="5" fillId="0" borderId="0" xfId="0" applyNumberFormat="1" applyFont="1"/>
    <xf numFmtId="0" fontId="0" fillId="0" borderId="0" xfId="0" applyBorder="1"/>
    <xf numFmtId="167" fontId="0" fillId="0" borderId="0" xfId="1" applyNumberFormat="1" applyFont="1"/>
    <xf numFmtId="41" fontId="0" fillId="6" borderId="0" xfId="1" applyFont="1" applyFill="1" applyAlignment="1">
      <alignment horizontal="right" vertical="center"/>
    </xf>
    <xf numFmtId="41" fontId="0" fillId="6" borderId="2" xfId="1" applyFont="1" applyFill="1" applyBorder="1" applyAlignment="1">
      <alignment horizontal="right" vertical="center"/>
    </xf>
    <xf numFmtId="3" fontId="5" fillId="7" borderId="0" xfId="0" applyNumberFormat="1" applyFont="1" applyFill="1"/>
    <xf numFmtId="0" fontId="5" fillId="7" borderId="0" xfId="0" applyFont="1" applyFill="1"/>
    <xf numFmtId="41" fontId="0" fillId="7" borderId="0" xfId="1" applyFont="1" applyFill="1"/>
    <xf numFmtId="3" fontId="0" fillId="7" borderId="0" xfId="0" applyNumberFormat="1" applyFill="1"/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image" Target="../media/image4.png"/><Relationship Id="rId1" Type="http://schemas.openxmlformats.org/officeDocument/2006/relationships/image" Target="../media/image3.emf"/><Relationship Id="rId4" Type="http://schemas.openxmlformats.org/officeDocument/2006/relationships/image" Target="../media/image6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emf"/><Relationship Id="rId2" Type="http://schemas.openxmlformats.org/officeDocument/2006/relationships/image" Target="../media/image8.png"/><Relationship Id="rId1" Type="http://schemas.openxmlformats.org/officeDocument/2006/relationships/image" Target="../media/image7.emf"/><Relationship Id="rId4" Type="http://schemas.openxmlformats.org/officeDocument/2006/relationships/image" Target="../media/image10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emf"/><Relationship Id="rId2" Type="http://schemas.openxmlformats.org/officeDocument/2006/relationships/image" Target="../media/image12.emf"/><Relationship Id="rId1" Type="http://schemas.openxmlformats.org/officeDocument/2006/relationships/image" Target="../media/image11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emf"/><Relationship Id="rId2" Type="http://schemas.openxmlformats.org/officeDocument/2006/relationships/image" Target="../media/image15.emf"/><Relationship Id="rId1" Type="http://schemas.openxmlformats.org/officeDocument/2006/relationships/image" Target="../media/image14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emf"/><Relationship Id="rId2" Type="http://schemas.openxmlformats.org/officeDocument/2006/relationships/image" Target="../media/image18.emf"/><Relationship Id="rId1" Type="http://schemas.openxmlformats.org/officeDocument/2006/relationships/image" Target="../media/image17.em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21.emf"/><Relationship Id="rId1" Type="http://schemas.openxmlformats.org/officeDocument/2006/relationships/image" Target="../media/image20.emf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3.emf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6.emf"/><Relationship Id="rId2" Type="http://schemas.openxmlformats.org/officeDocument/2006/relationships/image" Target="../media/image25.emf"/><Relationship Id="rId1" Type="http://schemas.openxmlformats.org/officeDocument/2006/relationships/image" Target="../media/image24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102358</xdr:colOff>
      <xdr:row>2</xdr:row>
      <xdr:rowOff>91995</xdr:rowOff>
    </xdr:from>
    <xdr:to>
      <xdr:col>12</xdr:col>
      <xdr:colOff>320723</xdr:colOff>
      <xdr:row>7</xdr:row>
      <xdr:rowOff>30524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3D667EC-C6BE-035B-A805-3C1187E46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10131" y="276240"/>
          <a:ext cx="3275464" cy="825633"/>
        </a:xfrm>
        <a:prstGeom prst="rect">
          <a:avLst/>
        </a:prstGeom>
      </xdr:spPr>
    </xdr:pic>
    <xdr:clientData/>
  </xdr:twoCellAnchor>
  <xdr:twoCellAnchor editAs="oneCell">
    <xdr:from>
      <xdr:col>4</xdr:col>
      <xdr:colOff>566383</xdr:colOff>
      <xdr:row>19</xdr:row>
      <xdr:rowOff>163773</xdr:rowOff>
    </xdr:from>
    <xdr:to>
      <xdr:col>8</xdr:col>
      <xdr:colOff>675565</xdr:colOff>
      <xdr:row>26</xdr:row>
      <xdr:rowOff>170597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79BBB2E-D6AD-4B1A-84BE-F03EA12A2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4735" y="3541594"/>
          <a:ext cx="4858603" cy="1248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211540</xdr:colOff>
      <xdr:row>18</xdr:row>
      <xdr:rowOff>20472</xdr:rowOff>
    </xdr:from>
    <xdr:to>
      <xdr:col>14</xdr:col>
      <xdr:colOff>702859</xdr:colOff>
      <xdr:row>19</xdr:row>
      <xdr:rowOff>6239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34636AA-85DA-9259-F7FB-16442D9E7A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5737" y="3214048"/>
          <a:ext cx="5076967" cy="1631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191068</xdr:colOff>
      <xdr:row>0</xdr:row>
      <xdr:rowOff>13649</xdr:rowOff>
    </xdr:from>
    <xdr:to>
      <xdr:col>12</xdr:col>
      <xdr:colOff>457200</xdr:colOff>
      <xdr:row>17</xdr:row>
      <xdr:rowOff>165796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B960160-97B5-946C-2307-9BCA2924EC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05265" y="13649"/>
          <a:ext cx="3323231" cy="3168302"/>
        </a:xfrm>
        <a:prstGeom prst="rect">
          <a:avLst/>
        </a:prstGeom>
      </xdr:spPr>
    </xdr:pic>
    <xdr:clientData/>
  </xdr:twoCellAnchor>
  <xdr:twoCellAnchor editAs="oneCell">
    <xdr:from>
      <xdr:col>8</xdr:col>
      <xdr:colOff>238837</xdr:colOff>
      <xdr:row>25</xdr:row>
      <xdr:rowOff>13648</xdr:rowOff>
    </xdr:from>
    <xdr:to>
      <xdr:col>15</xdr:col>
      <xdr:colOff>40945</xdr:colOff>
      <xdr:row>26</xdr:row>
      <xdr:rowOff>31599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B38A1FB-E8DB-D291-B441-3AC941BD3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3034" y="4449170"/>
          <a:ext cx="5152030" cy="195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156949</xdr:colOff>
      <xdr:row>50</xdr:row>
      <xdr:rowOff>170598</xdr:rowOff>
    </xdr:from>
    <xdr:to>
      <xdr:col>15</xdr:col>
      <xdr:colOff>25504</xdr:colOff>
      <xdr:row>52</xdr:row>
      <xdr:rowOff>13647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66C0344-0D7D-8AE1-0D1D-EE4CE5A7A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1146" y="9041643"/>
          <a:ext cx="5218477" cy="1978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34120</xdr:colOff>
      <xdr:row>0</xdr:row>
      <xdr:rowOff>27296</xdr:rowOff>
    </xdr:from>
    <xdr:to>
      <xdr:col>13</xdr:col>
      <xdr:colOff>580033</xdr:colOff>
      <xdr:row>4</xdr:row>
      <xdr:rowOff>26338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4C363C7-2D16-49D2-A44A-1704277A3B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99093" y="27296"/>
          <a:ext cx="2838736" cy="71554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750629</xdr:colOff>
      <xdr:row>5</xdr:row>
      <xdr:rowOff>6824</xdr:rowOff>
    </xdr:from>
    <xdr:to>
      <xdr:col>13</xdr:col>
      <xdr:colOff>623259</xdr:colOff>
      <xdr:row>5</xdr:row>
      <xdr:rowOff>150126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35C69F7-2F8A-DEA9-1680-4B643D51C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0551" y="893928"/>
          <a:ext cx="4458278" cy="1433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177422</xdr:colOff>
      <xdr:row>0</xdr:row>
      <xdr:rowOff>0</xdr:rowOff>
    </xdr:from>
    <xdr:to>
      <xdr:col>10</xdr:col>
      <xdr:colOff>327547</xdr:colOff>
      <xdr:row>9</xdr:row>
      <xdr:rowOff>152941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CCCF74-3072-9D7F-1F95-EF151B4CB0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91619" y="0"/>
          <a:ext cx="1678674" cy="1749729"/>
        </a:xfrm>
        <a:prstGeom prst="rect">
          <a:avLst/>
        </a:prstGeom>
      </xdr:spPr>
    </xdr:pic>
    <xdr:clientData/>
  </xdr:twoCellAnchor>
  <xdr:twoCellAnchor editAs="oneCell">
    <xdr:from>
      <xdr:col>8</xdr:col>
      <xdr:colOff>1</xdr:colOff>
      <xdr:row>10</xdr:row>
      <xdr:rowOff>0</xdr:rowOff>
    </xdr:from>
    <xdr:to>
      <xdr:col>13</xdr:col>
      <xdr:colOff>648270</xdr:colOff>
      <xdr:row>10</xdr:row>
      <xdr:rowOff>169495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A52FED4-5025-0F16-B5BB-60EAE143E9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14198" y="1774209"/>
          <a:ext cx="4469642" cy="1694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21</xdr:row>
      <xdr:rowOff>1</xdr:rowOff>
    </xdr:from>
    <xdr:to>
      <xdr:col>13</xdr:col>
      <xdr:colOff>709684</xdr:colOff>
      <xdr:row>21</xdr:row>
      <xdr:rowOff>171825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8B8F206-CFF6-81A7-F51F-5C7B8E48D8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14197" y="3725840"/>
          <a:ext cx="4531057" cy="1718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27295</xdr:colOff>
      <xdr:row>1</xdr:row>
      <xdr:rowOff>47768</xdr:rowOff>
    </xdr:from>
    <xdr:to>
      <xdr:col>11</xdr:col>
      <xdr:colOff>368489</xdr:colOff>
      <xdr:row>5</xdr:row>
      <xdr:rowOff>2031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928CACA-CD73-4F1F-97AE-187064076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18811" y="232013"/>
          <a:ext cx="2634018" cy="66394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156950</xdr:colOff>
      <xdr:row>13</xdr:row>
      <xdr:rowOff>13647</xdr:rowOff>
    </xdr:from>
    <xdr:to>
      <xdr:col>13</xdr:col>
      <xdr:colOff>709685</xdr:colOff>
      <xdr:row>13</xdr:row>
      <xdr:rowOff>154244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1127A5B-A1B0-4FC7-C563-2E0F5BC77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1147" y="2320119"/>
          <a:ext cx="4374108" cy="1405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13</xdr:col>
      <xdr:colOff>689212</xdr:colOff>
      <xdr:row>43</xdr:row>
      <xdr:rowOff>171047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2B01D2C-5892-9816-609F-CAD015AB9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14197" y="7629099"/>
          <a:ext cx="4510585" cy="1710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13</xdr:col>
      <xdr:colOff>716508</xdr:colOff>
      <xdr:row>28</xdr:row>
      <xdr:rowOff>172083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D915A5B-654B-DD1D-1485-ADCFCCB29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14197" y="4967785"/>
          <a:ext cx="4537881" cy="1720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88710</xdr:colOff>
      <xdr:row>0</xdr:row>
      <xdr:rowOff>0</xdr:rowOff>
    </xdr:from>
    <xdr:to>
      <xdr:col>15</xdr:col>
      <xdr:colOff>307075</xdr:colOff>
      <xdr:row>4</xdr:row>
      <xdr:rowOff>109126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305FEA3-D46C-49D8-B376-2BBF97B737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60507" y="0"/>
          <a:ext cx="3275464" cy="82563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75063</xdr:colOff>
      <xdr:row>20</xdr:row>
      <xdr:rowOff>143945</xdr:rowOff>
    </xdr:from>
    <xdr:to>
      <xdr:col>13</xdr:col>
      <xdr:colOff>136477</xdr:colOff>
      <xdr:row>22</xdr:row>
      <xdr:rowOff>54592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02576C9-A164-899A-A1CA-50C86657C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89260" y="3692363"/>
          <a:ext cx="3882787" cy="2654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13</xdr:col>
      <xdr:colOff>677328</xdr:colOff>
      <xdr:row>47</xdr:row>
      <xdr:rowOff>170597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77974C8-0054-19FD-6B36-AD32BA023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14197" y="8338782"/>
          <a:ext cx="4498701" cy="1705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</xdr:colOff>
      <xdr:row>87</xdr:row>
      <xdr:rowOff>0</xdr:rowOff>
    </xdr:from>
    <xdr:to>
      <xdr:col>13</xdr:col>
      <xdr:colOff>750628</xdr:colOff>
      <xdr:row>87</xdr:row>
      <xdr:rowOff>173377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39386A5-DD7C-A521-9106-44D9ED7EE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14198" y="15428794"/>
          <a:ext cx="4572000" cy="173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136478</xdr:colOff>
      <xdr:row>0</xdr:row>
      <xdr:rowOff>0</xdr:rowOff>
    </xdr:from>
    <xdr:to>
      <xdr:col>14</xdr:col>
      <xdr:colOff>354843</xdr:colOff>
      <xdr:row>4</xdr:row>
      <xdr:rowOff>115949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CDB46D8-8AD1-4C35-B7BB-0CD6B4342C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13845" y="0"/>
          <a:ext cx="3275464" cy="82563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122832</xdr:colOff>
      <xdr:row>5</xdr:row>
      <xdr:rowOff>6825</xdr:rowOff>
    </xdr:from>
    <xdr:to>
      <xdr:col>13</xdr:col>
      <xdr:colOff>586854</xdr:colOff>
      <xdr:row>5</xdr:row>
      <xdr:rowOff>144570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A38C136-3DD6-B759-45A8-A5E728F46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7029" y="893929"/>
          <a:ext cx="4285395" cy="1377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81886</xdr:colOff>
      <xdr:row>9</xdr:row>
      <xdr:rowOff>34119</xdr:rowOff>
    </xdr:from>
    <xdr:to>
      <xdr:col>14</xdr:col>
      <xdr:colOff>34119</xdr:colOff>
      <xdr:row>10</xdr:row>
      <xdr:rowOff>28781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A3CEE27-CE10-C114-DA42-3B98680A8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6083" y="1630907"/>
          <a:ext cx="4537881" cy="1720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68239</xdr:colOff>
      <xdr:row>6</xdr:row>
      <xdr:rowOff>129654</xdr:rowOff>
    </xdr:from>
    <xdr:to>
      <xdr:col>13</xdr:col>
      <xdr:colOff>757451</xdr:colOff>
      <xdr:row>7</xdr:row>
      <xdr:rowOff>123281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9C6CB37-8ACE-3341-7682-834827B93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82436" y="1194179"/>
          <a:ext cx="4510585" cy="1710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40941</xdr:colOff>
      <xdr:row>0</xdr:row>
      <xdr:rowOff>0</xdr:rowOff>
    </xdr:from>
    <xdr:to>
      <xdr:col>15</xdr:col>
      <xdr:colOff>259307</xdr:colOff>
      <xdr:row>4</xdr:row>
      <xdr:rowOff>109126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60384C3-2691-4BC7-BD20-831E71677C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83837" y="0"/>
          <a:ext cx="3275464" cy="82563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47768</xdr:colOff>
      <xdr:row>19</xdr:row>
      <xdr:rowOff>163773</xdr:rowOff>
    </xdr:from>
    <xdr:to>
      <xdr:col>13</xdr:col>
      <xdr:colOff>709684</xdr:colOff>
      <xdr:row>20</xdr:row>
      <xdr:rowOff>156365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307B55D-A447-2B42-0A49-A2DB645420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61965" y="3534770"/>
          <a:ext cx="4483289" cy="1700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47768</xdr:colOff>
      <xdr:row>21</xdr:row>
      <xdr:rowOff>6826</xdr:rowOff>
    </xdr:from>
    <xdr:to>
      <xdr:col>13</xdr:col>
      <xdr:colOff>725068</xdr:colOff>
      <xdr:row>22</xdr:row>
      <xdr:rowOff>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6A2C92F-97D7-4EC5-4300-B7D726606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61965" y="3732665"/>
          <a:ext cx="4498673" cy="170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20472</xdr:colOff>
      <xdr:row>17</xdr:row>
      <xdr:rowOff>88711</xdr:rowOff>
    </xdr:from>
    <xdr:to>
      <xdr:col>14</xdr:col>
      <xdr:colOff>7462</xdr:colOff>
      <xdr:row>19</xdr:row>
      <xdr:rowOff>606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7659502-5495-78D3-830B-83D81E022B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34669" y="3104866"/>
          <a:ext cx="4572638" cy="26673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0</xdr:row>
      <xdr:rowOff>0</xdr:rowOff>
    </xdr:from>
    <xdr:to>
      <xdr:col>11</xdr:col>
      <xdr:colOff>6824</xdr:colOff>
      <xdr:row>1</xdr:row>
      <xdr:rowOff>6824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C9FE574-2785-517F-D918-E1FF11565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8472" y="0"/>
          <a:ext cx="2299648" cy="1842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6824</xdr:colOff>
      <xdr:row>0</xdr:row>
      <xdr:rowOff>0</xdr:rowOff>
    </xdr:from>
    <xdr:to>
      <xdr:col>17</xdr:col>
      <xdr:colOff>225190</xdr:colOff>
      <xdr:row>4</xdr:row>
      <xdr:rowOff>115949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6AD7943-24E0-4F51-9245-4A178247D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06669" y="0"/>
          <a:ext cx="3275464" cy="825633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40943</xdr:colOff>
      <xdr:row>76</xdr:row>
      <xdr:rowOff>27296</xdr:rowOff>
    </xdr:from>
    <xdr:to>
      <xdr:col>13</xdr:col>
      <xdr:colOff>730155</xdr:colOff>
      <xdr:row>76</xdr:row>
      <xdr:rowOff>171251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A608DBB-D1B6-AECD-5129-C936F07C12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55140" y="13511284"/>
          <a:ext cx="4510585" cy="143955"/>
        </a:xfrm>
        <a:prstGeom prst="rect">
          <a:avLst/>
        </a:prstGeom>
      </xdr:spPr>
    </xdr:pic>
    <xdr:clientData/>
  </xdr:twoCellAnchor>
  <xdr:twoCellAnchor editAs="oneCell">
    <xdr:from>
      <xdr:col>8</xdr:col>
      <xdr:colOff>1</xdr:colOff>
      <xdr:row>130</xdr:row>
      <xdr:rowOff>1</xdr:rowOff>
    </xdr:from>
    <xdr:to>
      <xdr:col>13</xdr:col>
      <xdr:colOff>655094</xdr:colOff>
      <xdr:row>130</xdr:row>
      <xdr:rowOff>169755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FD154AA-641A-6FA7-01F7-01A5C4E7D1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14198" y="23064717"/>
          <a:ext cx="4476466" cy="1697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101</xdr:row>
      <xdr:rowOff>1</xdr:rowOff>
    </xdr:from>
    <xdr:to>
      <xdr:col>13</xdr:col>
      <xdr:colOff>552734</xdr:colOff>
      <xdr:row>101</xdr:row>
      <xdr:rowOff>165873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2FCD352-24C8-A17D-BCD5-321877FABA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14197" y="17919511"/>
          <a:ext cx="4374107" cy="1658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81887</xdr:colOff>
      <xdr:row>0</xdr:row>
      <xdr:rowOff>13648</xdr:rowOff>
    </xdr:from>
    <xdr:to>
      <xdr:col>8</xdr:col>
      <xdr:colOff>300253</xdr:colOff>
      <xdr:row>4</xdr:row>
      <xdr:rowOff>102302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BA805FC-0678-489C-914F-EF1CF022A7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38986" y="13648"/>
          <a:ext cx="3275464" cy="825633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11</xdr:col>
      <xdr:colOff>272955</xdr:colOff>
      <xdr:row>20</xdr:row>
      <xdr:rowOff>6824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973555D-9CA0-406C-3571-F31FCC136A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1373" y="2361063"/>
          <a:ext cx="4858603" cy="1248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563C6-B775-4AD1-B409-82FEB7EDB9ED}">
  <sheetPr>
    <tabColor rgb="FF7030A0"/>
  </sheetPr>
  <dimension ref="A1:L18"/>
  <sheetViews>
    <sheetView workbookViewId="0">
      <selection activeCell="K25" sqref="K25"/>
    </sheetView>
  </sheetViews>
  <sheetFormatPr baseColWidth="10" defaultRowHeight="14" x14ac:dyDescent="0.3"/>
  <cols>
    <col min="4" max="4" width="33.19921875" bestFit="1" customWidth="1"/>
    <col min="5" max="5" width="36" bestFit="1" customWidth="1"/>
  </cols>
  <sheetData>
    <row r="1" spans="1:12" ht="14.55" thickBot="1" x14ac:dyDescent="0.35">
      <c r="A1" t="s">
        <v>0</v>
      </c>
      <c r="B1" s="1">
        <v>46017</v>
      </c>
      <c r="C1" s="2">
        <v>4130</v>
      </c>
      <c r="D1" t="s">
        <v>1</v>
      </c>
      <c r="E1" t="s">
        <v>2</v>
      </c>
      <c r="G1" s="2">
        <v>596065</v>
      </c>
      <c r="H1" s="3">
        <v>-761783</v>
      </c>
      <c r="I1" s="36" t="s">
        <v>146</v>
      </c>
      <c r="J1" s="37">
        <v>165718</v>
      </c>
    </row>
    <row r="2" spans="1:12" x14ac:dyDescent="0.3">
      <c r="B2" s="1">
        <v>46023</v>
      </c>
      <c r="C2" s="2"/>
      <c r="E2" t="s">
        <v>2</v>
      </c>
      <c r="F2">
        <v>165718</v>
      </c>
      <c r="G2" s="2"/>
      <c r="H2" s="2">
        <f>H1+F2-G2</f>
        <v>-596065</v>
      </c>
      <c r="I2" s="45"/>
      <c r="J2" s="45"/>
    </row>
    <row r="3" spans="1:12" x14ac:dyDescent="0.3">
      <c r="A3" t="s">
        <v>21</v>
      </c>
      <c r="B3" s="1">
        <v>46036</v>
      </c>
      <c r="C3" s="2">
        <v>4198</v>
      </c>
      <c r="D3" t="s">
        <v>22</v>
      </c>
      <c r="E3" t="s">
        <v>2</v>
      </c>
      <c r="F3" s="34">
        <v>596065</v>
      </c>
      <c r="H3" s="2">
        <f>+H2+F3-G3</f>
        <v>0</v>
      </c>
    </row>
    <row r="4" spans="1:12" x14ac:dyDescent="0.3">
      <c r="A4" t="s">
        <v>23</v>
      </c>
      <c r="B4" s="1">
        <v>46048</v>
      </c>
      <c r="C4" s="2">
        <v>4247</v>
      </c>
      <c r="D4" t="s">
        <v>1</v>
      </c>
      <c r="E4" t="s">
        <v>2</v>
      </c>
      <c r="G4" s="2">
        <v>1437298</v>
      </c>
      <c r="H4" s="42">
        <f>+H3+F4-G4</f>
        <v>-1437298</v>
      </c>
    </row>
    <row r="5" spans="1:12" x14ac:dyDescent="0.3">
      <c r="A5" t="s">
        <v>158</v>
      </c>
      <c r="B5" s="1">
        <v>46065</v>
      </c>
      <c r="C5" s="2">
        <v>4308</v>
      </c>
      <c r="D5" t="s">
        <v>159</v>
      </c>
      <c r="E5" t="s">
        <v>2</v>
      </c>
      <c r="F5">
        <v>1437298</v>
      </c>
      <c r="G5" s="2"/>
      <c r="H5" s="42">
        <f t="shared" ref="H5:H8" si="0">+H4+F5-G5</f>
        <v>0</v>
      </c>
    </row>
    <row r="6" spans="1:12" x14ac:dyDescent="0.3">
      <c r="A6" t="s">
        <v>160</v>
      </c>
      <c r="B6" s="1">
        <v>46078</v>
      </c>
      <c r="C6" s="2">
        <v>4457</v>
      </c>
      <c r="D6" t="s">
        <v>1</v>
      </c>
      <c r="E6" t="s">
        <v>2</v>
      </c>
      <c r="G6" s="2">
        <v>113423</v>
      </c>
      <c r="H6" s="42">
        <f t="shared" si="0"/>
        <v>-113423</v>
      </c>
    </row>
    <row r="7" spans="1:12" x14ac:dyDescent="0.3">
      <c r="A7" t="s">
        <v>170</v>
      </c>
      <c r="B7" s="1">
        <v>46093</v>
      </c>
      <c r="C7" s="2">
        <v>4435</v>
      </c>
      <c r="D7" t="s">
        <v>171</v>
      </c>
      <c r="E7" t="s">
        <v>2</v>
      </c>
      <c r="F7" s="2">
        <v>113423</v>
      </c>
      <c r="G7" s="2"/>
      <c r="H7" s="42">
        <f t="shared" si="0"/>
        <v>0</v>
      </c>
    </row>
    <row r="8" spans="1:12" x14ac:dyDescent="0.3">
      <c r="A8" t="s">
        <v>172</v>
      </c>
      <c r="B8" s="1">
        <v>46107</v>
      </c>
      <c r="C8" s="2">
        <v>4596</v>
      </c>
      <c r="D8" t="s">
        <v>1</v>
      </c>
      <c r="E8" t="s">
        <v>2</v>
      </c>
      <c r="G8" s="2">
        <v>2499421</v>
      </c>
      <c r="H8" s="8">
        <f t="shared" si="0"/>
        <v>-2499421</v>
      </c>
    </row>
    <row r="14" spans="1:12" x14ac:dyDescent="0.3">
      <c r="A14" t="s">
        <v>0</v>
      </c>
      <c r="B14" s="1">
        <v>46017</v>
      </c>
      <c r="C14" s="2">
        <v>4130</v>
      </c>
      <c r="D14" t="s">
        <v>1</v>
      </c>
      <c r="E14" t="s">
        <v>2</v>
      </c>
      <c r="G14">
        <v>667.63</v>
      </c>
      <c r="H14" s="4">
        <f t="shared" ref="H14" si="1">H13+F14-G14</f>
        <v>-667.63</v>
      </c>
      <c r="I14" s="2">
        <f>-G14*907.13</f>
        <v>-605627.20189999999</v>
      </c>
      <c r="J14" s="5">
        <f>+H1+I14</f>
        <v>-1367410.2019</v>
      </c>
      <c r="K14" s="2">
        <f>'9X'!O17+'9KA'!J14</f>
        <v>-167113.20189999999</v>
      </c>
      <c r="L14" t="s">
        <v>178</v>
      </c>
    </row>
    <row r="15" spans="1:12" x14ac:dyDescent="0.3">
      <c r="A15" t="s">
        <v>23</v>
      </c>
      <c r="B15" s="1">
        <v>46048</v>
      </c>
      <c r="C15" s="2">
        <v>4247</v>
      </c>
      <c r="D15" t="s">
        <v>1</v>
      </c>
      <c r="E15" t="s">
        <v>2</v>
      </c>
      <c r="F15">
        <v>667.63</v>
      </c>
      <c r="H15" s="10">
        <f>H14+F15-G15</f>
        <v>0</v>
      </c>
      <c r="I15" s="2">
        <f>-H15*865.1</f>
        <v>0</v>
      </c>
      <c r="J15" s="5">
        <f>+H4+I15</f>
        <v>-1437298</v>
      </c>
      <c r="K15" s="2">
        <f>'9X'!P19+'9KA'!J15</f>
        <v>0</v>
      </c>
      <c r="L15" t="s">
        <v>179</v>
      </c>
    </row>
    <row r="16" spans="1:12" x14ac:dyDescent="0.3">
      <c r="A16" t="s">
        <v>160</v>
      </c>
      <c r="B16" s="1">
        <v>46078</v>
      </c>
      <c r="C16" s="2">
        <v>4457</v>
      </c>
      <c r="D16" t="s">
        <v>1</v>
      </c>
      <c r="E16" t="s">
        <v>2</v>
      </c>
      <c r="G16" s="46">
        <v>2084.6</v>
      </c>
      <c r="H16" s="10">
        <f>H15+F16-G16</f>
        <v>-2084.6</v>
      </c>
      <c r="I16" s="2">
        <f>H16*871.41</f>
        <v>-1816541.2859999998</v>
      </c>
      <c r="J16" s="5">
        <f>+H6+I16</f>
        <v>-1929964.2859999998</v>
      </c>
      <c r="K16" s="2">
        <f>'9X'!P26+'9KA'!J16</f>
        <v>-700.28599999984726</v>
      </c>
      <c r="L16" t="s">
        <v>180</v>
      </c>
    </row>
    <row r="17" spans="1:12" x14ac:dyDescent="0.3">
      <c r="A17" t="s">
        <v>172</v>
      </c>
      <c r="B17" s="1">
        <v>46107</v>
      </c>
      <c r="C17" s="2">
        <v>4596</v>
      </c>
      <c r="D17" t="s">
        <v>1</v>
      </c>
      <c r="E17" t="s">
        <v>2</v>
      </c>
      <c r="G17">
        <v>310.20999999999998</v>
      </c>
      <c r="H17" s="10">
        <f t="shared" ref="H17:H18" si="2">H16+F17-G17</f>
        <v>-2394.81</v>
      </c>
    </row>
    <row r="18" spans="1:12" x14ac:dyDescent="0.3">
      <c r="A18" t="s">
        <v>172</v>
      </c>
      <c r="B18" s="1">
        <v>46107</v>
      </c>
      <c r="C18" s="2">
        <v>4596</v>
      </c>
      <c r="D18" t="s">
        <v>1</v>
      </c>
      <c r="E18" t="s">
        <v>2</v>
      </c>
      <c r="F18" s="10">
        <v>2084.6</v>
      </c>
      <c r="H18" s="32">
        <f t="shared" si="2"/>
        <v>-310.21000000000004</v>
      </c>
      <c r="I18" s="2">
        <f>H18*927.46</f>
        <v>-287707.36660000007</v>
      </c>
      <c r="J18" s="5">
        <f>+H8+I18</f>
        <v>-2787128.3666000003</v>
      </c>
      <c r="K18" s="8">
        <f>'9X'!P52+'9KA'!J18</f>
        <v>-4228.3666000002995</v>
      </c>
      <c r="L18" t="s">
        <v>181</v>
      </c>
    </row>
  </sheetData>
  <phoneticPr fontId="9" type="noConversion"/>
  <pageMargins left="0.7" right="0.7" top="0.75" bottom="0.75" header="0.3" footer="0.3"/>
  <headerFooter>
    <oddFooter>&amp;C_x000D_&amp;1#&amp;"Aptos"&amp;9&amp;K000000 Calificación: Publico, apto para su distribución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B3A13-6510-4DC3-ADB0-D69B2C79370D}">
  <dimension ref="A1:P52"/>
  <sheetViews>
    <sheetView topLeftCell="A27" workbookViewId="0">
      <selection activeCell="K41" sqref="K41"/>
    </sheetView>
  </sheetViews>
  <sheetFormatPr baseColWidth="10" defaultRowHeight="14" x14ac:dyDescent="0.3"/>
  <cols>
    <col min="6" max="8" width="11.19921875" style="23"/>
  </cols>
  <sheetData>
    <row r="1" spans="1:8" x14ac:dyDescent="0.3">
      <c r="A1" s="14" t="s">
        <v>44</v>
      </c>
      <c r="B1" s="14" t="s">
        <v>45</v>
      </c>
      <c r="C1" s="14" t="s">
        <v>46</v>
      </c>
      <c r="D1" s="14" t="s">
        <v>47</v>
      </c>
      <c r="E1" s="14" t="s">
        <v>48</v>
      </c>
      <c r="F1" s="22" t="s">
        <v>49</v>
      </c>
      <c r="G1" s="22" t="s">
        <v>50</v>
      </c>
    </row>
    <row r="2" spans="1:8" x14ac:dyDescent="0.3">
      <c r="A2" s="16" t="s">
        <v>51</v>
      </c>
      <c r="B2" s="17">
        <v>46025</v>
      </c>
      <c r="C2" s="16" t="s">
        <v>52</v>
      </c>
      <c r="D2" s="16" t="s">
        <v>53</v>
      </c>
      <c r="E2" s="16"/>
      <c r="F2" s="24">
        <v>0</v>
      </c>
      <c r="G2" s="24">
        <v>30000</v>
      </c>
      <c r="H2" s="23">
        <f>+F2-G2</f>
        <v>-30000</v>
      </c>
    </row>
    <row r="3" spans="1:8" x14ac:dyDescent="0.3">
      <c r="A3" s="19" t="s">
        <v>51</v>
      </c>
      <c r="B3" s="20">
        <v>46030</v>
      </c>
      <c r="C3" s="19" t="s">
        <v>52</v>
      </c>
      <c r="D3" s="19" t="s">
        <v>53</v>
      </c>
      <c r="E3" s="19"/>
      <c r="F3" s="25">
        <v>0</v>
      </c>
      <c r="G3" s="25">
        <v>5550</v>
      </c>
      <c r="H3" s="23">
        <f>H2+F3-G3</f>
        <v>-35550</v>
      </c>
    </row>
    <row r="4" spans="1:8" x14ac:dyDescent="0.3">
      <c r="A4" s="19" t="s">
        <v>51</v>
      </c>
      <c r="B4" s="20">
        <v>46036</v>
      </c>
      <c r="C4" s="19" t="s">
        <v>54</v>
      </c>
      <c r="D4" s="19" t="s">
        <v>55</v>
      </c>
      <c r="E4" s="19" t="s">
        <v>56</v>
      </c>
      <c r="F4" s="33">
        <v>596065</v>
      </c>
      <c r="G4" s="25">
        <v>0</v>
      </c>
      <c r="H4" s="23">
        <f t="shared" ref="H4:H19" si="0">H3+F4-G4</f>
        <v>560515</v>
      </c>
    </row>
    <row r="5" spans="1:8" x14ac:dyDescent="0.3">
      <c r="A5" s="19" t="s">
        <v>51</v>
      </c>
      <c r="B5" s="20">
        <v>46036</v>
      </c>
      <c r="C5" s="19" t="s">
        <v>52</v>
      </c>
      <c r="D5" s="19" t="s">
        <v>53</v>
      </c>
      <c r="E5" s="19"/>
      <c r="F5" s="25">
        <v>0</v>
      </c>
      <c r="G5" s="25">
        <v>327800</v>
      </c>
      <c r="H5" s="23">
        <f t="shared" si="0"/>
        <v>232715</v>
      </c>
    </row>
    <row r="6" spans="1:8" x14ac:dyDescent="0.3">
      <c r="A6" s="19" t="s">
        <v>51</v>
      </c>
      <c r="B6" s="20">
        <v>46036</v>
      </c>
      <c r="C6" s="19" t="s">
        <v>52</v>
      </c>
      <c r="D6" s="19" t="s">
        <v>57</v>
      </c>
      <c r="E6" s="19"/>
      <c r="F6" s="25">
        <v>0</v>
      </c>
      <c r="G6" s="25">
        <v>5314.15</v>
      </c>
      <c r="H6" s="23">
        <f t="shared" si="0"/>
        <v>227400.85</v>
      </c>
    </row>
    <row r="7" spans="1:8" x14ac:dyDescent="0.3">
      <c r="A7" s="19" t="s">
        <v>51</v>
      </c>
      <c r="B7" s="20">
        <v>46042</v>
      </c>
      <c r="C7" s="19" t="s">
        <v>52</v>
      </c>
      <c r="D7" s="19" t="s">
        <v>58</v>
      </c>
      <c r="E7" s="19" t="s">
        <v>59</v>
      </c>
      <c r="F7" s="25">
        <v>0</v>
      </c>
      <c r="G7" s="25">
        <v>369034</v>
      </c>
      <c r="H7" s="23">
        <f t="shared" si="0"/>
        <v>-141633.15</v>
      </c>
    </row>
    <row r="8" spans="1:8" x14ac:dyDescent="0.3">
      <c r="A8" s="19" t="s">
        <v>51</v>
      </c>
      <c r="B8" s="20">
        <v>46042</v>
      </c>
      <c r="C8" s="19" t="s">
        <v>52</v>
      </c>
      <c r="D8" s="19" t="s">
        <v>53</v>
      </c>
      <c r="E8" s="19"/>
      <c r="F8" s="25">
        <v>0</v>
      </c>
      <c r="G8" s="25">
        <v>9774</v>
      </c>
      <c r="H8" s="23">
        <f t="shared" si="0"/>
        <v>-151407.15</v>
      </c>
    </row>
    <row r="9" spans="1:8" x14ac:dyDescent="0.3">
      <c r="A9" s="19" t="s">
        <v>51</v>
      </c>
      <c r="B9" s="20">
        <v>46042</v>
      </c>
      <c r="C9" s="19" t="s">
        <v>52</v>
      </c>
      <c r="D9" s="19" t="s">
        <v>53</v>
      </c>
      <c r="E9" s="19"/>
      <c r="F9" s="25">
        <v>0</v>
      </c>
      <c r="G9" s="25">
        <v>13400</v>
      </c>
      <c r="H9" s="23">
        <f t="shared" si="0"/>
        <v>-164807.15</v>
      </c>
    </row>
    <row r="10" spans="1:8" x14ac:dyDescent="0.3">
      <c r="A10" s="19" t="s">
        <v>51</v>
      </c>
      <c r="B10" s="20">
        <v>46042</v>
      </c>
      <c r="C10" s="19" t="s">
        <v>52</v>
      </c>
      <c r="D10" s="19" t="s">
        <v>53</v>
      </c>
      <c r="E10" s="19"/>
      <c r="F10" s="25">
        <v>0</v>
      </c>
      <c r="G10" s="25">
        <v>14795</v>
      </c>
      <c r="H10" s="23">
        <f t="shared" si="0"/>
        <v>-179602.15</v>
      </c>
    </row>
    <row r="11" spans="1:8" x14ac:dyDescent="0.3">
      <c r="A11" s="19" t="s">
        <v>51</v>
      </c>
      <c r="B11" s="20">
        <v>46042</v>
      </c>
      <c r="C11" s="19" t="s">
        <v>52</v>
      </c>
      <c r="D11" s="19" t="s">
        <v>53</v>
      </c>
      <c r="E11" s="19"/>
      <c r="F11" s="25">
        <v>0</v>
      </c>
      <c r="G11" s="25">
        <v>5550</v>
      </c>
      <c r="H11" s="23">
        <f t="shared" si="0"/>
        <v>-185152.15</v>
      </c>
    </row>
    <row r="12" spans="1:8" x14ac:dyDescent="0.3">
      <c r="A12" s="19" t="s">
        <v>51</v>
      </c>
      <c r="B12" s="20">
        <v>46042</v>
      </c>
      <c r="C12" s="19" t="s">
        <v>52</v>
      </c>
      <c r="D12" s="19" t="s">
        <v>53</v>
      </c>
      <c r="E12" s="19"/>
      <c r="F12" s="25">
        <v>0</v>
      </c>
      <c r="G12" s="25">
        <v>8011</v>
      </c>
      <c r="H12" s="23">
        <f t="shared" si="0"/>
        <v>-193163.15</v>
      </c>
    </row>
    <row r="13" spans="1:8" x14ac:dyDescent="0.3">
      <c r="A13" s="19" t="s">
        <v>51</v>
      </c>
      <c r="B13" s="20">
        <v>46043</v>
      </c>
      <c r="C13" s="19" t="s">
        <v>52</v>
      </c>
      <c r="D13" s="19" t="s">
        <v>53</v>
      </c>
      <c r="E13" s="19"/>
      <c r="F13" s="25">
        <v>0</v>
      </c>
      <c r="G13" s="25">
        <v>15477</v>
      </c>
      <c r="H13" s="23">
        <f t="shared" si="0"/>
        <v>-208640.15</v>
      </c>
    </row>
    <row r="14" spans="1:8" x14ac:dyDescent="0.3">
      <c r="A14" s="19" t="s">
        <v>51</v>
      </c>
      <c r="B14" s="20">
        <v>46043</v>
      </c>
      <c r="C14" s="19" t="s">
        <v>52</v>
      </c>
      <c r="D14" s="19" t="s">
        <v>53</v>
      </c>
      <c r="E14" s="19"/>
      <c r="F14" s="25">
        <v>0</v>
      </c>
      <c r="G14" s="25">
        <v>13833</v>
      </c>
      <c r="H14" s="23">
        <f t="shared" si="0"/>
        <v>-222473.15</v>
      </c>
    </row>
    <row r="15" spans="1:8" x14ac:dyDescent="0.3">
      <c r="A15" s="19" t="s">
        <v>51</v>
      </c>
      <c r="B15" s="20">
        <v>46044</v>
      </c>
      <c r="C15" s="19" t="s">
        <v>60</v>
      </c>
      <c r="D15" s="19" t="s">
        <v>53</v>
      </c>
      <c r="E15" s="19"/>
      <c r="F15" s="25">
        <v>14795</v>
      </c>
      <c r="G15" s="25">
        <v>0</v>
      </c>
      <c r="H15" s="23">
        <f t="shared" si="0"/>
        <v>-207678.15</v>
      </c>
    </row>
    <row r="16" spans="1:8" x14ac:dyDescent="0.3">
      <c r="A16" s="19" t="s">
        <v>51</v>
      </c>
      <c r="B16" s="20">
        <v>46045</v>
      </c>
      <c r="C16" s="19" t="s">
        <v>52</v>
      </c>
      <c r="D16" s="19" t="s">
        <v>53</v>
      </c>
      <c r="E16" s="19"/>
      <c r="F16" s="25">
        <v>0</v>
      </c>
      <c r="G16" s="25">
        <v>10078</v>
      </c>
      <c r="H16" s="23">
        <f t="shared" si="0"/>
        <v>-217756.15</v>
      </c>
    </row>
    <row r="17" spans="1:16" x14ac:dyDescent="0.3">
      <c r="A17" s="19" t="s">
        <v>51</v>
      </c>
      <c r="B17" s="20">
        <v>46050</v>
      </c>
      <c r="C17" s="19" t="s">
        <v>52</v>
      </c>
      <c r="D17" s="19" t="s">
        <v>57</v>
      </c>
      <c r="E17" s="19"/>
      <c r="F17" s="25">
        <v>0</v>
      </c>
      <c r="G17" s="25">
        <v>402</v>
      </c>
      <c r="H17" s="23">
        <f t="shared" si="0"/>
        <v>-218158.15</v>
      </c>
      <c r="N17" t="s">
        <v>177</v>
      </c>
      <c r="O17" s="29">
        <f>1437298-237001</f>
        <v>1200297</v>
      </c>
    </row>
    <row r="18" spans="1:16" x14ac:dyDescent="0.3">
      <c r="A18" s="19" t="s">
        <v>51</v>
      </c>
      <c r="B18" s="20">
        <v>46050</v>
      </c>
      <c r="C18" s="19" t="s">
        <v>52</v>
      </c>
      <c r="D18" s="19" t="s">
        <v>57</v>
      </c>
      <c r="E18" s="19"/>
      <c r="F18" s="25">
        <v>0</v>
      </c>
      <c r="G18" s="25">
        <v>3971</v>
      </c>
      <c r="H18" s="23">
        <f t="shared" si="0"/>
        <v>-222129.15</v>
      </c>
    </row>
    <row r="19" spans="1:16" s="30" customFormat="1" x14ac:dyDescent="0.3">
      <c r="A19" s="26" t="s">
        <v>51</v>
      </c>
      <c r="B19" s="27">
        <v>46050</v>
      </c>
      <c r="C19" s="26" t="s">
        <v>52</v>
      </c>
      <c r="D19" s="26" t="s">
        <v>57</v>
      </c>
      <c r="E19" s="26"/>
      <c r="F19" s="28">
        <v>0</v>
      </c>
      <c r="G19" s="28">
        <v>14872</v>
      </c>
      <c r="H19" s="29">
        <f t="shared" si="0"/>
        <v>-237001.15</v>
      </c>
      <c r="P19" s="30">
        <v>1437298</v>
      </c>
    </row>
    <row r="20" spans="1:16" x14ac:dyDescent="0.3">
      <c r="A20" s="19" t="s">
        <v>51</v>
      </c>
      <c r="B20" s="20">
        <v>46054</v>
      </c>
      <c r="C20" s="19" t="s">
        <v>52</v>
      </c>
      <c r="D20" s="19" t="s">
        <v>53</v>
      </c>
      <c r="E20" s="19"/>
      <c r="F20" s="25">
        <v>0</v>
      </c>
      <c r="G20" s="25">
        <v>63329</v>
      </c>
      <c r="H20" s="25">
        <f t="shared" ref="H20:H52" si="1">((H19 + F20) - G20)</f>
        <v>-300330.15000000002</v>
      </c>
    </row>
    <row r="21" spans="1:16" x14ac:dyDescent="0.3">
      <c r="A21" s="19" t="s">
        <v>51</v>
      </c>
      <c r="B21" s="20">
        <v>46065</v>
      </c>
      <c r="C21" s="19" t="s">
        <v>54</v>
      </c>
      <c r="D21" s="19" t="s">
        <v>55</v>
      </c>
      <c r="E21" s="19" t="s">
        <v>173</v>
      </c>
      <c r="F21" s="25">
        <v>1437298</v>
      </c>
      <c r="G21" s="25">
        <v>0</v>
      </c>
      <c r="H21" s="25">
        <f t="shared" si="1"/>
        <v>1136967.8500000001</v>
      </c>
    </row>
    <row r="22" spans="1:16" x14ac:dyDescent="0.3">
      <c r="A22" s="19" t="s">
        <v>51</v>
      </c>
      <c r="B22" s="20">
        <v>46073</v>
      </c>
      <c r="C22" s="19" t="s">
        <v>52</v>
      </c>
      <c r="D22" s="19" t="s">
        <v>174</v>
      </c>
      <c r="E22" s="19" t="s">
        <v>175</v>
      </c>
      <c r="F22" s="25">
        <v>0</v>
      </c>
      <c r="G22" s="25">
        <v>521538.89</v>
      </c>
      <c r="H22" s="25">
        <f t="shared" si="1"/>
        <v>615428.96000000008</v>
      </c>
    </row>
    <row r="23" spans="1:16" x14ac:dyDescent="0.3">
      <c r="A23" s="19" t="s">
        <v>51</v>
      </c>
      <c r="B23" s="20">
        <v>46076</v>
      </c>
      <c r="C23" s="19" t="s">
        <v>52</v>
      </c>
      <c r="D23" s="19" t="s">
        <v>57</v>
      </c>
      <c r="E23" s="19"/>
      <c r="F23" s="25">
        <v>0</v>
      </c>
      <c r="G23" s="25">
        <v>13239</v>
      </c>
      <c r="H23" s="25">
        <f t="shared" si="1"/>
        <v>602189.96000000008</v>
      </c>
    </row>
    <row r="24" spans="1:16" x14ac:dyDescent="0.3">
      <c r="A24" s="19" t="s">
        <v>51</v>
      </c>
      <c r="B24" s="20">
        <v>46077</v>
      </c>
      <c r="C24" s="19" t="s">
        <v>52</v>
      </c>
      <c r="D24" s="19" t="s">
        <v>53</v>
      </c>
      <c r="E24" s="19"/>
      <c r="F24" s="25">
        <v>0</v>
      </c>
      <c r="G24" s="25">
        <v>1295002.3999999999</v>
      </c>
      <c r="H24" s="25">
        <f t="shared" si="1"/>
        <v>-692812.43999999983</v>
      </c>
    </row>
    <row r="25" spans="1:16" x14ac:dyDescent="0.3">
      <c r="A25" s="19" t="s">
        <v>51</v>
      </c>
      <c r="B25" s="20">
        <v>46078</v>
      </c>
      <c r="C25" s="19" t="s">
        <v>52</v>
      </c>
      <c r="D25" s="19" t="s">
        <v>57</v>
      </c>
      <c r="E25" s="19"/>
      <c r="F25" s="25">
        <v>0</v>
      </c>
      <c r="G25" s="25">
        <v>3977</v>
      </c>
      <c r="H25" s="25">
        <f t="shared" si="1"/>
        <v>-696789.43999999983</v>
      </c>
      <c r="O25" s="30">
        <f>1929964-729667</f>
        <v>1200297</v>
      </c>
    </row>
    <row r="26" spans="1:16" s="30" customFormat="1" x14ac:dyDescent="0.3">
      <c r="A26" s="26" t="s">
        <v>51</v>
      </c>
      <c r="B26" s="27">
        <v>46078</v>
      </c>
      <c r="C26" s="26" t="s">
        <v>52</v>
      </c>
      <c r="D26" s="26" t="s">
        <v>57</v>
      </c>
      <c r="E26" s="26"/>
      <c r="F26" s="28">
        <v>0</v>
      </c>
      <c r="G26" s="28">
        <v>32878</v>
      </c>
      <c r="H26" s="28">
        <f t="shared" si="1"/>
        <v>-729667.43999999983</v>
      </c>
      <c r="P26" s="30">
        <v>1929264</v>
      </c>
    </row>
    <row r="27" spans="1:16" x14ac:dyDescent="0.3">
      <c r="A27" s="19" t="s">
        <v>51</v>
      </c>
      <c r="B27" s="20">
        <v>46092</v>
      </c>
      <c r="C27" s="19" t="s">
        <v>52</v>
      </c>
      <c r="D27" s="19" t="s">
        <v>53</v>
      </c>
      <c r="E27" s="19"/>
      <c r="F27" s="25">
        <v>0</v>
      </c>
      <c r="G27" s="25">
        <v>275000</v>
      </c>
      <c r="H27" s="25">
        <f t="shared" si="1"/>
        <v>-1004667.4399999998</v>
      </c>
    </row>
    <row r="28" spans="1:16" x14ac:dyDescent="0.3">
      <c r="A28" s="19" t="s">
        <v>51</v>
      </c>
      <c r="B28" s="20">
        <v>46092</v>
      </c>
      <c r="C28" s="19" t="s">
        <v>52</v>
      </c>
      <c r="D28" s="19" t="s">
        <v>53</v>
      </c>
      <c r="E28" s="19"/>
      <c r="F28" s="25">
        <v>0</v>
      </c>
      <c r="G28" s="25">
        <v>137176</v>
      </c>
      <c r="H28" s="25">
        <f t="shared" si="1"/>
        <v>-1141843.44</v>
      </c>
    </row>
    <row r="29" spans="1:16" x14ac:dyDescent="0.3">
      <c r="A29" s="19" t="s">
        <v>51</v>
      </c>
      <c r="B29" s="20">
        <v>46092</v>
      </c>
      <c r="C29" s="19" t="s">
        <v>52</v>
      </c>
      <c r="D29" s="19" t="s">
        <v>53</v>
      </c>
      <c r="E29" s="19"/>
      <c r="F29" s="25">
        <v>0</v>
      </c>
      <c r="G29" s="25">
        <v>29078</v>
      </c>
      <c r="H29" s="25">
        <f t="shared" si="1"/>
        <v>-1170921.44</v>
      </c>
    </row>
    <row r="30" spans="1:16" x14ac:dyDescent="0.3">
      <c r="A30" s="19" t="s">
        <v>51</v>
      </c>
      <c r="B30" s="20">
        <v>46092</v>
      </c>
      <c r="C30" s="19" t="s">
        <v>52</v>
      </c>
      <c r="D30" s="19" t="s">
        <v>53</v>
      </c>
      <c r="E30" s="19"/>
      <c r="F30" s="25">
        <v>0</v>
      </c>
      <c r="G30" s="25">
        <v>10600</v>
      </c>
      <c r="H30" s="25">
        <f t="shared" si="1"/>
        <v>-1181521.44</v>
      </c>
    </row>
    <row r="31" spans="1:16" x14ac:dyDescent="0.3">
      <c r="A31" s="19" t="s">
        <v>51</v>
      </c>
      <c r="B31" s="20">
        <v>46093</v>
      </c>
      <c r="C31" s="19" t="s">
        <v>54</v>
      </c>
      <c r="D31" s="19" t="s">
        <v>55</v>
      </c>
      <c r="E31" s="19" t="s">
        <v>176</v>
      </c>
      <c r="F31" s="25">
        <v>113423</v>
      </c>
      <c r="G31" s="25">
        <v>0</v>
      </c>
      <c r="H31" s="25">
        <f t="shared" si="1"/>
        <v>-1068098.44</v>
      </c>
    </row>
    <row r="32" spans="1:16" x14ac:dyDescent="0.3">
      <c r="A32" s="19" t="s">
        <v>51</v>
      </c>
      <c r="B32" s="20">
        <v>46093</v>
      </c>
      <c r="C32" s="19" t="s">
        <v>52</v>
      </c>
      <c r="D32" s="19" t="s">
        <v>57</v>
      </c>
      <c r="E32" s="19"/>
      <c r="F32" s="25">
        <v>0</v>
      </c>
      <c r="G32" s="25">
        <v>122136.71</v>
      </c>
      <c r="H32" s="25">
        <f t="shared" si="1"/>
        <v>-1190235.1499999999</v>
      </c>
    </row>
    <row r="33" spans="1:8" x14ac:dyDescent="0.3">
      <c r="A33" s="19" t="s">
        <v>51</v>
      </c>
      <c r="B33" s="20">
        <v>46098</v>
      </c>
      <c r="C33" s="19" t="s">
        <v>52</v>
      </c>
      <c r="D33" s="19" t="s">
        <v>53</v>
      </c>
      <c r="E33" s="19"/>
      <c r="F33" s="25">
        <v>0</v>
      </c>
      <c r="G33" s="25">
        <v>12135.66</v>
      </c>
      <c r="H33" s="25">
        <f t="shared" si="1"/>
        <v>-1202370.8099999998</v>
      </c>
    </row>
    <row r="34" spans="1:8" x14ac:dyDescent="0.3">
      <c r="A34" s="19" t="s">
        <v>51</v>
      </c>
      <c r="B34" s="20">
        <v>46099</v>
      </c>
      <c r="C34" s="19" t="s">
        <v>52</v>
      </c>
      <c r="D34" s="19" t="s">
        <v>57</v>
      </c>
      <c r="E34" s="19"/>
      <c r="F34" s="25">
        <v>0</v>
      </c>
      <c r="G34" s="25">
        <v>309</v>
      </c>
      <c r="H34" s="25">
        <f t="shared" si="1"/>
        <v>-1202679.8099999998</v>
      </c>
    </row>
    <row r="35" spans="1:8" x14ac:dyDescent="0.3">
      <c r="A35" s="19" t="s">
        <v>51</v>
      </c>
      <c r="B35" s="20">
        <v>46099</v>
      </c>
      <c r="C35" s="19" t="s">
        <v>52</v>
      </c>
      <c r="D35" s="19" t="s">
        <v>53</v>
      </c>
      <c r="E35" s="19"/>
      <c r="F35" s="25">
        <v>0</v>
      </c>
      <c r="G35" s="25">
        <v>3298.93</v>
      </c>
      <c r="H35" s="25">
        <f t="shared" si="1"/>
        <v>-1205978.7399999998</v>
      </c>
    </row>
    <row r="36" spans="1:8" x14ac:dyDescent="0.3">
      <c r="A36" s="19" t="s">
        <v>51</v>
      </c>
      <c r="B36" s="20">
        <v>46099</v>
      </c>
      <c r="C36" s="19" t="s">
        <v>52</v>
      </c>
      <c r="D36" s="19" t="s">
        <v>53</v>
      </c>
      <c r="E36" s="19"/>
      <c r="F36" s="25">
        <v>0</v>
      </c>
      <c r="G36" s="25">
        <v>22242.62</v>
      </c>
      <c r="H36" s="25">
        <f t="shared" si="1"/>
        <v>-1228221.3599999999</v>
      </c>
    </row>
    <row r="37" spans="1:8" x14ac:dyDescent="0.3">
      <c r="A37" s="19" t="s">
        <v>51</v>
      </c>
      <c r="B37" s="20">
        <v>46099</v>
      </c>
      <c r="C37" s="19" t="s">
        <v>52</v>
      </c>
      <c r="D37" s="19" t="s">
        <v>53</v>
      </c>
      <c r="E37" s="19"/>
      <c r="F37" s="25">
        <v>0</v>
      </c>
      <c r="G37" s="25">
        <v>50087.02</v>
      </c>
      <c r="H37" s="25">
        <f t="shared" si="1"/>
        <v>-1278308.3799999999</v>
      </c>
    </row>
    <row r="38" spans="1:8" x14ac:dyDescent="0.3">
      <c r="A38" s="19" t="s">
        <v>51</v>
      </c>
      <c r="B38" s="20">
        <v>46100</v>
      </c>
      <c r="C38" s="19" t="s">
        <v>52</v>
      </c>
      <c r="D38" s="19" t="s">
        <v>57</v>
      </c>
      <c r="E38" s="19"/>
      <c r="F38" s="25">
        <v>0</v>
      </c>
      <c r="G38" s="25">
        <v>570</v>
      </c>
      <c r="H38" s="25">
        <f t="shared" si="1"/>
        <v>-1278878.3799999999</v>
      </c>
    </row>
    <row r="39" spans="1:8" x14ac:dyDescent="0.3">
      <c r="A39" s="19" t="s">
        <v>51</v>
      </c>
      <c r="B39" s="20">
        <v>46100</v>
      </c>
      <c r="C39" s="19" t="s">
        <v>52</v>
      </c>
      <c r="D39" s="19" t="s">
        <v>57</v>
      </c>
      <c r="E39" s="19"/>
      <c r="F39" s="25">
        <v>0</v>
      </c>
      <c r="G39" s="25">
        <v>1281</v>
      </c>
      <c r="H39" s="25">
        <f t="shared" si="1"/>
        <v>-1280159.3799999999</v>
      </c>
    </row>
    <row r="40" spans="1:8" x14ac:dyDescent="0.3">
      <c r="A40" s="19" t="s">
        <v>51</v>
      </c>
      <c r="B40" s="20">
        <v>46100</v>
      </c>
      <c r="C40" s="19" t="s">
        <v>52</v>
      </c>
      <c r="D40" s="19" t="s">
        <v>57</v>
      </c>
      <c r="E40" s="19"/>
      <c r="F40" s="25">
        <v>0</v>
      </c>
      <c r="G40" s="25">
        <v>84</v>
      </c>
      <c r="H40" s="25">
        <f t="shared" si="1"/>
        <v>-1280243.3799999999</v>
      </c>
    </row>
    <row r="41" spans="1:8" x14ac:dyDescent="0.3">
      <c r="A41" s="19" t="s">
        <v>51</v>
      </c>
      <c r="B41" s="20">
        <v>46100</v>
      </c>
      <c r="C41" s="19" t="s">
        <v>52</v>
      </c>
      <c r="D41" s="19" t="s">
        <v>53</v>
      </c>
      <c r="E41" s="19"/>
      <c r="F41" s="25">
        <v>0</v>
      </c>
      <c r="G41" s="25">
        <v>29078.07</v>
      </c>
      <c r="H41" s="25">
        <f t="shared" si="1"/>
        <v>-1309321.45</v>
      </c>
    </row>
    <row r="42" spans="1:8" x14ac:dyDescent="0.3">
      <c r="A42" s="19" t="s">
        <v>51</v>
      </c>
      <c r="B42" s="20">
        <v>46101</v>
      </c>
      <c r="C42" s="19" t="s">
        <v>52</v>
      </c>
      <c r="D42" s="19" t="s">
        <v>57</v>
      </c>
      <c r="E42" s="19"/>
      <c r="F42" s="25">
        <v>0</v>
      </c>
      <c r="G42" s="25">
        <v>748</v>
      </c>
      <c r="H42" s="25">
        <f t="shared" si="1"/>
        <v>-1310069.45</v>
      </c>
    </row>
    <row r="43" spans="1:8" x14ac:dyDescent="0.3">
      <c r="A43" s="19" t="s">
        <v>51</v>
      </c>
      <c r="B43" s="20">
        <v>46101</v>
      </c>
      <c r="C43" s="19" t="s">
        <v>52</v>
      </c>
      <c r="D43" s="19" t="s">
        <v>53</v>
      </c>
      <c r="E43" s="19"/>
      <c r="F43" s="25">
        <v>0</v>
      </c>
      <c r="G43" s="25">
        <v>26446.240000000002</v>
      </c>
      <c r="H43" s="25">
        <f t="shared" si="1"/>
        <v>-1336515.69</v>
      </c>
    </row>
    <row r="44" spans="1:8" x14ac:dyDescent="0.3">
      <c r="A44" s="19" t="s">
        <v>51</v>
      </c>
      <c r="B44" s="20">
        <v>46104</v>
      </c>
      <c r="C44" s="19" t="s">
        <v>52</v>
      </c>
      <c r="D44" s="19" t="s">
        <v>57</v>
      </c>
      <c r="E44" s="19"/>
      <c r="F44" s="25">
        <v>0</v>
      </c>
      <c r="G44" s="25">
        <v>673</v>
      </c>
      <c r="H44" s="25">
        <f t="shared" si="1"/>
        <v>-1337188.69</v>
      </c>
    </row>
    <row r="45" spans="1:8" x14ac:dyDescent="0.3">
      <c r="A45" s="19" t="s">
        <v>51</v>
      </c>
      <c r="B45" s="20">
        <v>46106</v>
      </c>
      <c r="C45" s="19" t="s">
        <v>52</v>
      </c>
      <c r="D45" s="19" t="s">
        <v>53</v>
      </c>
      <c r="E45" s="19"/>
      <c r="F45" s="25">
        <v>0</v>
      </c>
      <c r="G45" s="25">
        <v>35786</v>
      </c>
      <c r="H45" s="25">
        <f t="shared" si="1"/>
        <v>-1372974.69</v>
      </c>
    </row>
    <row r="46" spans="1:8" x14ac:dyDescent="0.3">
      <c r="A46" s="19" t="s">
        <v>51</v>
      </c>
      <c r="B46" s="20">
        <v>46106</v>
      </c>
      <c r="C46" s="19" t="s">
        <v>52</v>
      </c>
      <c r="D46" s="19" t="s">
        <v>53</v>
      </c>
      <c r="E46" s="19"/>
      <c r="F46" s="25">
        <v>0</v>
      </c>
      <c r="G46" s="25">
        <v>127771.71</v>
      </c>
      <c r="H46" s="25">
        <f t="shared" si="1"/>
        <v>-1500746.4</v>
      </c>
    </row>
    <row r="47" spans="1:8" x14ac:dyDescent="0.3">
      <c r="A47" s="19" t="s">
        <v>51</v>
      </c>
      <c r="B47" s="20">
        <v>46106</v>
      </c>
      <c r="C47" s="19" t="s">
        <v>52</v>
      </c>
      <c r="D47" s="19" t="s">
        <v>53</v>
      </c>
      <c r="E47" s="19"/>
      <c r="F47" s="25">
        <v>0</v>
      </c>
      <c r="G47" s="25">
        <v>12418.95</v>
      </c>
      <c r="H47" s="25">
        <f t="shared" si="1"/>
        <v>-1513165.3499999999</v>
      </c>
    </row>
    <row r="48" spans="1:8" x14ac:dyDescent="0.3">
      <c r="A48" s="19" t="s">
        <v>51</v>
      </c>
      <c r="B48" s="20">
        <v>46107</v>
      </c>
      <c r="C48" s="19" t="s">
        <v>52</v>
      </c>
      <c r="D48" s="19" t="s">
        <v>57</v>
      </c>
      <c r="E48" s="19"/>
      <c r="F48" s="25">
        <v>0</v>
      </c>
      <c r="G48" s="25">
        <v>3984</v>
      </c>
      <c r="H48" s="25">
        <f t="shared" si="1"/>
        <v>-1517149.3499999999</v>
      </c>
    </row>
    <row r="49" spans="1:16" x14ac:dyDescent="0.3">
      <c r="A49" s="19" t="s">
        <v>51</v>
      </c>
      <c r="B49" s="20">
        <v>46107</v>
      </c>
      <c r="C49" s="19" t="s">
        <v>52</v>
      </c>
      <c r="D49" s="19" t="s">
        <v>57</v>
      </c>
      <c r="E49" s="19"/>
      <c r="F49" s="25">
        <v>0</v>
      </c>
      <c r="G49" s="25">
        <v>3273</v>
      </c>
      <c r="H49" s="25">
        <f t="shared" si="1"/>
        <v>-1520422.3499999999</v>
      </c>
    </row>
    <row r="50" spans="1:16" x14ac:dyDescent="0.3">
      <c r="A50" s="19" t="s">
        <v>51</v>
      </c>
      <c r="B50" s="20">
        <v>46107</v>
      </c>
      <c r="C50" s="19" t="s">
        <v>52</v>
      </c>
      <c r="D50" s="19" t="s">
        <v>57</v>
      </c>
      <c r="E50" s="19"/>
      <c r="F50" s="25">
        <v>0</v>
      </c>
      <c r="G50" s="25">
        <v>1280</v>
      </c>
      <c r="H50" s="25">
        <f t="shared" si="1"/>
        <v>-1521702.3499999999</v>
      </c>
    </row>
    <row r="51" spans="1:16" x14ac:dyDescent="0.3">
      <c r="A51" s="19" t="s">
        <v>51</v>
      </c>
      <c r="B51" s="20">
        <v>46107</v>
      </c>
      <c r="C51" s="19" t="s">
        <v>52</v>
      </c>
      <c r="D51" s="19" t="s">
        <v>57</v>
      </c>
      <c r="E51" s="19"/>
      <c r="F51" s="25">
        <v>0</v>
      </c>
      <c r="G51" s="25">
        <v>318</v>
      </c>
      <c r="H51" s="25">
        <f t="shared" si="1"/>
        <v>-1522020.3499999999</v>
      </c>
      <c r="O51" s="30">
        <f>2782900-1582603</f>
        <v>1200297</v>
      </c>
    </row>
    <row r="52" spans="1:16" s="30" customFormat="1" x14ac:dyDescent="0.3">
      <c r="A52" s="26" t="s">
        <v>51</v>
      </c>
      <c r="B52" s="27">
        <v>46107</v>
      </c>
      <c r="C52" s="26" t="s">
        <v>52</v>
      </c>
      <c r="D52" s="26" t="s">
        <v>57</v>
      </c>
      <c r="E52" s="26"/>
      <c r="F52" s="28">
        <v>0</v>
      </c>
      <c r="G52" s="28">
        <v>60583</v>
      </c>
      <c r="H52" s="28">
        <f t="shared" si="1"/>
        <v>-1582603.3499999999</v>
      </c>
      <c r="P52" s="30">
        <v>2782900</v>
      </c>
    </row>
  </sheetData>
  <pageMargins left="0.7" right="0.7" top="0.75" bottom="0.75" header="0.3" footer="0.3"/>
  <headerFooter>
    <oddFooter>&amp;C_x000D_&amp;1#&amp;"Aptos"&amp;9&amp;K000000 Calificación: Publico, apto para su distribución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B482D-00D6-4A52-93BE-16E38E24C1A0}">
  <sheetPr>
    <tabColor rgb="FF7030A0"/>
  </sheetPr>
  <dimension ref="A1:L18"/>
  <sheetViews>
    <sheetView workbookViewId="0">
      <selection activeCell="K18" sqref="K18"/>
    </sheetView>
  </sheetViews>
  <sheetFormatPr baseColWidth="10" defaultRowHeight="14" x14ac:dyDescent="0.3"/>
  <cols>
    <col min="5" max="5" width="31.09765625" bestFit="1" customWidth="1"/>
  </cols>
  <sheetData>
    <row r="1" spans="1:12" ht="14.55" thickBot="1" x14ac:dyDescent="0.35">
      <c r="A1" t="s">
        <v>3</v>
      </c>
      <c r="B1" s="1">
        <v>46017</v>
      </c>
      <c r="C1" s="2">
        <v>4132</v>
      </c>
      <c r="D1" t="s">
        <v>4</v>
      </c>
      <c r="E1" t="s">
        <v>5</v>
      </c>
      <c r="G1" s="2">
        <v>6314</v>
      </c>
      <c r="H1" s="6">
        <v>-40036</v>
      </c>
      <c r="I1" s="36" t="s">
        <v>146</v>
      </c>
      <c r="J1" s="37">
        <v>33722</v>
      </c>
    </row>
    <row r="2" spans="1:12" x14ac:dyDescent="0.3">
      <c r="B2" s="1">
        <v>46023</v>
      </c>
      <c r="C2" s="2"/>
      <c r="E2" t="s">
        <v>5</v>
      </c>
      <c r="F2">
        <v>33722</v>
      </c>
      <c r="G2" s="2"/>
      <c r="H2" s="2">
        <f>H1+F2-G2</f>
        <v>-6314</v>
      </c>
      <c r="I2" s="45"/>
      <c r="J2" s="45"/>
    </row>
    <row r="3" spans="1:12" x14ac:dyDescent="0.3">
      <c r="A3" t="s">
        <v>24</v>
      </c>
      <c r="B3" s="1">
        <v>46036</v>
      </c>
      <c r="C3" s="2">
        <v>4196</v>
      </c>
      <c r="D3" t="s">
        <v>25</v>
      </c>
      <c r="E3" t="s">
        <v>5</v>
      </c>
      <c r="F3" s="34">
        <v>6314</v>
      </c>
      <c r="H3" s="2">
        <f t="shared" ref="H3:H8" si="0">H2+F3-G3</f>
        <v>0</v>
      </c>
    </row>
    <row r="4" spans="1:12" x14ac:dyDescent="0.3">
      <c r="A4" t="s">
        <v>26</v>
      </c>
      <c r="B4" s="1">
        <v>46048</v>
      </c>
      <c r="C4" s="2">
        <v>4245</v>
      </c>
      <c r="D4" t="s">
        <v>27</v>
      </c>
      <c r="E4" t="s">
        <v>5</v>
      </c>
      <c r="G4" s="2">
        <v>99008</v>
      </c>
      <c r="H4" s="2">
        <f t="shared" si="0"/>
        <v>-99008</v>
      </c>
    </row>
    <row r="5" spans="1:12" x14ac:dyDescent="0.3">
      <c r="A5" t="s">
        <v>155</v>
      </c>
      <c r="B5" s="1">
        <v>46065</v>
      </c>
      <c r="C5" s="2">
        <v>4307</v>
      </c>
      <c r="D5" t="s">
        <v>156</v>
      </c>
      <c r="E5" t="s">
        <v>5</v>
      </c>
      <c r="F5">
        <v>99008</v>
      </c>
      <c r="G5" s="2"/>
      <c r="H5" s="2">
        <f t="shared" si="0"/>
        <v>0</v>
      </c>
    </row>
    <row r="6" spans="1:12" x14ac:dyDescent="0.3">
      <c r="A6" t="s">
        <v>157</v>
      </c>
      <c r="B6" s="1">
        <v>46078</v>
      </c>
      <c r="C6" s="2">
        <v>4453</v>
      </c>
      <c r="D6" t="s">
        <v>27</v>
      </c>
      <c r="E6" t="s">
        <v>5</v>
      </c>
      <c r="G6" s="2">
        <v>38514</v>
      </c>
      <c r="H6" s="2">
        <f t="shared" si="0"/>
        <v>-38514</v>
      </c>
    </row>
    <row r="7" spans="1:12" x14ac:dyDescent="0.3">
      <c r="A7" t="s">
        <v>182</v>
      </c>
      <c r="B7" s="1">
        <v>46093</v>
      </c>
      <c r="C7" s="2">
        <v>4434</v>
      </c>
      <c r="D7" t="s">
        <v>183</v>
      </c>
      <c r="E7" t="s">
        <v>5</v>
      </c>
      <c r="F7" s="2">
        <v>38514</v>
      </c>
      <c r="G7" s="2"/>
      <c r="H7" s="2">
        <f t="shared" si="0"/>
        <v>0</v>
      </c>
    </row>
    <row r="8" spans="1:12" x14ac:dyDescent="0.3">
      <c r="A8" t="s">
        <v>184</v>
      </c>
      <c r="B8" s="1">
        <v>46107</v>
      </c>
      <c r="C8" s="2">
        <v>4595</v>
      </c>
      <c r="D8" t="s">
        <v>27</v>
      </c>
      <c r="E8" t="s">
        <v>5</v>
      </c>
      <c r="G8" s="2">
        <v>28900</v>
      </c>
      <c r="H8" s="2">
        <f t="shared" si="0"/>
        <v>-28900</v>
      </c>
    </row>
    <row r="9" spans="1:12" x14ac:dyDescent="0.3">
      <c r="B9" s="1"/>
      <c r="C9" s="2"/>
      <c r="G9" s="2"/>
      <c r="H9" s="2"/>
    </row>
    <row r="14" spans="1:12" x14ac:dyDescent="0.3">
      <c r="A14" s="1">
        <v>46017</v>
      </c>
      <c r="B14" s="2">
        <v>4132</v>
      </c>
      <c r="C14" t="s">
        <v>4</v>
      </c>
      <c r="D14" t="s">
        <v>5</v>
      </c>
      <c r="G14">
        <v>101.42</v>
      </c>
      <c r="H14" s="4">
        <f>G13+F14-G14</f>
        <v>-101.42</v>
      </c>
      <c r="I14" s="2">
        <f>-G14*907.13</f>
        <v>-92001.124599999996</v>
      </c>
      <c r="J14" s="5">
        <f>+I14+H1</f>
        <v>-132037.12459999998</v>
      </c>
      <c r="K14" s="2">
        <f>'11X'!N7+'11SC'!J14</f>
        <v>-33934.124599999981</v>
      </c>
      <c r="L14" t="s">
        <v>178</v>
      </c>
    </row>
    <row r="15" spans="1:12" x14ac:dyDescent="0.3">
      <c r="A15" s="1">
        <v>46048</v>
      </c>
      <c r="B15" s="2">
        <v>4245</v>
      </c>
      <c r="C15" t="s">
        <v>27</v>
      </c>
      <c r="D15" t="s">
        <v>5</v>
      </c>
      <c r="F15">
        <v>101.42</v>
      </c>
      <c r="H15" s="10">
        <f>H14+F15-G15</f>
        <v>0</v>
      </c>
      <c r="I15" s="2">
        <f>-H15*865.1</f>
        <v>0</v>
      </c>
      <c r="J15" s="5">
        <f>+I15+H4</f>
        <v>-99008</v>
      </c>
      <c r="K15" s="2">
        <f>'11X'!O6+'11SC'!J15</f>
        <v>0</v>
      </c>
      <c r="L15" t="s">
        <v>179</v>
      </c>
    </row>
    <row r="16" spans="1:12" x14ac:dyDescent="0.3">
      <c r="A16" t="s">
        <v>157</v>
      </c>
      <c r="B16" s="1">
        <v>46078</v>
      </c>
      <c r="C16" s="2">
        <v>4453</v>
      </c>
      <c r="D16" t="s">
        <v>27</v>
      </c>
      <c r="E16" t="s">
        <v>5</v>
      </c>
      <c r="G16">
        <v>25.06</v>
      </c>
      <c r="H16" s="10">
        <f>H15+F16-G16</f>
        <v>-25.06</v>
      </c>
      <c r="I16" s="2">
        <f>H16*871.41</f>
        <v>-21837.534599999999</v>
      </c>
      <c r="J16" s="5">
        <f>+I16+H6</f>
        <v>-60351.534599999999</v>
      </c>
      <c r="K16" s="2">
        <f>'11X'!O11+'11SC'!J16</f>
        <v>0.46540000000095461</v>
      </c>
      <c r="L16" t="s">
        <v>180</v>
      </c>
    </row>
    <row r="17" spans="1:12" x14ac:dyDescent="0.3">
      <c r="A17" t="s">
        <v>184</v>
      </c>
      <c r="B17" s="1">
        <v>46107</v>
      </c>
      <c r="C17" s="2">
        <v>4595</v>
      </c>
      <c r="D17" t="s">
        <v>27</v>
      </c>
      <c r="E17" t="s">
        <v>5</v>
      </c>
      <c r="G17">
        <v>38.07</v>
      </c>
      <c r="H17" s="10">
        <f t="shared" ref="H17:H18" si="1">H16+F17-G17</f>
        <v>-63.129999999999995</v>
      </c>
    </row>
    <row r="18" spans="1:12" x14ac:dyDescent="0.3">
      <c r="A18" t="s">
        <v>184</v>
      </c>
      <c r="B18" s="1">
        <v>46107</v>
      </c>
      <c r="C18" s="2">
        <v>4595</v>
      </c>
      <c r="D18" t="s">
        <v>27</v>
      </c>
      <c r="E18" t="s">
        <v>5</v>
      </c>
      <c r="F18">
        <v>25.06</v>
      </c>
      <c r="H18" s="10">
        <f t="shared" si="1"/>
        <v>-38.069999999999993</v>
      </c>
      <c r="I18" s="2">
        <f>H18*927.46</f>
        <v>-35308.402199999997</v>
      </c>
      <c r="J18" s="5">
        <f>+I18+H8</f>
        <v>-64208.402199999997</v>
      </c>
      <c r="K18" s="8">
        <f>'11X'!O22+'11SC'!J18</f>
        <v>-518.40219999999681</v>
      </c>
      <c r="L18" t="s">
        <v>181</v>
      </c>
    </row>
  </sheetData>
  <phoneticPr fontId="9" type="noConversion"/>
  <pageMargins left="0.7" right="0.7" top="0.75" bottom="0.75" header="0.3" footer="0.3"/>
  <headerFooter>
    <oddFooter>&amp;C_x000D_&amp;1#&amp;"Aptos"&amp;9&amp;K000000 Calificación: Publico, apto para su distribución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B631D-AD99-474F-A975-78C531AF9763}">
  <dimension ref="A1:O22"/>
  <sheetViews>
    <sheetView workbookViewId="0">
      <selection activeCell="G27" sqref="G27"/>
    </sheetView>
  </sheetViews>
  <sheetFormatPr baseColWidth="10" defaultRowHeight="14" x14ac:dyDescent="0.3"/>
  <cols>
    <col min="6" max="8" width="11.19921875" style="23"/>
  </cols>
  <sheetData>
    <row r="1" spans="1:15" x14ac:dyDescent="0.3">
      <c r="A1" s="14" t="s">
        <v>44</v>
      </c>
      <c r="B1" s="14" t="s">
        <v>45</v>
      </c>
      <c r="C1" s="14" t="s">
        <v>46</v>
      </c>
      <c r="D1" s="14" t="s">
        <v>47</v>
      </c>
      <c r="E1" s="14" t="s">
        <v>48</v>
      </c>
      <c r="F1" s="22" t="s">
        <v>49</v>
      </c>
      <c r="G1" s="22" t="s">
        <v>50</v>
      </c>
    </row>
    <row r="2" spans="1:15" x14ac:dyDescent="0.3">
      <c r="A2" s="16" t="s">
        <v>61</v>
      </c>
      <c r="B2" s="17">
        <v>46036</v>
      </c>
      <c r="C2" s="16" t="s">
        <v>54</v>
      </c>
      <c r="D2" s="16" t="s">
        <v>62</v>
      </c>
      <c r="E2" s="16" t="s">
        <v>63</v>
      </c>
      <c r="F2" s="35">
        <v>6314</v>
      </c>
      <c r="G2" s="24">
        <v>0</v>
      </c>
      <c r="H2" s="23">
        <f>+F2</f>
        <v>6314</v>
      </c>
    </row>
    <row r="3" spans="1:15" x14ac:dyDescent="0.3">
      <c r="A3" s="19" t="s">
        <v>61</v>
      </c>
      <c r="B3" s="20">
        <v>46036</v>
      </c>
      <c r="C3" s="19" t="s">
        <v>52</v>
      </c>
      <c r="D3" s="19" t="s">
        <v>57</v>
      </c>
      <c r="E3" s="19"/>
      <c r="F3" s="25">
        <v>0</v>
      </c>
      <c r="G3" s="25">
        <v>806.84</v>
      </c>
      <c r="H3" s="23">
        <f>H2+F3-G3</f>
        <v>5507.16</v>
      </c>
    </row>
    <row r="4" spans="1:15" x14ac:dyDescent="0.3">
      <c r="A4" s="19" t="s">
        <v>61</v>
      </c>
      <c r="B4" s="20">
        <v>46050</v>
      </c>
      <c r="C4" s="19" t="s">
        <v>52</v>
      </c>
      <c r="D4" s="19" t="s">
        <v>57</v>
      </c>
      <c r="E4" s="19"/>
      <c r="F4" s="25">
        <v>0</v>
      </c>
      <c r="G4" s="25">
        <v>61</v>
      </c>
      <c r="H4" s="23">
        <f t="shared" ref="H4:H6" si="0">H3+F4-G4</f>
        <v>5446.16</v>
      </c>
    </row>
    <row r="5" spans="1:15" x14ac:dyDescent="0.3">
      <c r="A5" s="19" t="s">
        <v>61</v>
      </c>
      <c r="B5" s="20">
        <v>46050</v>
      </c>
      <c r="C5" s="19" t="s">
        <v>52</v>
      </c>
      <c r="D5" s="19" t="s">
        <v>57</v>
      </c>
      <c r="E5" s="19"/>
      <c r="F5" s="25">
        <v>0</v>
      </c>
      <c r="G5" s="25">
        <v>3971</v>
      </c>
      <c r="H5" s="23">
        <f t="shared" si="0"/>
        <v>1475.1599999999999</v>
      </c>
    </row>
    <row r="6" spans="1:15" s="30" customFormat="1" x14ac:dyDescent="0.3">
      <c r="A6" s="26" t="s">
        <v>61</v>
      </c>
      <c r="B6" s="27">
        <v>46050</v>
      </c>
      <c r="C6" s="26" t="s">
        <v>52</v>
      </c>
      <c r="D6" s="26" t="s">
        <v>57</v>
      </c>
      <c r="E6" s="26"/>
      <c r="F6" s="28">
        <v>0</v>
      </c>
      <c r="G6" s="28">
        <v>2380</v>
      </c>
      <c r="H6" s="29">
        <f t="shared" si="0"/>
        <v>-904.84000000000015</v>
      </c>
      <c r="O6" s="30">
        <v>99008</v>
      </c>
    </row>
    <row r="7" spans="1:15" x14ac:dyDescent="0.3">
      <c r="A7" s="19" t="s">
        <v>61</v>
      </c>
      <c r="B7" s="20">
        <v>46065</v>
      </c>
      <c r="C7" s="19" t="s">
        <v>54</v>
      </c>
      <c r="D7" s="19" t="s">
        <v>62</v>
      </c>
      <c r="E7" s="19" t="s">
        <v>185</v>
      </c>
      <c r="F7" s="25">
        <v>99008</v>
      </c>
      <c r="G7" s="25">
        <v>0</v>
      </c>
      <c r="H7" s="25">
        <f t="shared" ref="H7:H22" si="1">((H6 + F7) - G7)</f>
        <v>98103.16</v>
      </c>
      <c r="M7" t="s">
        <v>188</v>
      </c>
      <c r="N7" s="30">
        <f>O6-905</f>
        <v>98103</v>
      </c>
    </row>
    <row r="8" spans="1:15" x14ac:dyDescent="0.3">
      <c r="A8" s="19" t="s">
        <v>61</v>
      </c>
      <c r="B8" s="20">
        <v>46069</v>
      </c>
      <c r="C8" s="19" t="s">
        <v>52</v>
      </c>
      <c r="D8" s="19" t="s">
        <v>53</v>
      </c>
      <c r="E8" s="19"/>
      <c r="F8" s="25">
        <v>0</v>
      </c>
      <c r="G8" s="25">
        <v>33979</v>
      </c>
      <c r="H8" s="25">
        <f t="shared" si="1"/>
        <v>64124.160000000003</v>
      </c>
    </row>
    <row r="9" spans="1:15" x14ac:dyDescent="0.3">
      <c r="A9" s="19" t="s">
        <v>61</v>
      </c>
      <c r="B9" s="20">
        <v>46069</v>
      </c>
      <c r="C9" s="19" t="s">
        <v>52</v>
      </c>
      <c r="D9" s="19" t="s">
        <v>53</v>
      </c>
      <c r="E9" s="19"/>
      <c r="F9" s="25">
        <v>0</v>
      </c>
      <c r="G9" s="25">
        <v>21837.53</v>
      </c>
      <c r="H9" s="25">
        <f t="shared" si="1"/>
        <v>42286.630000000005</v>
      </c>
    </row>
    <row r="10" spans="1:15" x14ac:dyDescent="0.3">
      <c r="A10" s="19" t="s">
        <v>61</v>
      </c>
      <c r="B10" s="20">
        <v>46071</v>
      </c>
      <c r="C10" s="19" t="s">
        <v>52</v>
      </c>
      <c r="D10" s="19" t="s">
        <v>58</v>
      </c>
      <c r="E10" s="19"/>
      <c r="F10" s="25">
        <v>0</v>
      </c>
      <c r="G10" s="25">
        <v>558</v>
      </c>
      <c r="H10" s="25">
        <f t="shared" si="1"/>
        <v>41728.630000000005</v>
      </c>
      <c r="N10">
        <f>O11+37752</f>
        <v>98104</v>
      </c>
    </row>
    <row r="11" spans="1:15" x14ac:dyDescent="0.3">
      <c r="A11" s="26" t="s">
        <v>61</v>
      </c>
      <c r="B11" s="27">
        <v>46078</v>
      </c>
      <c r="C11" s="26" t="s">
        <v>52</v>
      </c>
      <c r="D11" s="26" t="s">
        <v>57</v>
      </c>
      <c r="E11" s="26"/>
      <c r="F11" s="28">
        <v>0</v>
      </c>
      <c r="G11" s="28">
        <v>3977</v>
      </c>
      <c r="H11" s="28">
        <f t="shared" si="1"/>
        <v>37751.630000000005</v>
      </c>
      <c r="O11" s="30">
        <v>60352</v>
      </c>
    </row>
    <row r="12" spans="1:15" x14ac:dyDescent="0.3">
      <c r="A12" s="19" t="s">
        <v>61</v>
      </c>
      <c r="B12" s="20">
        <v>46082</v>
      </c>
      <c r="C12" s="19" t="s">
        <v>52</v>
      </c>
      <c r="D12" s="19" t="s">
        <v>53</v>
      </c>
      <c r="E12" s="19"/>
      <c r="F12" s="25">
        <v>33979</v>
      </c>
      <c r="G12" s="25">
        <v>0</v>
      </c>
      <c r="H12" s="25">
        <f t="shared" si="1"/>
        <v>71730.63</v>
      </c>
      <c r="O12" s="30"/>
    </row>
    <row r="13" spans="1:15" x14ac:dyDescent="0.3">
      <c r="A13" s="19" t="s">
        <v>61</v>
      </c>
      <c r="B13" s="20">
        <v>46082</v>
      </c>
      <c r="C13" s="19" t="s">
        <v>52</v>
      </c>
      <c r="D13" s="19" t="s">
        <v>58</v>
      </c>
      <c r="E13" s="19" t="s">
        <v>68</v>
      </c>
      <c r="F13" s="25">
        <v>0</v>
      </c>
      <c r="G13" s="25">
        <v>33979</v>
      </c>
      <c r="H13" s="25">
        <f t="shared" si="1"/>
        <v>37751.630000000005</v>
      </c>
      <c r="O13" s="30"/>
    </row>
    <row r="14" spans="1:15" x14ac:dyDescent="0.3">
      <c r="A14" s="19" t="s">
        <v>61</v>
      </c>
      <c r="B14" s="20">
        <v>46084</v>
      </c>
      <c r="C14" s="19" t="s">
        <v>52</v>
      </c>
      <c r="D14" s="19" t="s">
        <v>58</v>
      </c>
      <c r="E14" s="19" t="s">
        <v>69</v>
      </c>
      <c r="F14" s="25">
        <v>0</v>
      </c>
      <c r="G14" s="25">
        <v>18176.080000000002</v>
      </c>
      <c r="H14" s="25">
        <f t="shared" si="1"/>
        <v>19575.550000000003</v>
      </c>
      <c r="O14" s="30"/>
    </row>
    <row r="15" spans="1:15" x14ac:dyDescent="0.3">
      <c r="A15" s="19" t="s">
        <v>61</v>
      </c>
      <c r="B15" s="20">
        <v>46084</v>
      </c>
      <c r="C15" s="19" t="s">
        <v>52</v>
      </c>
      <c r="D15" s="19" t="s">
        <v>58</v>
      </c>
      <c r="E15" s="19" t="s">
        <v>186</v>
      </c>
      <c r="F15" s="25">
        <v>0</v>
      </c>
      <c r="G15" s="25">
        <v>16613.43</v>
      </c>
      <c r="H15" s="25">
        <f t="shared" si="1"/>
        <v>2962.1200000000026</v>
      </c>
      <c r="O15" s="30"/>
    </row>
    <row r="16" spans="1:15" x14ac:dyDescent="0.3">
      <c r="A16" s="19" t="s">
        <v>61</v>
      </c>
      <c r="B16" s="20">
        <v>46085</v>
      </c>
      <c r="C16" s="19" t="s">
        <v>52</v>
      </c>
      <c r="D16" s="19" t="s">
        <v>58</v>
      </c>
      <c r="E16" s="19"/>
      <c r="F16" s="25">
        <v>0</v>
      </c>
      <c r="G16" s="25">
        <v>420</v>
      </c>
      <c r="H16" s="25">
        <f t="shared" si="1"/>
        <v>2542.1200000000026</v>
      </c>
      <c r="O16" s="30"/>
    </row>
    <row r="17" spans="1:15" x14ac:dyDescent="0.3">
      <c r="A17" s="19" t="s">
        <v>61</v>
      </c>
      <c r="B17" s="20">
        <v>46085</v>
      </c>
      <c r="C17" s="19" t="s">
        <v>52</v>
      </c>
      <c r="D17" s="19" t="s">
        <v>58</v>
      </c>
      <c r="E17" s="19"/>
      <c r="F17" s="25">
        <v>0</v>
      </c>
      <c r="G17" s="25">
        <v>468</v>
      </c>
      <c r="H17" s="25">
        <f t="shared" si="1"/>
        <v>2074.1200000000026</v>
      </c>
      <c r="O17" s="30"/>
    </row>
    <row r="18" spans="1:15" x14ac:dyDescent="0.3">
      <c r="A18" s="19" t="s">
        <v>61</v>
      </c>
      <c r="B18" s="20">
        <v>46093</v>
      </c>
      <c r="C18" s="19" t="s">
        <v>54</v>
      </c>
      <c r="D18" s="19" t="s">
        <v>62</v>
      </c>
      <c r="E18" s="19" t="s">
        <v>187</v>
      </c>
      <c r="F18" s="25">
        <v>38514</v>
      </c>
      <c r="G18" s="25">
        <v>0</v>
      </c>
      <c r="H18" s="25">
        <f t="shared" si="1"/>
        <v>40588.120000000003</v>
      </c>
      <c r="O18" s="30"/>
    </row>
    <row r="19" spans="1:15" x14ac:dyDescent="0.3">
      <c r="A19" s="19" t="s">
        <v>61</v>
      </c>
      <c r="B19" s="20">
        <v>46093</v>
      </c>
      <c r="C19" s="19" t="s">
        <v>52</v>
      </c>
      <c r="D19" s="19" t="s">
        <v>57</v>
      </c>
      <c r="E19" s="19"/>
      <c r="F19" s="25">
        <v>0</v>
      </c>
      <c r="G19" s="25">
        <v>1468.47</v>
      </c>
      <c r="H19" s="25">
        <f t="shared" si="1"/>
        <v>39119.65</v>
      </c>
      <c r="O19" s="30"/>
    </row>
    <row r="20" spans="1:15" x14ac:dyDescent="0.3">
      <c r="A20" s="19" t="s">
        <v>61</v>
      </c>
      <c r="B20" s="20">
        <v>46107</v>
      </c>
      <c r="C20" s="19" t="s">
        <v>52</v>
      </c>
      <c r="D20" s="19" t="s">
        <v>57</v>
      </c>
      <c r="E20" s="19"/>
      <c r="F20" s="25">
        <v>0</v>
      </c>
      <c r="G20" s="25">
        <v>15</v>
      </c>
      <c r="H20" s="25">
        <f t="shared" si="1"/>
        <v>39104.65</v>
      </c>
      <c r="O20" s="30"/>
    </row>
    <row r="21" spans="1:15" x14ac:dyDescent="0.3">
      <c r="A21" s="19" t="s">
        <v>61</v>
      </c>
      <c r="B21" s="20">
        <v>46107</v>
      </c>
      <c r="C21" s="19" t="s">
        <v>52</v>
      </c>
      <c r="D21" s="19" t="s">
        <v>57</v>
      </c>
      <c r="E21" s="19"/>
      <c r="F21" s="25">
        <v>0</v>
      </c>
      <c r="G21" s="25">
        <v>3984</v>
      </c>
      <c r="H21" s="25">
        <f t="shared" si="1"/>
        <v>35120.65</v>
      </c>
      <c r="N21">
        <f>O22+34414</f>
        <v>98104</v>
      </c>
      <c r="O21" s="30"/>
    </row>
    <row r="22" spans="1:15" x14ac:dyDescent="0.3">
      <c r="A22" s="26" t="s">
        <v>61</v>
      </c>
      <c r="B22" s="27">
        <v>46107</v>
      </c>
      <c r="C22" s="26" t="s">
        <v>52</v>
      </c>
      <c r="D22" s="26" t="s">
        <v>57</v>
      </c>
      <c r="E22" s="26"/>
      <c r="F22" s="28">
        <v>0</v>
      </c>
      <c r="G22" s="28">
        <v>707</v>
      </c>
      <c r="H22" s="28">
        <f t="shared" si="1"/>
        <v>34413.65</v>
      </c>
      <c r="O22" s="30">
        <v>63690</v>
      </c>
    </row>
  </sheetData>
  <pageMargins left="0.7" right="0.7" top="0.75" bottom="0.75" header="0.3" footer="0.3"/>
  <headerFooter>
    <oddFooter>&amp;C_x000D_&amp;1#&amp;"Aptos"&amp;9&amp;K000000 Calificación: Publico, apto para su distribución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6FFD2-A650-4A3C-9379-C322B98E2868}">
  <sheetPr>
    <tabColor rgb="FF7030A0"/>
  </sheetPr>
  <dimension ref="A1:L18"/>
  <sheetViews>
    <sheetView workbookViewId="0">
      <selection activeCell="K18" sqref="K18"/>
    </sheetView>
  </sheetViews>
  <sheetFormatPr baseColWidth="10" defaultRowHeight="14" x14ac:dyDescent="0.3"/>
  <cols>
    <col min="4" max="4" width="39" bestFit="1" customWidth="1"/>
    <col min="5" max="5" width="24.09765625" bestFit="1" customWidth="1"/>
  </cols>
  <sheetData>
    <row r="1" spans="1:12" ht="14.55" thickBot="1" x14ac:dyDescent="0.35">
      <c r="A1" t="s">
        <v>6</v>
      </c>
      <c r="B1" s="1">
        <v>46017</v>
      </c>
      <c r="C1" s="2">
        <v>4129</v>
      </c>
      <c r="D1" t="s">
        <v>7</v>
      </c>
      <c r="E1" t="s">
        <v>8</v>
      </c>
      <c r="G1" s="2">
        <v>7314</v>
      </c>
      <c r="H1" s="6">
        <v>-7314</v>
      </c>
      <c r="I1" s="36" t="s">
        <v>146</v>
      </c>
      <c r="J1" s="38"/>
      <c r="K1" s="37"/>
    </row>
    <row r="2" spans="1:12" x14ac:dyDescent="0.3">
      <c r="A2" t="s">
        <v>28</v>
      </c>
      <c r="B2" s="1">
        <v>46036</v>
      </c>
      <c r="C2" s="2">
        <v>4197</v>
      </c>
      <c r="D2" t="s">
        <v>29</v>
      </c>
      <c r="E2" t="s">
        <v>8</v>
      </c>
      <c r="F2" s="2">
        <v>7314</v>
      </c>
      <c r="G2" s="2"/>
      <c r="H2" s="9">
        <f>H1+F2-G2</f>
        <v>0</v>
      </c>
    </row>
    <row r="3" spans="1:12" x14ac:dyDescent="0.3">
      <c r="A3" t="s">
        <v>30</v>
      </c>
      <c r="B3" s="1">
        <v>46048</v>
      </c>
      <c r="C3" s="2">
        <v>4244</v>
      </c>
      <c r="D3" t="s">
        <v>7</v>
      </c>
      <c r="E3" t="s">
        <v>8</v>
      </c>
      <c r="G3" s="2">
        <v>140395</v>
      </c>
      <c r="H3" s="9">
        <f>H2+F3-G3</f>
        <v>-140395</v>
      </c>
    </row>
    <row r="4" spans="1:12" x14ac:dyDescent="0.3">
      <c r="A4" t="s">
        <v>163</v>
      </c>
      <c r="B4" s="1">
        <v>46065</v>
      </c>
      <c r="C4" s="2">
        <v>4310</v>
      </c>
      <c r="D4" t="s">
        <v>164</v>
      </c>
      <c r="E4" t="s">
        <v>8</v>
      </c>
      <c r="F4" s="2">
        <v>140395</v>
      </c>
      <c r="G4" s="2"/>
      <c r="H4" s="9">
        <f t="shared" ref="H4:H7" si="0">H3+F4-G4</f>
        <v>0</v>
      </c>
    </row>
    <row r="5" spans="1:12" x14ac:dyDescent="0.3">
      <c r="A5" t="s">
        <v>165</v>
      </c>
      <c r="B5" s="1">
        <v>46078</v>
      </c>
      <c r="C5" s="2">
        <v>4455</v>
      </c>
      <c r="D5" t="s">
        <v>7</v>
      </c>
      <c r="E5" t="s">
        <v>8</v>
      </c>
      <c r="G5" s="2">
        <v>51431</v>
      </c>
      <c r="H5" s="9">
        <f t="shared" si="0"/>
        <v>-51431</v>
      </c>
    </row>
    <row r="6" spans="1:12" x14ac:dyDescent="0.3">
      <c r="A6" t="s">
        <v>189</v>
      </c>
      <c r="B6" s="1">
        <v>46093</v>
      </c>
      <c r="C6" s="2">
        <v>4433</v>
      </c>
      <c r="D6" t="s">
        <v>190</v>
      </c>
      <c r="E6" t="s">
        <v>8</v>
      </c>
      <c r="F6" s="2">
        <v>51431</v>
      </c>
      <c r="H6" s="9">
        <f t="shared" si="0"/>
        <v>0</v>
      </c>
    </row>
    <row r="7" spans="1:12" x14ac:dyDescent="0.3">
      <c r="A7" t="s">
        <v>191</v>
      </c>
      <c r="B7" s="1">
        <v>46107</v>
      </c>
      <c r="C7" s="2">
        <v>4597</v>
      </c>
      <c r="D7" t="s">
        <v>7</v>
      </c>
      <c r="E7" t="s">
        <v>8</v>
      </c>
      <c r="G7" s="2">
        <v>98834</v>
      </c>
      <c r="H7" s="9">
        <f t="shared" si="0"/>
        <v>-98834</v>
      </c>
    </row>
    <row r="8" spans="1:12" x14ac:dyDescent="0.3">
      <c r="B8" s="1"/>
      <c r="C8" s="2"/>
      <c r="G8" s="2"/>
      <c r="H8" s="9"/>
    </row>
    <row r="9" spans="1:12" x14ac:dyDescent="0.3">
      <c r="B9" s="1"/>
      <c r="C9" s="2"/>
      <c r="G9" s="2"/>
      <c r="H9" s="9"/>
    </row>
    <row r="10" spans="1:12" x14ac:dyDescent="0.3">
      <c r="B10" s="1"/>
      <c r="C10" s="2"/>
      <c r="G10" s="2"/>
      <c r="H10" s="9"/>
    </row>
    <row r="11" spans="1:12" x14ac:dyDescent="0.3">
      <c r="B11" s="1"/>
      <c r="C11" s="2"/>
      <c r="G11" s="2"/>
      <c r="H11" s="9"/>
    </row>
    <row r="13" spans="1:12" x14ac:dyDescent="0.3">
      <c r="A13" t="s">
        <v>6</v>
      </c>
      <c r="B13" s="1">
        <v>46017</v>
      </c>
      <c r="C13" s="2">
        <v>4129</v>
      </c>
      <c r="D13" t="s">
        <v>7</v>
      </c>
      <c r="E13" t="s">
        <v>8</v>
      </c>
      <c r="G13">
        <v>144.43</v>
      </c>
      <c r="H13">
        <f>-G13</f>
        <v>-144.43</v>
      </c>
      <c r="I13" s="2">
        <f>-G13*907.13</f>
        <v>-131016.7859</v>
      </c>
      <c r="J13" s="5">
        <f>+I13+H1</f>
        <v>-138330.78590000002</v>
      </c>
      <c r="K13" s="43">
        <f>'12X'!N13+'12FM'!J13</f>
        <v>-301.78590000001714</v>
      </c>
      <c r="L13" t="s">
        <v>178</v>
      </c>
    </row>
    <row r="14" spans="1:12" x14ac:dyDescent="0.3">
      <c r="A14" t="s">
        <v>30</v>
      </c>
      <c r="B14" s="1">
        <v>46048</v>
      </c>
      <c r="C14" s="2">
        <v>4244</v>
      </c>
      <c r="D14" t="s">
        <v>7</v>
      </c>
      <c r="E14" t="s">
        <v>8</v>
      </c>
      <c r="F14">
        <v>144.43</v>
      </c>
      <c r="H14" s="10">
        <f>H13+F14-G14</f>
        <v>0</v>
      </c>
    </row>
    <row r="15" spans="1:12" x14ac:dyDescent="0.3">
      <c r="A15" t="s">
        <v>30</v>
      </c>
      <c r="B15" s="1">
        <v>46048</v>
      </c>
      <c r="C15" s="2">
        <v>4244</v>
      </c>
      <c r="D15" t="s">
        <v>7</v>
      </c>
      <c r="E15" t="s">
        <v>8</v>
      </c>
      <c r="G15">
        <v>50.16</v>
      </c>
      <c r="H15" s="10">
        <f>H14+F15-G15</f>
        <v>-50.16</v>
      </c>
      <c r="I15">
        <f>H15*865.1</f>
        <v>-43393.415999999997</v>
      </c>
      <c r="J15" s="5">
        <f>+I15+H3</f>
        <v>-183788.416</v>
      </c>
      <c r="K15" s="43">
        <f>'12X'!O14+'12FM'!J15</f>
        <v>-0.41599999999743886</v>
      </c>
      <c r="L15" t="s">
        <v>179</v>
      </c>
    </row>
    <row r="16" spans="1:12" x14ac:dyDescent="0.3">
      <c r="A16" t="s">
        <v>165</v>
      </c>
      <c r="B16" s="1">
        <v>46078</v>
      </c>
      <c r="C16" s="2">
        <v>4455</v>
      </c>
      <c r="D16" t="s">
        <v>7</v>
      </c>
      <c r="E16" t="s">
        <v>8</v>
      </c>
      <c r="G16">
        <v>98.84</v>
      </c>
      <c r="H16" s="10">
        <f t="shared" ref="H16:H18" si="1">H15+F16-G16</f>
        <v>-149</v>
      </c>
    </row>
    <row r="17" spans="1:12" x14ac:dyDescent="0.3">
      <c r="A17" t="s">
        <v>165</v>
      </c>
      <c r="B17" s="1">
        <v>46078</v>
      </c>
      <c r="C17" s="2">
        <v>4455</v>
      </c>
      <c r="D17" t="s">
        <v>7</v>
      </c>
      <c r="E17" t="s">
        <v>8</v>
      </c>
      <c r="F17">
        <v>50.16</v>
      </c>
      <c r="H17" s="10">
        <f t="shared" si="1"/>
        <v>-98.84</v>
      </c>
      <c r="I17" s="2">
        <f>H17*871.41</f>
        <v>-86130.164399999994</v>
      </c>
      <c r="J17" s="5">
        <f>+I17+H5</f>
        <v>-137561.16440000001</v>
      </c>
      <c r="K17" s="2">
        <f>'12X'!O29+'12FM'!J17</f>
        <v>-0.16440000000875443</v>
      </c>
      <c r="L17" t="s">
        <v>180</v>
      </c>
    </row>
    <row r="18" spans="1:12" x14ac:dyDescent="0.3">
      <c r="A18" t="s">
        <v>191</v>
      </c>
      <c r="B18" s="1">
        <v>46107</v>
      </c>
      <c r="C18" s="2">
        <v>4597</v>
      </c>
      <c r="D18" t="s">
        <v>7</v>
      </c>
      <c r="E18" t="s">
        <v>8</v>
      </c>
      <c r="F18">
        <v>98.84</v>
      </c>
      <c r="H18" s="10">
        <f t="shared" si="1"/>
        <v>0</v>
      </c>
      <c r="I18" s="2">
        <f>H18*927.46</f>
        <v>0</v>
      </c>
      <c r="J18" s="5">
        <f>+I18+H7</f>
        <v>-98834</v>
      </c>
      <c r="K18" s="8">
        <f>'12X'!O44+'12FM'!J18</f>
        <v>0</v>
      </c>
      <c r="L18" t="s">
        <v>181</v>
      </c>
    </row>
  </sheetData>
  <pageMargins left="0.7" right="0.7" top="0.75" bottom="0.75" header="0.3" footer="0.3"/>
  <headerFooter>
    <oddFooter>&amp;C_x000D_&amp;1#&amp;"Aptos"&amp;9&amp;K000000 Calificación: Publico, apto para su distribución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DEF8D-8862-4415-8D63-9828462448CA}">
  <dimension ref="A1:O44"/>
  <sheetViews>
    <sheetView topLeftCell="A25" workbookViewId="0">
      <selection activeCell="L40" sqref="L40"/>
    </sheetView>
  </sheetViews>
  <sheetFormatPr baseColWidth="10" defaultRowHeight="14" x14ac:dyDescent="0.3"/>
  <sheetData>
    <row r="1" spans="1:15" x14ac:dyDescent="0.3">
      <c r="A1" s="14" t="s">
        <v>44</v>
      </c>
      <c r="B1" s="14" t="s">
        <v>45</v>
      </c>
      <c r="C1" s="14" t="s">
        <v>46</v>
      </c>
      <c r="D1" s="14" t="s">
        <v>47</v>
      </c>
      <c r="E1" s="14" t="s">
        <v>48</v>
      </c>
      <c r="F1" s="15" t="s">
        <v>49</v>
      </c>
      <c r="G1" s="15" t="s">
        <v>50</v>
      </c>
    </row>
    <row r="2" spans="1:15" x14ac:dyDescent="0.3">
      <c r="A2" s="16" t="s">
        <v>64</v>
      </c>
      <c r="B2" s="17">
        <v>46028</v>
      </c>
      <c r="C2" s="16" t="s">
        <v>52</v>
      </c>
      <c r="D2" s="16" t="s">
        <v>58</v>
      </c>
      <c r="E2" s="16" t="s">
        <v>65</v>
      </c>
      <c r="F2" s="18">
        <v>0</v>
      </c>
      <c r="G2" s="18">
        <v>10260.049999999999</v>
      </c>
      <c r="H2" s="10">
        <f>+F2-G2</f>
        <v>-10260.049999999999</v>
      </c>
    </row>
    <row r="3" spans="1:15" x14ac:dyDescent="0.3">
      <c r="A3" s="19" t="s">
        <v>64</v>
      </c>
      <c r="B3" s="20">
        <v>46029</v>
      </c>
      <c r="C3" s="19" t="s">
        <v>52</v>
      </c>
      <c r="D3" s="19" t="s">
        <v>57</v>
      </c>
      <c r="E3" s="19"/>
      <c r="F3" s="21">
        <v>0</v>
      </c>
      <c r="G3" s="21">
        <v>259</v>
      </c>
      <c r="H3" s="10">
        <f>H2+F3-G3</f>
        <v>-10519.05</v>
      </c>
    </row>
    <row r="4" spans="1:15" x14ac:dyDescent="0.3">
      <c r="A4" s="19" t="s">
        <v>64</v>
      </c>
      <c r="B4" s="20">
        <v>46036</v>
      </c>
      <c r="C4" s="19" t="s">
        <v>54</v>
      </c>
      <c r="D4" s="19" t="s">
        <v>66</v>
      </c>
      <c r="E4" s="19" t="s">
        <v>67</v>
      </c>
      <c r="F4" s="21">
        <v>7314</v>
      </c>
      <c r="G4" s="21">
        <v>0</v>
      </c>
      <c r="H4" s="10">
        <f t="shared" ref="H4:H14" si="0">H3+F4-G4</f>
        <v>-3205.0499999999993</v>
      </c>
    </row>
    <row r="5" spans="1:15" x14ac:dyDescent="0.3">
      <c r="A5" s="19" t="s">
        <v>64</v>
      </c>
      <c r="B5" s="20">
        <v>46036</v>
      </c>
      <c r="C5" s="19" t="s">
        <v>52</v>
      </c>
      <c r="D5" s="19" t="s">
        <v>57</v>
      </c>
      <c r="E5" s="19"/>
      <c r="F5" s="21">
        <v>0</v>
      </c>
      <c r="G5" s="21">
        <v>1150.07</v>
      </c>
      <c r="H5" s="10">
        <f t="shared" si="0"/>
        <v>-4355.119999999999</v>
      </c>
    </row>
    <row r="6" spans="1:15" x14ac:dyDescent="0.3">
      <c r="A6" s="19" t="s">
        <v>64</v>
      </c>
      <c r="B6" s="20">
        <v>46038</v>
      </c>
      <c r="C6" s="19" t="s">
        <v>52</v>
      </c>
      <c r="D6" s="19" t="s">
        <v>58</v>
      </c>
      <c r="E6" s="19" t="s">
        <v>65</v>
      </c>
      <c r="F6" s="21">
        <v>0</v>
      </c>
      <c r="G6" s="21">
        <v>10260.09</v>
      </c>
      <c r="H6" s="10">
        <f t="shared" si="0"/>
        <v>-14615.21</v>
      </c>
    </row>
    <row r="7" spans="1:15" x14ac:dyDescent="0.3">
      <c r="A7" s="19" t="s">
        <v>64</v>
      </c>
      <c r="B7" s="20">
        <v>46038</v>
      </c>
      <c r="C7" s="19" t="s">
        <v>52</v>
      </c>
      <c r="D7" s="19" t="s">
        <v>58</v>
      </c>
      <c r="E7" s="19" t="s">
        <v>68</v>
      </c>
      <c r="F7" s="21">
        <v>0</v>
      </c>
      <c r="G7" s="21">
        <v>6012.44</v>
      </c>
      <c r="H7" s="10">
        <f t="shared" si="0"/>
        <v>-20627.649999999998</v>
      </c>
    </row>
    <row r="8" spans="1:15" x14ac:dyDescent="0.3">
      <c r="A8" s="19" t="s">
        <v>64</v>
      </c>
      <c r="B8" s="20">
        <v>46038</v>
      </c>
      <c r="C8" s="19" t="s">
        <v>52</v>
      </c>
      <c r="D8" s="19" t="s">
        <v>58</v>
      </c>
      <c r="E8" s="19" t="s">
        <v>69</v>
      </c>
      <c r="F8" s="21">
        <v>0</v>
      </c>
      <c r="G8" s="21">
        <v>16860.8</v>
      </c>
      <c r="H8" s="10">
        <f t="shared" si="0"/>
        <v>-37488.449999999997</v>
      </c>
    </row>
    <row r="9" spans="1:15" x14ac:dyDescent="0.3">
      <c r="A9" s="19" t="s">
        <v>64</v>
      </c>
      <c r="B9" s="20">
        <v>46041</v>
      </c>
      <c r="C9" s="19" t="s">
        <v>52</v>
      </c>
      <c r="D9" s="19" t="s">
        <v>57</v>
      </c>
      <c r="E9" s="19"/>
      <c r="F9" s="21">
        <v>0</v>
      </c>
      <c r="G9" s="21">
        <v>258</v>
      </c>
      <c r="H9" s="10">
        <f t="shared" si="0"/>
        <v>-37746.449999999997</v>
      </c>
    </row>
    <row r="10" spans="1:15" x14ac:dyDescent="0.3">
      <c r="A10" s="19" t="s">
        <v>64</v>
      </c>
      <c r="B10" s="20">
        <v>46042</v>
      </c>
      <c r="C10" s="19" t="s">
        <v>52</v>
      </c>
      <c r="D10" s="19" t="s">
        <v>57</v>
      </c>
      <c r="E10" s="19"/>
      <c r="F10" s="21">
        <v>0</v>
      </c>
      <c r="G10" s="21">
        <v>421</v>
      </c>
      <c r="H10" s="10">
        <f t="shared" si="0"/>
        <v>-38167.449999999997</v>
      </c>
    </row>
    <row r="11" spans="1:15" x14ac:dyDescent="0.3">
      <c r="A11" s="19" t="s">
        <v>64</v>
      </c>
      <c r="B11" s="20">
        <v>46042</v>
      </c>
      <c r="C11" s="19" t="s">
        <v>52</v>
      </c>
      <c r="D11" s="19" t="s">
        <v>57</v>
      </c>
      <c r="E11" s="19"/>
      <c r="F11" s="21">
        <v>0</v>
      </c>
      <c r="G11" s="21">
        <v>146</v>
      </c>
      <c r="H11" s="10">
        <f t="shared" si="0"/>
        <v>-38313.449999999997</v>
      </c>
    </row>
    <row r="12" spans="1:15" x14ac:dyDescent="0.3">
      <c r="A12" s="19" t="s">
        <v>64</v>
      </c>
      <c r="B12" s="20">
        <v>46050</v>
      </c>
      <c r="C12" s="19" t="s">
        <v>52</v>
      </c>
      <c r="D12" s="19" t="s">
        <v>57</v>
      </c>
      <c r="E12" s="19"/>
      <c r="F12" s="21">
        <v>0</v>
      </c>
      <c r="G12" s="21">
        <v>87</v>
      </c>
      <c r="H12" s="10">
        <f t="shared" si="0"/>
        <v>-38400.449999999997</v>
      </c>
    </row>
    <row r="13" spans="1:15" x14ac:dyDescent="0.3">
      <c r="A13" s="19" t="s">
        <v>64</v>
      </c>
      <c r="B13" s="20">
        <v>46050</v>
      </c>
      <c r="C13" s="19" t="s">
        <v>52</v>
      </c>
      <c r="D13" s="19" t="s">
        <v>57</v>
      </c>
      <c r="E13" s="19"/>
      <c r="F13" s="21">
        <v>0</v>
      </c>
      <c r="G13" s="21">
        <v>3971</v>
      </c>
      <c r="H13" s="10">
        <f t="shared" si="0"/>
        <v>-42371.45</v>
      </c>
      <c r="N13" s="44">
        <f>O14-45759</f>
        <v>138029</v>
      </c>
    </row>
    <row r="14" spans="1:15" s="30" customFormat="1" x14ac:dyDescent="0.3">
      <c r="A14" s="26" t="s">
        <v>64</v>
      </c>
      <c r="B14" s="27">
        <v>46050</v>
      </c>
      <c r="C14" s="26" t="s">
        <v>52</v>
      </c>
      <c r="D14" s="26" t="s">
        <v>57</v>
      </c>
      <c r="E14" s="26"/>
      <c r="F14" s="31">
        <v>0</v>
      </c>
      <c r="G14" s="31">
        <v>3388</v>
      </c>
      <c r="H14" s="32">
        <f t="shared" si="0"/>
        <v>-45759.45</v>
      </c>
      <c r="O14" s="29">
        <v>183788</v>
      </c>
    </row>
    <row r="15" spans="1:15" x14ac:dyDescent="0.3">
      <c r="A15" s="19" t="s">
        <v>64</v>
      </c>
      <c r="B15" s="20">
        <v>46062</v>
      </c>
      <c r="C15" s="19" t="s">
        <v>52</v>
      </c>
      <c r="D15" s="19" t="s">
        <v>53</v>
      </c>
      <c r="E15" s="19"/>
      <c r="F15" s="25">
        <v>0</v>
      </c>
      <c r="G15" s="25">
        <v>23083.65</v>
      </c>
      <c r="H15" s="25">
        <f t="shared" ref="H15:H44" si="1">((H14 + F15) - G15)</f>
        <v>-68843.100000000006</v>
      </c>
    </row>
    <row r="16" spans="1:15" x14ac:dyDescent="0.3">
      <c r="A16" s="19" t="s">
        <v>64</v>
      </c>
      <c r="B16" s="20">
        <v>46062</v>
      </c>
      <c r="C16" s="19" t="s">
        <v>52</v>
      </c>
      <c r="D16" s="19" t="s">
        <v>53</v>
      </c>
      <c r="E16" s="19"/>
      <c r="F16" s="25">
        <v>0</v>
      </c>
      <c r="G16" s="25">
        <v>10334.92</v>
      </c>
      <c r="H16" s="25">
        <f t="shared" si="1"/>
        <v>-79178.02</v>
      </c>
    </row>
    <row r="17" spans="1:15" x14ac:dyDescent="0.3">
      <c r="A17" s="19" t="s">
        <v>64</v>
      </c>
      <c r="B17" s="20">
        <v>46063</v>
      </c>
      <c r="C17" s="19" t="s">
        <v>52</v>
      </c>
      <c r="D17" s="19" t="s">
        <v>57</v>
      </c>
      <c r="E17" s="19"/>
      <c r="F17" s="25">
        <v>0</v>
      </c>
      <c r="G17" s="25">
        <v>266</v>
      </c>
      <c r="H17" s="25">
        <f t="shared" si="1"/>
        <v>-79444.02</v>
      </c>
    </row>
    <row r="18" spans="1:15" x14ac:dyDescent="0.3">
      <c r="A18" s="19" t="s">
        <v>64</v>
      </c>
      <c r="B18" s="20">
        <v>46065</v>
      </c>
      <c r="C18" s="19" t="s">
        <v>54</v>
      </c>
      <c r="D18" s="19" t="s">
        <v>66</v>
      </c>
      <c r="E18" s="19" t="s">
        <v>192</v>
      </c>
      <c r="F18" s="25">
        <v>140395</v>
      </c>
      <c r="G18" s="25">
        <v>0</v>
      </c>
      <c r="H18" s="25">
        <f t="shared" si="1"/>
        <v>60950.979999999996</v>
      </c>
    </row>
    <row r="19" spans="1:15" x14ac:dyDescent="0.3">
      <c r="A19" s="19" t="s">
        <v>64</v>
      </c>
      <c r="B19" s="20">
        <v>46065</v>
      </c>
      <c r="C19" s="19" t="s">
        <v>52</v>
      </c>
      <c r="D19" s="19" t="s">
        <v>57</v>
      </c>
      <c r="E19" s="19"/>
      <c r="F19" s="25">
        <v>0</v>
      </c>
      <c r="G19" s="25">
        <v>583</v>
      </c>
      <c r="H19" s="25">
        <f t="shared" si="1"/>
        <v>60367.979999999996</v>
      </c>
    </row>
    <row r="20" spans="1:15" x14ac:dyDescent="0.3">
      <c r="A20" s="19" t="s">
        <v>64</v>
      </c>
      <c r="B20" s="20">
        <v>46065</v>
      </c>
      <c r="C20" s="19" t="s">
        <v>52</v>
      </c>
      <c r="D20" s="19" t="s">
        <v>57</v>
      </c>
      <c r="E20" s="19"/>
      <c r="F20" s="25">
        <v>0</v>
      </c>
      <c r="G20" s="25">
        <v>747.62</v>
      </c>
      <c r="H20" s="25">
        <f t="shared" si="1"/>
        <v>59620.359999999993</v>
      </c>
    </row>
    <row r="21" spans="1:15" x14ac:dyDescent="0.3">
      <c r="A21" s="19" t="s">
        <v>64</v>
      </c>
      <c r="B21" s="20">
        <v>46069</v>
      </c>
      <c r="C21" s="19" t="s">
        <v>52</v>
      </c>
      <c r="D21" s="19" t="s">
        <v>53</v>
      </c>
      <c r="E21" s="19"/>
      <c r="F21" s="25">
        <v>0</v>
      </c>
      <c r="G21" s="25">
        <v>10334.92</v>
      </c>
      <c r="H21" s="25">
        <f t="shared" si="1"/>
        <v>49285.439999999995</v>
      </c>
    </row>
    <row r="22" spans="1:15" x14ac:dyDescent="0.3">
      <c r="A22" s="19" t="s">
        <v>64</v>
      </c>
      <c r="B22" s="20">
        <v>46069</v>
      </c>
      <c r="C22" s="19" t="s">
        <v>52</v>
      </c>
      <c r="D22" s="19" t="s">
        <v>53</v>
      </c>
      <c r="E22" s="19"/>
      <c r="F22" s="25">
        <v>0</v>
      </c>
      <c r="G22" s="25">
        <v>11650.75</v>
      </c>
      <c r="H22" s="25">
        <f t="shared" si="1"/>
        <v>37634.689999999995</v>
      </c>
    </row>
    <row r="23" spans="1:15" x14ac:dyDescent="0.3">
      <c r="A23" s="19" t="s">
        <v>64</v>
      </c>
      <c r="B23" s="20">
        <v>46069</v>
      </c>
      <c r="C23" s="19" t="s">
        <v>52</v>
      </c>
      <c r="D23" s="19" t="s">
        <v>53</v>
      </c>
      <c r="E23" s="19"/>
      <c r="F23" s="25">
        <v>0</v>
      </c>
      <c r="G23" s="25">
        <v>30725.919999999998</v>
      </c>
      <c r="H23" s="25">
        <f t="shared" si="1"/>
        <v>6908.7699999999968</v>
      </c>
    </row>
    <row r="24" spans="1:15" x14ac:dyDescent="0.3">
      <c r="A24" s="19" t="s">
        <v>64</v>
      </c>
      <c r="B24" s="20">
        <v>46070</v>
      </c>
      <c r="C24" s="19" t="s">
        <v>52</v>
      </c>
      <c r="D24" s="19" t="s">
        <v>57</v>
      </c>
      <c r="E24" s="19"/>
      <c r="F24" s="25">
        <v>0</v>
      </c>
      <c r="G24" s="25">
        <v>266</v>
      </c>
      <c r="H24" s="25">
        <f t="shared" si="1"/>
        <v>6642.7699999999968</v>
      </c>
    </row>
    <row r="25" spans="1:15" x14ac:dyDescent="0.3">
      <c r="A25" s="19" t="s">
        <v>64</v>
      </c>
      <c r="B25" s="20">
        <v>46072</v>
      </c>
      <c r="C25" s="19" t="s">
        <v>52</v>
      </c>
      <c r="D25" s="19" t="s">
        <v>57</v>
      </c>
      <c r="E25" s="19"/>
      <c r="F25" s="25">
        <v>0</v>
      </c>
      <c r="G25" s="25">
        <v>779</v>
      </c>
      <c r="H25" s="25">
        <f t="shared" si="1"/>
        <v>5863.7699999999968</v>
      </c>
    </row>
    <row r="26" spans="1:15" x14ac:dyDescent="0.3">
      <c r="A26" s="19" t="s">
        <v>64</v>
      </c>
      <c r="B26" s="20">
        <v>46072</v>
      </c>
      <c r="C26" s="19" t="s">
        <v>52</v>
      </c>
      <c r="D26" s="19" t="s">
        <v>57</v>
      </c>
      <c r="E26" s="19"/>
      <c r="F26" s="25">
        <v>0</v>
      </c>
      <c r="G26" s="25">
        <v>292</v>
      </c>
      <c r="H26" s="25">
        <f t="shared" si="1"/>
        <v>5571.7699999999968</v>
      </c>
    </row>
    <row r="27" spans="1:15" x14ac:dyDescent="0.3">
      <c r="A27" s="19" t="s">
        <v>64</v>
      </c>
      <c r="B27" s="20">
        <v>46078</v>
      </c>
      <c r="C27" s="19" t="s">
        <v>52</v>
      </c>
      <c r="D27" s="19" t="s">
        <v>57</v>
      </c>
      <c r="E27" s="19"/>
      <c r="F27" s="25">
        <v>0</v>
      </c>
      <c r="G27" s="25">
        <v>29</v>
      </c>
      <c r="H27" s="25">
        <f t="shared" si="1"/>
        <v>5542.7699999999968</v>
      </c>
    </row>
    <row r="28" spans="1:15" x14ac:dyDescent="0.3">
      <c r="A28" s="19" t="s">
        <v>64</v>
      </c>
      <c r="B28" s="20">
        <v>46078</v>
      </c>
      <c r="C28" s="19" t="s">
        <v>52</v>
      </c>
      <c r="D28" s="19" t="s">
        <v>57</v>
      </c>
      <c r="E28" s="19"/>
      <c r="F28" s="25">
        <v>0</v>
      </c>
      <c r="G28" s="25">
        <v>3977</v>
      </c>
      <c r="H28" s="25">
        <f t="shared" si="1"/>
        <v>1565.7699999999968</v>
      </c>
      <c r="N28" s="30">
        <f>O29+468</f>
        <v>138029</v>
      </c>
    </row>
    <row r="29" spans="1:15" x14ac:dyDescent="0.3">
      <c r="A29" s="26" t="s">
        <v>64</v>
      </c>
      <c r="B29" s="27">
        <v>46078</v>
      </c>
      <c r="C29" s="26" t="s">
        <v>52</v>
      </c>
      <c r="D29" s="26" t="s">
        <v>57</v>
      </c>
      <c r="E29" s="26"/>
      <c r="F29" s="28">
        <v>0</v>
      </c>
      <c r="G29" s="28">
        <v>1098</v>
      </c>
      <c r="H29" s="28">
        <f t="shared" si="1"/>
        <v>467.7699999999968</v>
      </c>
      <c r="O29" s="30">
        <v>137561</v>
      </c>
    </row>
    <row r="30" spans="1:15" x14ac:dyDescent="0.3">
      <c r="A30" s="19" t="s">
        <v>64</v>
      </c>
      <c r="B30" s="20">
        <v>46082</v>
      </c>
      <c r="C30" s="19" t="s">
        <v>52</v>
      </c>
      <c r="D30" s="19" t="s">
        <v>58</v>
      </c>
      <c r="E30" s="19" t="s">
        <v>69</v>
      </c>
      <c r="F30" s="25">
        <v>0</v>
      </c>
      <c r="G30" s="25">
        <v>30725.919999999998</v>
      </c>
      <c r="H30" s="25">
        <f t="shared" si="1"/>
        <v>-30258.15</v>
      </c>
      <c r="O30" s="30"/>
    </row>
    <row r="31" spans="1:15" x14ac:dyDescent="0.3">
      <c r="A31" s="19" t="s">
        <v>64</v>
      </c>
      <c r="B31" s="20">
        <v>46082</v>
      </c>
      <c r="C31" s="19" t="s">
        <v>52</v>
      </c>
      <c r="D31" s="19" t="s">
        <v>58</v>
      </c>
      <c r="E31" s="19" t="s">
        <v>68</v>
      </c>
      <c r="F31" s="25">
        <v>0</v>
      </c>
      <c r="G31" s="25">
        <v>11650.75</v>
      </c>
      <c r="H31" s="25">
        <f t="shared" si="1"/>
        <v>-41908.9</v>
      </c>
      <c r="O31" s="30"/>
    </row>
    <row r="32" spans="1:15" x14ac:dyDescent="0.3">
      <c r="A32" s="19" t="s">
        <v>64</v>
      </c>
      <c r="B32" s="20">
        <v>46082</v>
      </c>
      <c r="C32" s="19" t="s">
        <v>52</v>
      </c>
      <c r="D32" s="19" t="s">
        <v>58</v>
      </c>
      <c r="E32" s="19" t="s">
        <v>193</v>
      </c>
      <c r="F32" s="25">
        <v>0</v>
      </c>
      <c r="G32" s="25">
        <v>10334.92</v>
      </c>
      <c r="H32" s="25">
        <f t="shared" si="1"/>
        <v>-52243.82</v>
      </c>
      <c r="O32" s="30"/>
    </row>
    <row r="33" spans="1:15" x14ac:dyDescent="0.3">
      <c r="A33" s="19" t="s">
        <v>64</v>
      </c>
      <c r="B33" s="20">
        <v>46082</v>
      </c>
      <c r="C33" s="19" t="s">
        <v>52</v>
      </c>
      <c r="D33" s="19" t="s">
        <v>58</v>
      </c>
      <c r="E33" s="19" t="s">
        <v>68</v>
      </c>
      <c r="F33" s="25">
        <v>0</v>
      </c>
      <c r="G33" s="25">
        <v>23083.65</v>
      </c>
      <c r="H33" s="25">
        <f t="shared" si="1"/>
        <v>-75327.47</v>
      </c>
      <c r="O33" s="30"/>
    </row>
    <row r="34" spans="1:15" x14ac:dyDescent="0.3">
      <c r="A34" s="19" t="s">
        <v>64</v>
      </c>
      <c r="B34" s="20">
        <v>46082</v>
      </c>
      <c r="C34" s="19" t="s">
        <v>52</v>
      </c>
      <c r="D34" s="19" t="s">
        <v>58</v>
      </c>
      <c r="E34" s="19" t="s">
        <v>193</v>
      </c>
      <c r="F34" s="25">
        <v>0</v>
      </c>
      <c r="G34" s="25">
        <v>10334.92</v>
      </c>
      <c r="H34" s="25">
        <f t="shared" si="1"/>
        <v>-85662.39</v>
      </c>
      <c r="O34" s="30"/>
    </row>
    <row r="35" spans="1:15" x14ac:dyDescent="0.3">
      <c r="A35" s="19" t="s">
        <v>64</v>
      </c>
      <c r="B35" s="20">
        <v>46082</v>
      </c>
      <c r="C35" s="19" t="s">
        <v>52</v>
      </c>
      <c r="D35" s="19" t="s">
        <v>53</v>
      </c>
      <c r="E35" s="19"/>
      <c r="F35" s="25">
        <v>30725.919999999998</v>
      </c>
      <c r="G35" s="25">
        <v>0</v>
      </c>
      <c r="H35" s="25">
        <f t="shared" si="1"/>
        <v>-54936.47</v>
      </c>
      <c r="O35" s="30"/>
    </row>
    <row r="36" spans="1:15" x14ac:dyDescent="0.3">
      <c r="A36" s="19" t="s">
        <v>64</v>
      </c>
      <c r="B36" s="20">
        <v>46082</v>
      </c>
      <c r="C36" s="19" t="s">
        <v>52</v>
      </c>
      <c r="D36" s="19" t="s">
        <v>53</v>
      </c>
      <c r="E36" s="19"/>
      <c r="F36" s="25">
        <v>11650.75</v>
      </c>
      <c r="G36" s="25">
        <v>0</v>
      </c>
      <c r="H36" s="25">
        <f t="shared" si="1"/>
        <v>-43285.72</v>
      </c>
      <c r="O36" s="30"/>
    </row>
    <row r="37" spans="1:15" x14ac:dyDescent="0.3">
      <c r="A37" s="19" t="s">
        <v>64</v>
      </c>
      <c r="B37" s="20">
        <v>46082</v>
      </c>
      <c r="C37" s="19" t="s">
        <v>52</v>
      </c>
      <c r="D37" s="19" t="s">
        <v>53</v>
      </c>
      <c r="E37" s="19"/>
      <c r="F37" s="25">
        <v>10334.92</v>
      </c>
      <c r="G37" s="25">
        <v>0</v>
      </c>
      <c r="H37" s="25">
        <f t="shared" si="1"/>
        <v>-32950.800000000003</v>
      </c>
      <c r="O37" s="30"/>
    </row>
    <row r="38" spans="1:15" x14ac:dyDescent="0.3">
      <c r="A38" s="19" t="s">
        <v>64</v>
      </c>
      <c r="B38" s="20">
        <v>46082</v>
      </c>
      <c r="C38" s="19" t="s">
        <v>52</v>
      </c>
      <c r="D38" s="19" t="s">
        <v>53</v>
      </c>
      <c r="E38" s="19"/>
      <c r="F38" s="25">
        <v>10334.92</v>
      </c>
      <c r="G38" s="25">
        <v>0</v>
      </c>
      <c r="H38" s="25">
        <f t="shared" si="1"/>
        <v>-22615.880000000005</v>
      </c>
      <c r="O38" s="30"/>
    </row>
    <row r="39" spans="1:15" x14ac:dyDescent="0.3">
      <c r="A39" s="19" t="s">
        <v>64</v>
      </c>
      <c r="B39" s="20">
        <v>46082</v>
      </c>
      <c r="C39" s="19" t="s">
        <v>52</v>
      </c>
      <c r="D39" s="19" t="s">
        <v>53</v>
      </c>
      <c r="E39" s="19"/>
      <c r="F39" s="25">
        <v>23083.65</v>
      </c>
      <c r="G39" s="25">
        <v>0</v>
      </c>
      <c r="H39" s="25">
        <f t="shared" si="1"/>
        <v>467.7699999999968</v>
      </c>
      <c r="O39" s="30"/>
    </row>
    <row r="40" spans="1:15" x14ac:dyDescent="0.3">
      <c r="A40" s="19" t="s">
        <v>64</v>
      </c>
      <c r="B40" s="20">
        <v>46093</v>
      </c>
      <c r="C40" s="19" t="s">
        <v>54</v>
      </c>
      <c r="D40" s="19" t="s">
        <v>66</v>
      </c>
      <c r="E40" s="19" t="s">
        <v>67</v>
      </c>
      <c r="F40" s="25">
        <v>51431</v>
      </c>
      <c r="G40" s="25">
        <v>0</v>
      </c>
      <c r="H40" s="25">
        <f t="shared" si="1"/>
        <v>51898.77</v>
      </c>
      <c r="O40" s="30"/>
    </row>
    <row r="41" spans="1:15" x14ac:dyDescent="0.3">
      <c r="A41" s="19" t="s">
        <v>64</v>
      </c>
      <c r="B41" s="20">
        <v>46107</v>
      </c>
      <c r="C41" s="19" t="s">
        <v>52</v>
      </c>
      <c r="D41" s="19" t="s">
        <v>57</v>
      </c>
      <c r="E41" s="19"/>
      <c r="F41" s="25">
        <v>0</v>
      </c>
      <c r="G41" s="25">
        <v>61</v>
      </c>
      <c r="H41" s="25">
        <f t="shared" si="1"/>
        <v>51837.77</v>
      </c>
      <c r="O41" s="30"/>
    </row>
    <row r="42" spans="1:15" x14ac:dyDescent="0.3">
      <c r="A42" s="19" t="s">
        <v>64</v>
      </c>
      <c r="B42" s="20">
        <v>46107</v>
      </c>
      <c r="C42" s="19" t="s">
        <v>52</v>
      </c>
      <c r="D42" s="19" t="s">
        <v>57</v>
      </c>
      <c r="E42" s="19"/>
      <c r="F42" s="25">
        <v>0</v>
      </c>
      <c r="G42" s="25">
        <v>3984</v>
      </c>
      <c r="H42" s="25">
        <f t="shared" si="1"/>
        <v>47853.77</v>
      </c>
      <c r="O42" s="30"/>
    </row>
    <row r="43" spans="1:15" x14ac:dyDescent="0.3">
      <c r="A43" s="19" t="s">
        <v>64</v>
      </c>
      <c r="B43" s="20">
        <v>46107</v>
      </c>
      <c r="C43" s="19" t="s">
        <v>52</v>
      </c>
      <c r="D43" s="19" t="s">
        <v>57</v>
      </c>
      <c r="E43" s="19"/>
      <c r="F43" s="25">
        <v>0</v>
      </c>
      <c r="G43" s="25">
        <v>2868</v>
      </c>
      <c r="H43" s="25">
        <f t="shared" si="1"/>
        <v>44985.77</v>
      </c>
      <c r="N43" s="30">
        <f>O44+39195</f>
        <v>138029</v>
      </c>
      <c r="O43" s="30"/>
    </row>
    <row r="44" spans="1:15" x14ac:dyDescent="0.3">
      <c r="A44" s="26" t="s">
        <v>64</v>
      </c>
      <c r="B44" s="27">
        <v>46112</v>
      </c>
      <c r="C44" s="26" t="s">
        <v>52</v>
      </c>
      <c r="D44" s="26" t="s">
        <v>57</v>
      </c>
      <c r="E44" s="26"/>
      <c r="F44" s="28">
        <v>0</v>
      </c>
      <c r="G44" s="28">
        <v>5790.84</v>
      </c>
      <c r="H44" s="28">
        <f t="shared" si="1"/>
        <v>39194.929999999993</v>
      </c>
      <c r="O44" s="30">
        <v>98834</v>
      </c>
    </row>
  </sheetData>
  <pageMargins left="0.7" right="0.7" top="0.75" bottom="0.75" header="0.3" footer="0.3"/>
  <headerFooter>
    <oddFooter>&amp;C_x000D_&amp;1#&amp;"Aptos"&amp;9&amp;K000000 Calificación: Publico, apto para su distribución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6F220-D79D-450B-93F4-9DA959D96832}">
  <sheetPr>
    <tabColor rgb="FF7030A0"/>
  </sheetPr>
  <dimension ref="A1:L26"/>
  <sheetViews>
    <sheetView workbookViewId="0">
      <selection activeCell="J15" sqref="J15"/>
    </sheetView>
  </sheetViews>
  <sheetFormatPr baseColWidth="10" defaultRowHeight="14" x14ac:dyDescent="0.3"/>
  <cols>
    <col min="4" max="4" width="25.296875" customWidth="1"/>
    <col min="5" max="5" width="17.09765625" bestFit="1" customWidth="1"/>
  </cols>
  <sheetData>
    <row r="1" spans="1:11" ht="14.55" thickBot="1" x14ac:dyDescent="0.35">
      <c r="A1" t="s">
        <v>9</v>
      </c>
      <c r="B1" s="1">
        <v>46017</v>
      </c>
      <c r="C1">
        <v>4127</v>
      </c>
      <c r="D1" t="s">
        <v>10</v>
      </c>
      <c r="E1" t="s">
        <v>11</v>
      </c>
      <c r="G1" s="23">
        <v>1202263</v>
      </c>
      <c r="H1" s="6">
        <v>-1543292</v>
      </c>
      <c r="I1" s="36" t="s">
        <v>146</v>
      </c>
      <c r="J1" s="38">
        <f>2580387-2319952</f>
        <v>260435</v>
      </c>
      <c r="K1" s="37"/>
    </row>
    <row r="2" spans="1:11" x14ac:dyDescent="0.3">
      <c r="B2" s="1">
        <v>46023</v>
      </c>
      <c r="E2" t="s">
        <v>11</v>
      </c>
      <c r="F2" s="23">
        <v>260435</v>
      </c>
      <c r="H2" s="2">
        <f>H1+F2-G2</f>
        <v>-1282857</v>
      </c>
      <c r="I2" s="45"/>
      <c r="J2" s="45"/>
      <c r="K2" s="45"/>
    </row>
    <row r="3" spans="1:11" x14ac:dyDescent="0.3">
      <c r="A3" t="s">
        <v>31</v>
      </c>
      <c r="B3" s="1">
        <v>46036</v>
      </c>
      <c r="C3" s="2">
        <v>4200</v>
      </c>
      <c r="D3" t="s">
        <v>32</v>
      </c>
      <c r="E3" t="s">
        <v>11</v>
      </c>
      <c r="F3" s="52">
        <v>1121283</v>
      </c>
      <c r="H3" s="2">
        <f t="shared" ref="H3:H17" si="0">H2+F3-G3</f>
        <v>-161574</v>
      </c>
    </row>
    <row r="4" spans="1:11" x14ac:dyDescent="0.3">
      <c r="A4" t="s">
        <v>33</v>
      </c>
      <c r="B4" s="1">
        <v>46050</v>
      </c>
      <c r="C4" s="2">
        <v>4242</v>
      </c>
      <c r="D4" t="s">
        <v>10</v>
      </c>
      <c r="E4" t="s">
        <v>11</v>
      </c>
      <c r="G4" s="2">
        <v>1333628</v>
      </c>
      <c r="H4" s="2">
        <f t="shared" si="0"/>
        <v>-1495202</v>
      </c>
    </row>
    <row r="5" spans="1:11" x14ac:dyDescent="0.3">
      <c r="B5" s="1">
        <v>46050</v>
      </c>
      <c r="C5">
        <v>4321</v>
      </c>
      <c r="D5" t="s">
        <v>140</v>
      </c>
      <c r="E5" t="s">
        <v>11</v>
      </c>
      <c r="F5" s="23"/>
      <c r="G5" s="23">
        <v>30700</v>
      </c>
      <c r="H5" s="2">
        <f t="shared" si="0"/>
        <v>-1525902</v>
      </c>
    </row>
    <row r="6" spans="1:11" x14ac:dyDescent="0.3">
      <c r="B6" s="1">
        <v>46051</v>
      </c>
      <c r="C6">
        <v>4319</v>
      </c>
      <c r="D6" t="s">
        <v>141</v>
      </c>
      <c r="E6" t="s">
        <v>11</v>
      </c>
      <c r="F6" s="23"/>
      <c r="G6" s="23">
        <v>11242</v>
      </c>
      <c r="H6" s="2">
        <f t="shared" si="0"/>
        <v>-1537144</v>
      </c>
    </row>
    <row r="7" spans="1:11" x14ac:dyDescent="0.3">
      <c r="B7" s="1">
        <v>46051</v>
      </c>
      <c r="C7">
        <v>4320</v>
      </c>
      <c r="D7" t="s">
        <v>142</v>
      </c>
      <c r="E7" t="s">
        <v>11</v>
      </c>
      <c r="F7" s="23"/>
      <c r="G7" s="23">
        <v>583835</v>
      </c>
      <c r="H7" s="2">
        <f t="shared" si="0"/>
        <v>-2120979</v>
      </c>
    </row>
    <row r="8" spans="1:11" x14ac:dyDescent="0.3">
      <c r="B8" s="1">
        <v>46065</v>
      </c>
      <c r="F8" s="23"/>
      <c r="G8" s="23">
        <v>9160</v>
      </c>
      <c r="H8" s="2">
        <f t="shared" si="0"/>
        <v>-2130139</v>
      </c>
    </row>
    <row r="9" spans="1:11" x14ac:dyDescent="0.3">
      <c r="B9" s="1">
        <v>46065</v>
      </c>
      <c r="C9">
        <v>4305</v>
      </c>
      <c r="D9" t="s">
        <v>151</v>
      </c>
      <c r="E9" t="s">
        <v>11</v>
      </c>
      <c r="F9" s="51">
        <v>1495588</v>
      </c>
      <c r="G9" s="23"/>
      <c r="H9" s="2">
        <f t="shared" si="0"/>
        <v>-634551</v>
      </c>
    </row>
    <row r="10" spans="1:11" x14ac:dyDescent="0.3">
      <c r="B10" s="1">
        <v>46078</v>
      </c>
      <c r="C10">
        <v>4458</v>
      </c>
      <c r="D10" t="s">
        <v>10</v>
      </c>
      <c r="E10" t="s">
        <v>11</v>
      </c>
      <c r="F10" s="23"/>
      <c r="G10" s="29">
        <v>1329047</v>
      </c>
      <c r="H10" s="2">
        <f t="shared" si="0"/>
        <v>-1963598</v>
      </c>
    </row>
    <row r="11" spans="1:11" x14ac:dyDescent="0.3">
      <c r="A11" t="s">
        <v>169</v>
      </c>
      <c r="B11" s="1">
        <v>46078</v>
      </c>
      <c r="C11" s="2">
        <v>4458</v>
      </c>
      <c r="D11" t="s">
        <v>10</v>
      </c>
      <c r="E11" t="s">
        <v>11</v>
      </c>
      <c r="F11" s="2">
        <v>30702</v>
      </c>
      <c r="G11" s="23"/>
      <c r="H11" s="2">
        <f t="shared" si="0"/>
        <v>-1932896</v>
      </c>
    </row>
    <row r="12" spans="1:11" x14ac:dyDescent="0.3">
      <c r="B12" s="1"/>
      <c r="C12" s="2"/>
      <c r="F12" s="2">
        <v>11242</v>
      </c>
      <c r="G12" s="23"/>
      <c r="H12" s="2">
        <f t="shared" si="0"/>
        <v>-1921654</v>
      </c>
    </row>
    <row r="13" spans="1:11" x14ac:dyDescent="0.3">
      <c r="B13" s="1"/>
      <c r="C13" s="2"/>
      <c r="F13" s="2">
        <v>592994</v>
      </c>
      <c r="G13" s="23"/>
      <c r="H13" s="2">
        <f t="shared" si="0"/>
        <v>-1328660</v>
      </c>
    </row>
    <row r="14" spans="1:11" x14ac:dyDescent="0.3">
      <c r="A14" t="s">
        <v>194</v>
      </c>
      <c r="B14" s="1">
        <v>46093</v>
      </c>
      <c r="C14" s="2">
        <v>4437</v>
      </c>
      <c r="D14" t="s">
        <v>195</v>
      </c>
      <c r="E14" t="s">
        <v>11</v>
      </c>
      <c r="F14" s="49">
        <v>1159047</v>
      </c>
      <c r="G14" s="23"/>
      <c r="H14" s="2">
        <f t="shared" si="0"/>
        <v>-169613</v>
      </c>
    </row>
    <row r="15" spans="1:11" x14ac:dyDescent="0.3">
      <c r="A15" t="s">
        <v>196</v>
      </c>
      <c r="B15" s="1">
        <v>46107</v>
      </c>
      <c r="C15" s="2">
        <v>4598</v>
      </c>
      <c r="D15" t="s">
        <v>10</v>
      </c>
      <c r="E15" t="s">
        <v>11</v>
      </c>
      <c r="F15" s="50"/>
      <c r="G15" s="2">
        <v>2211560</v>
      </c>
      <c r="H15" s="2">
        <f t="shared" si="0"/>
        <v>-2381173</v>
      </c>
    </row>
    <row r="16" spans="1:11" x14ac:dyDescent="0.3">
      <c r="A16" t="s">
        <v>196</v>
      </c>
      <c r="B16" s="1">
        <v>46107</v>
      </c>
      <c r="C16" s="2">
        <v>4598</v>
      </c>
      <c r="D16" t="s">
        <v>10</v>
      </c>
      <c r="E16" t="s">
        <v>11</v>
      </c>
      <c r="F16" s="49">
        <v>170000</v>
      </c>
      <c r="H16" s="2">
        <f t="shared" si="0"/>
        <v>-2211173</v>
      </c>
    </row>
    <row r="17" spans="1:12" x14ac:dyDescent="0.3">
      <c r="B17" s="1">
        <v>46112</v>
      </c>
      <c r="C17" s="2"/>
      <c r="E17" t="s">
        <v>11</v>
      </c>
      <c r="F17" s="2"/>
      <c r="G17" s="51">
        <v>528200</v>
      </c>
      <c r="H17" s="2">
        <f t="shared" si="0"/>
        <v>-2739373</v>
      </c>
    </row>
    <row r="18" spans="1:12" x14ac:dyDescent="0.3">
      <c r="B18" s="1"/>
      <c r="C18" s="2"/>
      <c r="F18" s="2"/>
      <c r="H18" s="2"/>
    </row>
    <row r="19" spans="1:12" x14ac:dyDescent="0.3">
      <c r="B19" s="1"/>
    </row>
    <row r="20" spans="1:12" x14ac:dyDescent="0.3">
      <c r="A20" t="s">
        <v>9</v>
      </c>
      <c r="B20" s="1">
        <v>46017</v>
      </c>
      <c r="C20" s="2">
        <v>4127</v>
      </c>
      <c r="D20" t="s">
        <v>10</v>
      </c>
      <c r="E20" t="s">
        <v>11</v>
      </c>
      <c r="G20">
        <v>48.56</v>
      </c>
      <c r="H20" s="4">
        <f>-G20</f>
        <v>-48.56</v>
      </c>
      <c r="I20" s="2">
        <f>-G20*907.13</f>
        <v>-44050.232800000005</v>
      </c>
      <c r="J20" s="5">
        <f>+I20+H1</f>
        <v>-1587342.2328000001</v>
      </c>
      <c r="K20" s="43">
        <f>'13X'!N21+'13CW'!J20</f>
        <v>-260250.23280000011</v>
      </c>
      <c r="L20" t="s">
        <v>178</v>
      </c>
    </row>
    <row r="21" spans="1:12" x14ac:dyDescent="0.3">
      <c r="A21" t="s">
        <v>33</v>
      </c>
      <c r="B21" s="1">
        <v>46048</v>
      </c>
      <c r="C21" s="2">
        <v>4242</v>
      </c>
      <c r="D21" t="s">
        <v>10</v>
      </c>
      <c r="E21" t="s">
        <v>11</v>
      </c>
      <c r="F21">
        <v>48.56</v>
      </c>
      <c r="H21" s="10">
        <f>H20+F21-G21</f>
        <v>0</v>
      </c>
    </row>
    <row r="22" spans="1:12" x14ac:dyDescent="0.3">
      <c r="A22" t="s">
        <v>33</v>
      </c>
      <c r="B22" s="1">
        <v>46048</v>
      </c>
      <c r="C22" s="2">
        <v>4242</v>
      </c>
      <c r="D22" t="s">
        <v>10</v>
      </c>
      <c r="E22" t="s">
        <v>11</v>
      </c>
      <c r="G22">
        <v>230</v>
      </c>
      <c r="H22" s="10">
        <f>H21+F22-G22</f>
        <v>-230</v>
      </c>
      <c r="I22">
        <f>H22*865.1</f>
        <v>-198973</v>
      </c>
      <c r="J22" s="5">
        <f>+I22+H7</f>
        <v>-2319952</v>
      </c>
      <c r="K22" s="43">
        <f>'13X'!O22+'13CW'!J22</f>
        <v>0</v>
      </c>
      <c r="L22" t="s">
        <v>179</v>
      </c>
    </row>
    <row r="23" spans="1:12" x14ac:dyDescent="0.3">
      <c r="A23" t="s">
        <v>169</v>
      </c>
      <c r="B23" s="1">
        <v>46078</v>
      </c>
      <c r="C23" s="2">
        <v>4458</v>
      </c>
      <c r="D23" t="s">
        <v>10</v>
      </c>
      <c r="E23" t="s">
        <v>11</v>
      </c>
      <c r="G23" s="10">
        <v>1160.03</v>
      </c>
      <c r="H23" s="10">
        <f t="shared" ref="H23:H26" si="1">H22+F23-G23</f>
        <v>-1390.03</v>
      </c>
    </row>
    <row r="24" spans="1:12" x14ac:dyDescent="0.3">
      <c r="A24" t="s">
        <v>169</v>
      </c>
      <c r="B24" s="1">
        <v>46078</v>
      </c>
      <c r="C24" s="2">
        <v>4458</v>
      </c>
      <c r="D24" t="s">
        <v>10</v>
      </c>
      <c r="E24" t="s">
        <v>11</v>
      </c>
      <c r="F24">
        <v>230</v>
      </c>
      <c r="H24" s="10">
        <f t="shared" si="1"/>
        <v>-1160.03</v>
      </c>
      <c r="I24">
        <f>H24*871.41</f>
        <v>-1010861.7422999999</v>
      </c>
      <c r="J24" s="5">
        <f>+I24+H11</f>
        <v>-2943757.7423</v>
      </c>
      <c r="K24" s="43">
        <f>'13X'!O48+'13CW'!J24</f>
        <v>-603848.74230000004</v>
      </c>
      <c r="L24" t="s">
        <v>180</v>
      </c>
    </row>
    <row r="25" spans="1:12" x14ac:dyDescent="0.3">
      <c r="A25" t="s">
        <v>196</v>
      </c>
      <c r="B25" s="1">
        <v>46107</v>
      </c>
      <c r="C25" s="2">
        <v>4598</v>
      </c>
      <c r="D25" t="s">
        <v>10</v>
      </c>
      <c r="E25" t="s">
        <v>11</v>
      </c>
      <c r="G25">
        <v>96.1</v>
      </c>
      <c r="H25" s="10">
        <f t="shared" si="1"/>
        <v>-1256.1299999999999</v>
      </c>
    </row>
    <row r="26" spans="1:12" x14ac:dyDescent="0.3">
      <c r="A26" t="s">
        <v>196</v>
      </c>
      <c r="B26" s="1">
        <v>46107</v>
      </c>
      <c r="C26" s="2">
        <v>4598</v>
      </c>
      <c r="D26" t="s">
        <v>10</v>
      </c>
      <c r="E26" t="s">
        <v>11</v>
      </c>
      <c r="F26" s="10">
        <v>1160.03</v>
      </c>
      <c r="H26" s="10">
        <f t="shared" si="1"/>
        <v>-96.099999999999909</v>
      </c>
      <c r="I26" s="2">
        <f>H26*927.46</f>
        <v>-89128.905999999915</v>
      </c>
      <c r="J26" s="5">
        <f>+I26+H17</f>
        <v>-2828501.906</v>
      </c>
      <c r="K26" s="44">
        <f>'13X'!O88+'13CW'!J26</f>
        <v>-922.90599999995902</v>
      </c>
      <c r="L26" t="s">
        <v>181</v>
      </c>
    </row>
  </sheetData>
  <pageMargins left="0.7" right="0.7" top="0.75" bottom="0.75" header="0.3" footer="0.3"/>
  <headerFooter>
    <oddFooter>&amp;C_x000D_&amp;1#&amp;"Aptos"&amp;9&amp;K000000 Calificación: Publico, apto para su distribución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964D9-1C15-462E-87BC-DE829DD4B657}">
  <dimension ref="A1:P88"/>
  <sheetViews>
    <sheetView topLeftCell="A37" workbookViewId="0">
      <selection activeCell="J39" sqref="J39"/>
    </sheetView>
  </sheetViews>
  <sheetFormatPr baseColWidth="10" defaultRowHeight="14" x14ac:dyDescent="0.3"/>
  <cols>
    <col min="6" max="8" width="11.19921875" style="23"/>
  </cols>
  <sheetData>
    <row r="1" spans="1:8" x14ac:dyDescent="0.3">
      <c r="A1" s="14" t="s">
        <v>44</v>
      </c>
      <c r="B1" s="14" t="s">
        <v>45</v>
      </c>
      <c r="C1" s="14" t="s">
        <v>46</v>
      </c>
      <c r="D1" s="14" t="s">
        <v>47</v>
      </c>
      <c r="E1" s="14" t="s">
        <v>48</v>
      </c>
      <c r="F1" s="22" t="s">
        <v>49</v>
      </c>
      <c r="G1" s="22" t="s">
        <v>50</v>
      </c>
    </row>
    <row r="2" spans="1:8" x14ac:dyDescent="0.3">
      <c r="A2" s="16" t="s">
        <v>70</v>
      </c>
      <c r="B2" s="17">
        <v>46027</v>
      </c>
      <c r="C2" s="16" t="s">
        <v>71</v>
      </c>
      <c r="D2" s="16" t="s">
        <v>72</v>
      </c>
      <c r="E2" s="16" t="s">
        <v>73</v>
      </c>
      <c r="F2" s="24">
        <v>0</v>
      </c>
      <c r="G2" s="24">
        <v>304961</v>
      </c>
      <c r="H2" s="23">
        <f>-G2</f>
        <v>-304961</v>
      </c>
    </row>
    <row r="3" spans="1:8" x14ac:dyDescent="0.3">
      <c r="A3" s="19" t="s">
        <v>70</v>
      </c>
      <c r="B3" s="20">
        <v>46027</v>
      </c>
      <c r="C3" s="19" t="s">
        <v>52</v>
      </c>
      <c r="D3" s="19" t="s">
        <v>58</v>
      </c>
      <c r="E3" s="19" t="s">
        <v>74</v>
      </c>
      <c r="F3" s="25">
        <v>0</v>
      </c>
      <c r="G3" s="25">
        <v>57550</v>
      </c>
      <c r="H3" s="23">
        <f>H2+F3-G3</f>
        <v>-362511</v>
      </c>
    </row>
    <row r="4" spans="1:8" x14ac:dyDescent="0.3">
      <c r="A4" s="19" t="s">
        <v>70</v>
      </c>
      <c r="B4" s="20">
        <v>46027</v>
      </c>
      <c r="C4" s="19" t="s">
        <v>71</v>
      </c>
      <c r="D4" s="19" t="s">
        <v>72</v>
      </c>
      <c r="E4" s="19" t="s">
        <v>75</v>
      </c>
      <c r="F4" s="25">
        <v>0</v>
      </c>
      <c r="G4" s="25">
        <v>24003</v>
      </c>
      <c r="H4" s="23">
        <f t="shared" ref="H4:H23" si="0">H3+F4-G4</f>
        <v>-386514</v>
      </c>
    </row>
    <row r="5" spans="1:8" x14ac:dyDescent="0.3">
      <c r="A5" s="19" t="s">
        <v>70</v>
      </c>
      <c r="B5" s="20">
        <v>46027</v>
      </c>
      <c r="C5" s="19" t="s">
        <v>52</v>
      </c>
      <c r="D5" s="19" t="s">
        <v>58</v>
      </c>
      <c r="E5" s="19" t="s">
        <v>76</v>
      </c>
      <c r="F5" s="25">
        <v>0</v>
      </c>
      <c r="G5" s="25">
        <v>20900</v>
      </c>
      <c r="H5" s="23">
        <f t="shared" si="0"/>
        <v>-407414</v>
      </c>
    </row>
    <row r="6" spans="1:8" x14ac:dyDescent="0.3">
      <c r="A6" s="19" t="s">
        <v>70</v>
      </c>
      <c r="B6" s="20">
        <v>46028</v>
      </c>
      <c r="C6" s="19" t="s">
        <v>52</v>
      </c>
      <c r="D6" s="19" t="s">
        <v>58</v>
      </c>
      <c r="E6" s="19" t="s">
        <v>77</v>
      </c>
      <c r="F6" s="25">
        <v>0</v>
      </c>
      <c r="G6" s="25">
        <v>138250</v>
      </c>
      <c r="H6" s="23">
        <f t="shared" si="0"/>
        <v>-545664</v>
      </c>
    </row>
    <row r="7" spans="1:8" x14ac:dyDescent="0.3">
      <c r="A7" s="19" t="s">
        <v>70</v>
      </c>
      <c r="B7" s="20">
        <v>46028</v>
      </c>
      <c r="C7" s="19" t="s">
        <v>52</v>
      </c>
      <c r="D7" s="19" t="s">
        <v>58</v>
      </c>
      <c r="E7" s="19" t="s">
        <v>78</v>
      </c>
      <c r="F7" s="25">
        <v>0</v>
      </c>
      <c r="G7" s="25">
        <v>30840</v>
      </c>
      <c r="H7" s="23">
        <f t="shared" si="0"/>
        <v>-576504</v>
      </c>
    </row>
    <row r="8" spans="1:8" x14ac:dyDescent="0.3">
      <c r="A8" s="19" t="s">
        <v>70</v>
      </c>
      <c r="B8" s="20">
        <v>46028</v>
      </c>
      <c r="C8" s="19" t="s">
        <v>52</v>
      </c>
      <c r="D8" s="19" t="s">
        <v>79</v>
      </c>
      <c r="E8" s="19"/>
      <c r="F8" s="25">
        <v>0</v>
      </c>
      <c r="G8" s="25">
        <v>97164</v>
      </c>
      <c r="H8" s="23">
        <f t="shared" si="0"/>
        <v>-673668</v>
      </c>
    </row>
    <row r="9" spans="1:8" x14ac:dyDescent="0.3">
      <c r="A9" s="19" t="s">
        <v>70</v>
      </c>
      <c r="B9" s="20">
        <v>46029</v>
      </c>
      <c r="C9" s="19" t="s">
        <v>52</v>
      </c>
      <c r="D9" s="19" t="s">
        <v>58</v>
      </c>
      <c r="E9" s="19" t="s">
        <v>80</v>
      </c>
      <c r="F9" s="25">
        <v>0</v>
      </c>
      <c r="G9" s="25">
        <v>22550</v>
      </c>
      <c r="H9" s="23">
        <f t="shared" si="0"/>
        <v>-696218</v>
      </c>
    </row>
    <row r="10" spans="1:8" x14ac:dyDescent="0.3">
      <c r="A10" s="19" t="s">
        <v>70</v>
      </c>
      <c r="B10" s="20">
        <v>46029</v>
      </c>
      <c r="C10" s="19" t="s">
        <v>52</v>
      </c>
      <c r="D10" s="19" t="s">
        <v>58</v>
      </c>
      <c r="E10" s="19" t="s">
        <v>81</v>
      </c>
      <c r="F10" s="25">
        <v>0</v>
      </c>
      <c r="G10" s="25">
        <v>38110</v>
      </c>
      <c r="H10" s="23">
        <f t="shared" si="0"/>
        <v>-734328</v>
      </c>
    </row>
    <row r="11" spans="1:8" x14ac:dyDescent="0.3">
      <c r="A11" s="19" t="s">
        <v>70</v>
      </c>
      <c r="B11" s="20">
        <v>46035</v>
      </c>
      <c r="C11" s="19" t="s">
        <v>60</v>
      </c>
      <c r="D11" s="19" t="s">
        <v>58</v>
      </c>
      <c r="E11" s="19"/>
      <c r="F11" s="25">
        <v>80980</v>
      </c>
      <c r="G11" s="25">
        <v>0</v>
      </c>
      <c r="H11" s="23">
        <f t="shared" si="0"/>
        <v>-653348</v>
      </c>
    </row>
    <row r="12" spans="1:8" x14ac:dyDescent="0.3">
      <c r="A12" s="19" t="s">
        <v>70</v>
      </c>
      <c r="B12" s="20">
        <v>46036</v>
      </c>
      <c r="C12" s="19" t="s">
        <v>54</v>
      </c>
      <c r="D12" s="19" t="s">
        <v>82</v>
      </c>
      <c r="E12" s="19" t="s">
        <v>83</v>
      </c>
      <c r="F12" s="25">
        <v>1121283</v>
      </c>
      <c r="G12" s="25">
        <v>0</v>
      </c>
      <c r="H12" s="23">
        <f t="shared" si="0"/>
        <v>467935</v>
      </c>
    </row>
    <row r="13" spans="1:8" x14ac:dyDescent="0.3">
      <c r="A13" s="19" t="s">
        <v>70</v>
      </c>
      <c r="B13" s="20">
        <v>46042</v>
      </c>
      <c r="C13" s="19" t="s">
        <v>52</v>
      </c>
      <c r="D13" s="19" t="s">
        <v>58</v>
      </c>
      <c r="E13" s="19" t="s">
        <v>84</v>
      </c>
      <c r="F13" s="25">
        <v>0</v>
      </c>
      <c r="G13" s="25">
        <v>496021</v>
      </c>
      <c r="H13" s="23">
        <f t="shared" si="0"/>
        <v>-28086</v>
      </c>
    </row>
    <row r="14" spans="1:8" x14ac:dyDescent="0.3">
      <c r="A14" s="19" t="s">
        <v>70</v>
      </c>
      <c r="B14" s="20">
        <v>46042</v>
      </c>
      <c r="C14" s="19" t="s">
        <v>52</v>
      </c>
      <c r="D14" s="19" t="s">
        <v>58</v>
      </c>
      <c r="E14" s="19" t="s">
        <v>85</v>
      </c>
      <c r="F14" s="25">
        <v>0</v>
      </c>
      <c r="G14" s="25">
        <v>198973</v>
      </c>
      <c r="H14" s="23">
        <f t="shared" si="0"/>
        <v>-227059</v>
      </c>
    </row>
    <row r="15" spans="1:8" x14ac:dyDescent="0.3">
      <c r="A15" s="19" t="s">
        <v>70</v>
      </c>
      <c r="B15" s="20">
        <v>46043</v>
      </c>
      <c r="C15" s="19" t="s">
        <v>52</v>
      </c>
      <c r="D15" s="19" t="s">
        <v>58</v>
      </c>
      <c r="E15" s="19" t="s">
        <v>86</v>
      </c>
      <c r="F15" s="25">
        <v>0</v>
      </c>
      <c r="G15" s="25">
        <v>129980</v>
      </c>
      <c r="H15" s="23">
        <f t="shared" si="0"/>
        <v>-357039</v>
      </c>
    </row>
    <row r="16" spans="1:8" x14ac:dyDescent="0.3">
      <c r="A16" s="19" t="s">
        <v>70</v>
      </c>
      <c r="B16" s="20">
        <v>46043</v>
      </c>
      <c r="C16" s="19" t="s">
        <v>52</v>
      </c>
      <c r="D16" s="19" t="s">
        <v>57</v>
      </c>
      <c r="E16" s="19"/>
      <c r="F16" s="25">
        <v>0</v>
      </c>
      <c r="G16" s="25">
        <v>4945</v>
      </c>
      <c r="H16" s="23">
        <f t="shared" si="0"/>
        <v>-361984</v>
      </c>
    </row>
    <row r="17" spans="1:16" x14ac:dyDescent="0.3">
      <c r="A17" s="19" t="s">
        <v>70</v>
      </c>
      <c r="B17" s="20">
        <v>46050</v>
      </c>
      <c r="C17" s="19" t="s">
        <v>52</v>
      </c>
      <c r="D17" s="19" t="s">
        <v>58</v>
      </c>
      <c r="E17" s="19" t="s">
        <v>87</v>
      </c>
      <c r="F17" s="25">
        <v>0</v>
      </c>
      <c r="G17" s="25">
        <v>30700</v>
      </c>
      <c r="H17" s="23">
        <f t="shared" si="0"/>
        <v>-392684</v>
      </c>
    </row>
    <row r="18" spans="1:16" x14ac:dyDescent="0.3">
      <c r="A18" s="19" t="s">
        <v>70</v>
      </c>
      <c r="B18" s="20">
        <v>46050</v>
      </c>
      <c r="C18" s="19" t="s">
        <v>52</v>
      </c>
      <c r="D18" s="19" t="s">
        <v>57</v>
      </c>
      <c r="E18" s="19"/>
      <c r="F18" s="25">
        <v>0</v>
      </c>
      <c r="G18" s="25">
        <v>3971</v>
      </c>
      <c r="H18" s="23">
        <f t="shared" si="0"/>
        <v>-396655</v>
      </c>
    </row>
    <row r="19" spans="1:16" x14ac:dyDescent="0.3">
      <c r="A19" s="19" t="s">
        <v>70</v>
      </c>
      <c r="B19" s="20">
        <v>46050</v>
      </c>
      <c r="C19" s="19" t="s">
        <v>52</v>
      </c>
      <c r="D19" s="19" t="s">
        <v>57</v>
      </c>
      <c r="E19" s="19"/>
      <c r="F19" s="25">
        <v>0</v>
      </c>
      <c r="G19" s="25">
        <v>1099</v>
      </c>
      <c r="H19" s="23">
        <f t="shared" si="0"/>
        <v>-397754</v>
      </c>
    </row>
    <row r="20" spans="1:16" x14ac:dyDescent="0.3">
      <c r="A20" s="19" t="s">
        <v>70</v>
      </c>
      <c r="B20" s="20">
        <v>46050</v>
      </c>
      <c r="C20" s="19" t="s">
        <v>52</v>
      </c>
      <c r="D20" s="19" t="s">
        <v>57</v>
      </c>
      <c r="E20" s="19"/>
      <c r="F20" s="25">
        <v>0</v>
      </c>
      <c r="G20" s="25">
        <v>29</v>
      </c>
      <c r="H20" s="23">
        <f t="shared" si="0"/>
        <v>-397783</v>
      </c>
    </row>
    <row r="21" spans="1:16" x14ac:dyDescent="0.3">
      <c r="A21" s="19" t="s">
        <v>70</v>
      </c>
      <c r="B21" s="20">
        <v>46051</v>
      </c>
      <c r="C21" s="19" t="s">
        <v>52</v>
      </c>
      <c r="D21" s="19" t="s">
        <v>58</v>
      </c>
      <c r="E21" s="19" t="s">
        <v>88</v>
      </c>
      <c r="F21" s="25">
        <v>0</v>
      </c>
      <c r="G21" s="25">
        <v>583834.97</v>
      </c>
      <c r="H21" s="23">
        <f t="shared" si="0"/>
        <v>-981617.97</v>
      </c>
      <c r="M21" s="30" t="s">
        <v>239</v>
      </c>
      <c r="N21" s="44">
        <f>O22-992860</f>
        <v>1327092</v>
      </c>
    </row>
    <row r="22" spans="1:16" s="30" customFormat="1" x14ac:dyDescent="0.3">
      <c r="A22" s="26" t="s">
        <v>70</v>
      </c>
      <c r="B22" s="27">
        <v>46051</v>
      </c>
      <c r="C22" s="26" t="s">
        <v>52</v>
      </c>
      <c r="D22" s="26" t="s">
        <v>58</v>
      </c>
      <c r="E22" s="26" t="s">
        <v>89</v>
      </c>
      <c r="F22" s="28">
        <v>0</v>
      </c>
      <c r="G22" s="28">
        <v>11242</v>
      </c>
      <c r="H22" s="29">
        <f t="shared" si="0"/>
        <v>-992859.97</v>
      </c>
      <c r="O22" s="29">
        <v>2319952</v>
      </c>
    </row>
    <row r="23" spans="1:16" x14ac:dyDescent="0.3">
      <c r="A23" s="19" t="s">
        <v>70</v>
      </c>
      <c r="B23" s="20">
        <v>46054</v>
      </c>
      <c r="C23" s="19" t="s">
        <v>52</v>
      </c>
      <c r="D23" s="19" t="s">
        <v>58</v>
      </c>
      <c r="E23" s="19"/>
      <c r="F23" s="25">
        <v>0</v>
      </c>
      <c r="G23" s="25">
        <v>9159.5300000000007</v>
      </c>
      <c r="H23" s="29">
        <f t="shared" si="0"/>
        <v>-1002019.5</v>
      </c>
    </row>
    <row r="24" spans="1:16" x14ac:dyDescent="0.3">
      <c r="A24" s="19" t="s">
        <v>70</v>
      </c>
      <c r="B24" s="20">
        <v>46054</v>
      </c>
      <c r="C24" s="19" t="s">
        <v>52</v>
      </c>
      <c r="D24" s="19" t="s">
        <v>57</v>
      </c>
      <c r="E24" s="19"/>
      <c r="F24" s="25">
        <v>0</v>
      </c>
      <c r="G24" s="25">
        <v>15054</v>
      </c>
      <c r="H24" s="25">
        <f>((H23 + F24) - G24)</f>
        <v>-1017073.5</v>
      </c>
      <c r="P24" s="43"/>
    </row>
    <row r="25" spans="1:16" x14ac:dyDescent="0.3">
      <c r="A25" s="19" t="s">
        <v>70</v>
      </c>
      <c r="B25" s="20">
        <v>46055</v>
      </c>
      <c r="C25" s="19" t="s">
        <v>52</v>
      </c>
      <c r="D25" s="19" t="s">
        <v>58</v>
      </c>
      <c r="E25" s="19" t="s">
        <v>197</v>
      </c>
      <c r="F25" s="25">
        <v>0</v>
      </c>
      <c r="G25" s="25">
        <v>116100</v>
      </c>
      <c r="H25" s="25">
        <f>((H24 + F25) - G25)</f>
        <v>-1133173.5</v>
      </c>
    </row>
    <row r="26" spans="1:16" x14ac:dyDescent="0.3">
      <c r="A26" s="19" t="s">
        <v>70</v>
      </c>
      <c r="B26" s="20">
        <v>46055</v>
      </c>
      <c r="C26" s="19" t="s">
        <v>52</v>
      </c>
      <c r="D26" s="19" t="s">
        <v>58</v>
      </c>
      <c r="E26" s="19" t="s">
        <v>198</v>
      </c>
      <c r="F26" s="25">
        <v>0</v>
      </c>
      <c r="G26" s="25">
        <v>30840</v>
      </c>
      <c r="H26" s="25">
        <f>((H25 + F26) - G26)</f>
        <v>-1164013.5</v>
      </c>
    </row>
    <row r="27" spans="1:16" x14ac:dyDescent="0.3">
      <c r="A27" s="19" t="s">
        <v>70</v>
      </c>
      <c r="B27" s="20">
        <v>46055</v>
      </c>
      <c r="C27" s="19" t="s">
        <v>52</v>
      </c>
      <c r="D27" s="19" t="s">
        <v>58</v>
      </c>
      <c r="E27" s="19" t="s">
        <v>199</v>
      </c>
      <c r="F27" s="25">
        <v>0</v>
      </c>
      <c r="G27" s="25">
        <v>37797</v>
      </c>
      <c r="H27" s="25">
        <f t="shared" ref="H27:H88" si="1">((H26 + F27) - G27)</f>
        <v>-1201810.5</v>
      </c>
    </row>
    <row r="28" spans="1:16" x14ac:dyDescent="0.3">
      <c r="A28" s="19" t="s">
        <v>70</v>
      </c>
      <c r="B28" s="20">
        <v>46055</v>
      </c>
      <c r="C28" s="19" t="s">
        <v>52</v>
      </c>
      <c r="D28" s="19" t="s">
        <v>58</v>
      </c>
      <c r="E28" s="19" t="s">
        <v>200</v>
      </c>
      <c r="F28" s="25">
        <v>0</v>
      </c>
      <c r="G28" s="25">
        <v>289691.53999999998</v>
      </c>
      <c r="H28" s="25">
        <f t="shared" si="1"/>
        <v>-1491502.04</v>
      </c>
    </row>
    <row r="29" spans="1:16" x14ac:dyDescent="0.3">
      <c r="A29" s="19" t="s">
        <v>70</v>
      </c>
      <c r="B29" s="20">
        <v>46056</v>
      </c>
      <c r="C29" s="19" t="s">
        <v>52</v>
      </c>
      <c r="D29" s="19" t="s">
        <v>57</v>
      </c>
      <c r="E29" s="19"/>
      <c r="F29" s="25">
        <v>0</v>
      </c>
      <c r="G29" s="25">
        <v>7354</v>
      </c>
      <c r="H29" s="25">
        <f t="shared" si="1"/>
        <v>-1498856.04</v>
      </c>
    </row>
    <row r="30" spans="1:16" x14ac:dyDescent="0.3">
      <c r="A30" s="19" t="s">
        <v>70</v>
      </c>
      <c r="B30" s="20">
        <v>46057</v>
      </c>
      <c r="C30" s="19" t="s">
        <v>52</v>
      </c>
      <c r="D30" s="19" t="s">
        <v>58</v>
      </c>
      <c r="E30" s="19" t="s">
        <v>201</v>
      </c>
      <c r="F30" s="25">
        <v>0</v>
      </c>
      <c r="G30" s="25">
        <v>40010</v>
      </c>
      <c r="H30" s="25">
        <f t="shared" si="1"/>
        <v>-1538866.04</v>
      </c>
    </row>
    <row r="31" spans="1:16" x14ac:dyDescent="0.3">
      <c r="A31" s="19" t="s">
        <v>70</v>
      </c>
      <c r="B31" s="20">
        <v>46062</v>
      </c>
      <c r="C31" s="19" t="s">
        <v>71</v>
      </c>
      <c r="D31" s="19" t="s">
        <v>72</v>
      </c>
      <c r="E31" s="19" t="s">
        <v>202</v>
      </c>
      <c r="F31" s="25">
        <v>0</v>
      </c>
      <c r="G31" s="25">
        <v>304745</v>
      </c>
      <c r="H31" s="25">
        <f t="shared" si="1"/>
        <v>-1843611.04</v>
      </c>
    </row>
    <row r="32" spans="1:16" x14ac:dyDescent="0.3">
      <c r="A32" s="19" t="s">
        <v>70</v>
      </c>
      <c r="B32" s="20">
        <v>46062</v>
      </c>
      <c r="C32" s="19" t="s">
        <v>71</v>
      </c>
      <c r="D32" s="19" t="s">
        <v>72</v>
      </c>
      <c r="E32" s="19" t="s">
        <v>75</v>
      </c>
      <c r="F32" s="25">
        <v>0</v>
      </c>
      <c r="G32" s="25">
        <v>24003</v>
      </c>
      <c r="H32" s="25">
        <f t="shared" si="1"/>
        <v>-1867614.04</v>
      </c>
    </row>
    <row r="33" spans="1:15" x14ac:dyDescent="0.3">
      <c r="A33" s="19" t="s">
        <v>70</v>
      </c>
      <c r="B33" s="20">
        <v>46063</v>
      </c>
      <c r="C33" s="19" t="s">
        <v>52</v>
      </c>
      <c r="D33" s="19" t="s">
        <v>58</v>
      </c>
      <c r="E33" s="19" t="s">
        <v>203</v>
      </c>
      <c r="F33" s="25">
        <v>0</v>
      </c>
      <c r="G33" s="25">
        <v>6027</v>
      </c>
      <c r="H33" s="25">
        <f t="shared" si="1"/>
        <v>-1873641.04</v>
      </c>
    </row>
    <row r="34" spans="1:15" x14ac:dyDescent="0.3">
      <c r="A34" s="19" t="s">
        <v>70</v>
      </c>
      <c r="B34" s="20">
        <v>46063</v>
      </c>
      <c r="C34" s="19" t="s">
        <v>52</v>
      </c>
      <c r="D34" s="19" t="s">
        <v>58</v>
      </c>
      <c r="E34" s="19" t="s">
        <v>204</v>
      </c>
      <c r="F34" s="25">
        <v>0</v>
      </c>
      <c r="G34" s="25">
        <v>6391</v>
      </c>
      <c r="H34" s="25">
        <f t="shared" si="1"/>
        <v>-1880032.04</v>
      </c>
    </row>
    <row r="35" spans="1:15" x14ac:dyDescent="0.3">
      <c r="A35" s="19" t="s">
        <v>70</v>
      </c>
      <c r="B35" s="20">
        <v>46063</v>
      </c>
      <c r="C35" s="19" t="s">
        <v>52</v>
      </c>
      <c r="D35" s="19" t="s">
        <v>58</v>
      </c>
      <c r="E35" s="19" t="s">
        <v>205</v>
      </c>
      <c r="F35" s="25">
        <v>0</v>
      </c>
      <c r="G35" s="25">
        <v>18970</v>
      </c>
      <c r="H35" s="25">
        <f t="shared" si="1"/>
        <v>-1899002.04</v>
      </c>
    </row>
    <row r="36" spans="1:15" x14ac:dyDescent="0.3">
      <c r="A36" s="19" t="s">
        <v>70</v>
      </c>
      <c r="B36" s="20">
        <v>46065</v>
      </c>
      <c r="C36" s="19" t="s">
        <v>54</v>
      </c>
      <c r="D36" s="19" t="s">
        <v>82</v>
      </c>
      <c r="E36" s="19" t="s">
        <v>206</v>
      </c>
      <c r="F36" s="25">
        <v>1495588</v>
      </c>
      <c r="G36" s="25">
        <v>0</v>
      </c>
      <c r="H36" s="25">
        <f t="shared" si="1"/>
        <v>-403414.04000000004</v>
      </c>
    </row>
    <row r="37" spans="1:15" x14ac:dyDescent="0.3">
      <c r="A37" s="19" t="s">
        <v>70</v>
      </c>
      <c r="B37" s="20">
        <v>46065</v>
      </c>
      <c r="C37" s="19" t="s">
        <v>52</v>
      </c>
      <c r="D37" s="19" t="s">
        <v>58</v>
      </c>
      <c r="E37" s="19" t="s">
        <v>207</v>
      </c>
      <c r="F37" s="25">
        <v>0</v>
      </c>
      <c r="G37" s="25">
        <v>5943</v>
      </c>
      <c r="H37" s="25">
        <f t="shared" si="1"/>
        <v>-409357.04000000004</v>
      </c>
    </row>
    <row r="38" spans="1:15" x14ac:dyDescent="0.3">
      <c r="A38" s="19" t="s">
        <v>70</v>
      </c>
      <c r="B38" s="20">
        <v>46065</v>
      </c>
      <c r="C38" s="19" t="s">
        <v>52</v>
      </c>
      <c r="D38" s="19" t="s">
        <v>57</v>
      </c>
      <c r="E38" s="19"/>
      <c r="F38" s="25">
        <v>0</v>
      </c>
      <c r="G38" s="25">
        <v>3812.82</v>
      </c>
      <c r="H38" s="25">
        <f t="shared" si="1"/>
        <v>-413169.86000000004</v>
      </c>
    </row>
    <row r="39" spans="1:15" x14ac:dyDescent="0.3">
      <c r="A39" s="19" t="s">
        <v>70</v>
      </c>
      <c r="B39" s="20">
        <v>46070</v>
      </c>
      <c r="C39" s="19" t="s">
        <v>52</v>
      </c>
      <c r="D39" s="19" t="s">
        <v>58</v>
      </c>
      <c r="E39" s="19" t="s">
        <v>208</v>
      </c>
      <c r="F39" s="25">
        <v>0</v>
      </c>
      <c r="G39" s="25">
        <v>6592</v>
      </c>
      <c r="H39" s="25">
        <f t="shared" si="1"/>
        <v>-419761.86000000004</v>
      </c>
    </row>
    <row r="40" spans="1:15" x14ac:dyDescent="0.3">
      <c r="A40" s="19" t="s">
        <v>70</v>
      </c>
      <c r="B40" s="20">
        <v>46070</v>
      </c>
      <c r="C40" s="19" t="s">
        <v>52</v>
      </c>
      <c r="D40" s="19" t="s">
        <v>58</v>
      </c>
      <c r="E40" s="19" t="s">
        <v>209</v>
      </c>
      <c r="F40" s="25">
        <v>0</v>
      </c>
      <c r="G40" s="25">
        <v>6637</v>
      </c>
      <c r="H40" s="25">
        <f t="shared" si="1"/>
        <v>-426398.86000000004</v>
      </c>
    </row>
    <row r="41" spans="1:15" x14ac:dyDescent="0.3">
      <c r="A41" s="19" t="s">
        <v>70</v>
      </c>
      <c r="B41" s="20">
        <v>46071</v>
      </c>
      <c r="C41" s="19" t="s">
        <v>52</v>
      </c>
      <c r="D41" s="19" t="s">
        <v>58</v>
      </c>
      <c r="E41" s="19" t="s">
        <v>210</v>
      </c>
      <c r="F41" s="25">
        <v>0</v>
      </c>
      <c r="G41" s="25">
        <v>332200</v>
      </c>
      <c r="H41" s="25">
        <f t="shared" si="1"/>
        <v>-758598.8600000001</v>
      </c>
    </row>
    <row r="42" spans="1:15" x14ac:dyDescent="0.3">
      <c r="A42" s="19" t="s">
        <v>70</v>
      </c>
      <c r="B42" s="20">
        <v>46073</v>
      </c>
      <c r="C42" s="19" t="s">
        <v>52</v>
      </c>
      <c r="D42" s="19" t="s">
        <v>58</v>
      </c>
      <c r="E42" s="19" t="s">
        <v>211</v>
      </c>
      <c r="F42" s="25">
        <v>0</v>
      </c>
      <c r="G42" s="25">
        <v>128175.7</v>
      </c>
      <c r="H42" s="25">
        <f t="shared" si="1"/>
        <v>-886774.56</v>
      </c>
    </row>
    <row r="43" spans="1:15" x14ac:dyDescent="0.3">
      <c r="A43" s="19" t="s">
        <v>70</v>
      </c>
      <c r="B43" s="20">
        <v>46076</v>
      </c>
      <c r="C43" s="19" t="s">
        <v>52</v>
      </c>
      <c r="D43" s="19" t="s">
        <v>58</v>
      </c>
      <c r="E43" s="19" t="s">
        <v>212</v>
      </c>
      <c r="F43" s="25">
        <v>0</v>
      </c>
      <c r="G43" s="25">
        <v>58000</v>
      </c>
      <c r="H43" s="25">
        <f t="shared" si="1"/>
        <v>-944774.56</v>
      </c>
    </row>
    <row r="44" spans="1:15" x14ac:dyDescent="0.3">
      <c r="A44" s="19" t="s">
        <v>70</v>
      </c>
      <c r="B44" s="20">
        <v>46076</v>
      </c>
      <c r="C44" s="19" t="s">
        <v>52</v>
      </c>
      <c r="D44" s="19" t="s">
        <v>57</v>
      </c>
      <c r="E44" s="19"/>
      <c r="F44" s="25">
        <v>0</v>
      </c>
      <c r="G44" s="25">
        <v>3257</v>
      </c>
      <c r="H44" s="25">
        <f t="shared" si="1"/>
        <v>-948031.56</v>
      </c>
    </row>
    <row r="45" spans="1:15" x14ac:dyDescent="0.3">
      <c r="A45" s="19" t="s">
        <v>70</v>
      </c>
      <c r="B45" s="20">
        <v>46077</v>
      </c>
      <c r="C45" s="19" t="s">
        <v>52</v>
      </c>
      <c r="D45" s="19" t="s">
        <v>58</v>
      </c>
      <c r="E45" s="19" t="s">
        <v>213</v>
      </c>
      <c r="F45" s="25">
        <v>0</v>
      </c>
      <c r="G45" s="25">
        <v>55800</v>
      </c>
      <c r="H45" s="25">
        <f t="shared" si="1"/>
        <v>-1003831.56</v>
      </c>
    </row>
    <row r="46" spans="1:15" x14ac:dyDescent="0.3">
      <c r="A46" s="19" t="s">
        <v>70</v>
      </c>
      <c r="B46" s="20">
        <v>46078</v>
      </c>
      <c r="C46" s="19" t="s">
        <v>52</v>
      </c>
      <c r="D46" s="19" t="s">
        <v>57</v>
      </c>
      <c r="E46" s="19"/>
      <c r="F46" s="25">
        <v>0</v>
      </c>
      <c r="G46" s="25">
        <v>134</v>
      </c>
      <c r="H46" s="25">
        <f t="shared" si="1"/>
        <v>-1003965.56</v>
      </c>
    </row>
    <row r="47" spans="1:15" x14ac:dyDescent="0.3">
      <c r="A47" s="19" t="s">
        <v>70</v>
      </c>
      <c r="B47" s="20">
        <v>46078</v>
      </c>
      <c r="C47" s="19" t="s">
        <v>52</v>
      </c>
      <c r="D47" s="19" t="s">
        <v>57</v>
      </c>
      <c r="E47" s="19"/>
      <c r="F47" s="25">
        <v>0</v>
      </c>
      <c r="G47" s="25">
        <v>3977</v>
      </c>
      <c r="H47" s="25">
        <f t="shared" si="1"/>
        <v>-1007942.56</v>
      </c>
      <c r="N47" s="44">
        <f>O48-1012817</f>
        <v>1327092</v>
      </c>
    </row>
    <row r="48" spans="1:15" x14ac:dyDescent="0.3">
      <c r="A48" s="26" t="s">
        <v>70</v>
      </c>
      <c r="B48" s="27">
        <v>46078</v>
      </c>
      <c r="C48" s="26" t="s">
        <v>52</v>
      </c>
      <c r="D48" s="26" t="s">
        <v>57</v>
      </c>
      <c r="E48" s="26"/>
      <c r="F48" s="28">
        <v>0</v>
      </c>
      <c r="G48" s="28">
        <v>4874</v>
      </c>
      <c r="H48" s="28">
        <f t="shared" si="1"/>
        <v>-1012816.56</v>
      </c>
      <c r="O48" s="29">
        <v>2339909</v>
      </c>
    </row>
    <row r="49" spans="1:8" x14ac:dyDescent="0.3">
      <c r="A49" s="19" t="s">
        <v>70</v>
      </c>
      <c r="B49" s="20">
        <v>46083</v>
      </c>
      <c r="C49" s="19" t="s">
        <v>52</v>
      </c>
      <c r="D49" s="19" t="s">
        <v>58</v>
      </c>
      <c r="E49" s="19" t="s">
        <v>214</v>
      </c>
      <c r="F49" s="25">
        <v>0</v>
      </c>
      <c r="G49" s="25">
        <v>38930</v>
      </c>
      <c r="H49" s="25">
        <f t="shared" si="1"/>
        <v>-1051746.56</v>
      </c>
    </row>
    <row r="50" spans="1:8" x14ac:dyDescent="0.3">
      <c r="A50" s="19" t="s">
        <v>70</v>
      </c>
      <c r="B50" s="20">
        <v>46083</v>
      </c>
      <c r="C50" s="19" t="s">
        <v>52</v>
      </c>
      <c r="D50" s="19" t="s">
        <v>58</v>
      </c>
      <c r="E50" s="19" t="s">
        <v>215</v>
      </c>
      <c r="F50" s="25">
        <v>0</v>
      </c>
      <c r="G50" s="25">
        <v>142660</v>
      </c>
      <c r="H50" s="25">
        <f t="shared" si="1"/>
        <v>-1194406.56</v>
      </c>
    </row>
    <row r="51" spans="1:8" x14ac:dyDescent="0.3">
      <c r="A51" s="19" t="s">
        <v>70</v>
      </c>
      <c r="B51" s="20">
        <v>46083</v>
      </c>
      <c r="C51" s="19" t="s">
        <v>52</v>
      </c>
      <c r="D51" s="19" t="s">
        <v>58</v>
      </c>
      <c r="E51" s="19" t="s">
        <v>216</v>
      </c>
      <c r="F51" s="25">
        <v>0</v>
      </c>
      <c r="G51" s="25">
        <v>99170</v>
      </c>
      <c r="H51" s="25">
        <f t="shared" si="1"/>
        <v>-1293576.56</v>
      </c>
    </row>
    <row r="52" spans="1:8" ht="13.45" customHeight="1" x14ac:dyDescent="0.3">
      <c r="A52" s="19" t="s">
        <v>70</v>
      </c>
      <c r="B52" s="20">
        <v>46085</v>
      </c>
      <c r="C52" s="19" t="s">
        <v>52</v>
      </c>
      <c r="D52" s="19" t="s">
        <v>58</v>
      </c>
      <c r="E52" s="19" t="s">
        <v>217</v>
      </c>
      <c r="F52" s="25">
        <v>0</v>
      </c>
      <c r="G52" s="25">
        <v>27250</v>
      </c>
      <c r="H52" s="25">
        <f t="shared" si="1"/>
        <v>-1320826.56</v>
      </c>
    </row>
    <row r="53" spans="1:8" x14ac:dyDescent="0.3">
      <c r="A53" s="19" t="s">
        <v>70</v>
      </c>
      <c r="B53" s="20">
        <v>46085</v>
      </c>
      <c r="C53" s="19" t="s">
        <v>52</v>
      </c>
      <c r="D53" s="19" t="s">
        <v>58</v>
      </c>
      <c r="E53" s="19" t="s">
        <v>218</v>
      </c>
      <c r="F53" s="25">
        <v>0</v>
      </c>
      <c r="G53" s="25">
        <v>30000</v>
      </c>
      <c r="H53" s="25">
        <f t="shared" si="1"/>
        <v>-1350826.56</v>
      </c>
    </row>
    <row r="54" spans="1:8" x14ac:dyDescent="0.3">
      <c r="A54" s="19" t="s">
        <v>70</v>
      </c>
      <c r="B54" s="20">
        <v>46086</v>
      </c>
      <c r="C54" s="19" t="s">
        <v>52</v>
      </c>
      <c r="D54" s="19" t="s">
        <v>219</v>
      </c>
      <c r="E54" s="19" t="s">
        <v>220</v>
      </c>
      <c r="F54" s="25">
        <v>0</v>
      </c>
      <c r="G54" s="25">
        <v>59000</v>
      </c>
      <c r="H54" s="25">
        <f t="shared" si="1"/>
        <v>-1409826.56</v>
      </c>
    </row>
    <row r="55" spans="1:8" x14ac:dyDescent="0.3">
      <c r="A55" s="19" t="s">
        <v>70</v>
      </c>
      <c r="B55" s="20">
        <v>46086</v>
      </c>
      <c r="C55" s="19" t="s">
        <v>52</v>
      </c>
      <c r="D55" s="19" t="s">
        <v>219</v>
      </c>
      <c r="E55" s="19" t="s">
        <v>220</v>
      </c>
      <c r="F55" s="25">
        <v>0</v>
      </c>
      <c r="G55" s="25">
        <v>60300</v>
      </c>
      <c r="H55" s="25">
        <f t="shared" si="1"/>
        <v>-1470126.56</v>
      </c>
    </row>
    <row r="56" spans="1:8" x14ac:dyDescent="0.3">
      <c r="A56" s="19" t="s">
        <v>70</v>
      </c>
      <c r="B56" s="20">
        <v>46086</v>
      </c>
      <c r="C56" s="19" t="s">
        <v>52</v>
      </c>
      <c r="D56" s="19" t="s">
        <v>58</v>
      </c>
      <c r="E56" s="19"/>
      <c r="F56" s="25">
        <v>0</v>
      </c>
      <c r="G56" s="25">
        <v>60000</v>
      </c>
      <c r="H56" s="25">
        <f t="shared" si="1"/>
        <v>-1530126.56</v>
      </c>
    </row>
    <row r="57" spans="1:8" x14ac:dyDescent="0.3">
      <c r="A57" s="19" t="s">
        <v>70</v>
      </c>
      <c r="B57" s="20">
        <v>46086</v>
      </c>
      <c r="C57" s="19" t="s">
        <v>52</v>
      </c>
      <c r="D57" s="19" t="s">
        <v>58</v>
      </c>
      <c r="E57" s="19"/>
      <c r="F57" s="25">
        <v>0</v>
      </c>
      <c r="G57" s="25">
        <v>50000</v>
      </c>
      <c r="H57" s="25">
        <f t="shared" si="1"/>
        <v>-1580126.56</v>
      </c>
    </row>
    <row r="58" spans="1:8" x14ac:dyDescent="0.3">
      <c r="A58" s="19" t="s">
        <v>70</v>
      </c>
      <c r="B58" s="20">
        <v>46086</v>
      </c>
      <c r="C58" s="19" t="s">
        <v>52</v>
      </c>
      <c r="D58" s="19" t="s">
        <v>58</v>
      </c>
      <c r="E58" s="19"/>
      <c r="F58" s="25">
        <v>0</v>
      </c>
      <c r="G58" s="25">
        <v>60000</v>
      </c>
      <c r="H58" s="25">
        <f t="shared" si="1"/>
        <v>-1640126.56</v>
      </c>
    </row>
    <row r="59" spans="1:8" x14ac:dyDescent="0.3">
      <c r="A59" s="19" t="s">
        <v>70</v>
      </c>
      <c r="B59" s="20">
        <v>46087</v>
      </c>
      <c r="C59" s="19" t="s">
        <v>52</v>
      </c>
      <c r="D59" s="19" t="s">
        <v>58</v>
      </c>
      <c r="E59" s="19" t="s">
        <v>221</v>
      </c>
      <c r="F59" s="25">
        <v>0</v>
      </c>
      <c r="G59" s="25">
        <v>8910</v>
      </c>
      <c r="H59" s="25">
        <f t="shared" si="1"/>
        <v>-1649036.56</v>
      </c>
    </row>
    <row r="60" spans="1:8" x14ac:dyDescent="0.3">
      <c r="A60" s="19" t="s">
        <v>70</v>
      </c>
      <c r="B60" s="20">
        <v>46087</v>
      </c>
      <c r="C60" s="19" t="s">
        <v>52</v>
      </c>
      <c r="D60" s="19" t="s">
        <v>58</v>
      </c>
      <c r="E60" s="19" t="s">
        <v>222</v>
      </c>
      <c r="F60" s="25">
        <v>0</v>
      </c>
      <c r="G60" s="25">
        <v>27050</v>
      </c>
      <c r="H60" s="25">
        <f t="shared" si="1"/>
        <v>-1676086.56</v>
      </c>
    </row>
    <row r="61" spans="1:8" x14ac:dyDescent="0.3">
      <c r="A61" s="19" t="s">
        <v>70</v>
      </c>
      <c r="B61" s="20">
        <v>46087</v>
      </c>
      <c r="C61" s="19" t="s">
        <v>52</v>
      </c>
      <c r="D61" s="19" t="s">
        <v>58</v>
      </c>
      <c r="E61" s="19" t="s">
        <v>221</v>
      </c>
      <c r="F61" s="25">
        <v>0</v>
      </c>
      <c r="G61" s="25">
        <v>9335</v>
      </c>
      <c r="H61" s="25">
        <f t="shared" si="1"/>
        <v>-1685421.56</v>
      </c>
    </row>
    <row r="62" spans="1:8" x14ac:dyDescent="0.3">
      <c r="A62" s="19" t="s">
        <v>70</v>
      </c>
      <c r="B62" s="20">
        <v>46087</v>
      </c>
      <c r="C62" s="19" t="s">
        <v>52</v>
      </c>
      <c r="D62" s="19" t="s">
        <v>58</v>
      </c>
      <c r="E62" s="19" t="s">
        <v>223</v>
      </c>
      <c r="F62" s="25">
        <v>0</v>
      </c>
      <c r="G62" s="25">
        <v>7910</v>
      </c>
      <c r="H62" s="25">
        <f t="shared" si="1"/>
        <v>-1693331.56</v>
      </c>
    </row>
    <row r="63" spans="1:8" x14ac:dyDescent="0.3">
      <c r="A63" s="19" t="s">
        <v>70</v>
      </c>
      <c r="B63" s="20">
        <v>46087</v>
      </c>
      <c r="C63" s="19" t="s">
        <v>52</v>
      </c>
      <c r="D63" s="19" t="s">
        <v>58</v>
      </c>
      <c r="E63" s="19" t="s">
        <v>224</v>
      </c>
      <c r="F63" s="25">
        <v>0</v>
      </c>
      <c r="G63" s="25">
        <v>7803</v>
      </c>
      <c r="H63" s="25">
        <f t="shared" si="1"/>
        <v>-1701134.56</v>
      </c>
    </row>
    <row r="64" spans="1:8" x14ac:dyDescent="0.3">
      <c r="A64" s="19" t="s">
        <v>70</v>
      </c>
      <c r="B64" s="20">
        <v>46087</v>
      </c>
      <c r="C64" s="19" t="s">
        <v>52</v>
      </c>
      <c r="D64" s="19" t="s">
        <v>58</v>
      </c>
      <c r="E64" s="19" t="s">
        <v>223</v>
      </c>
      <c r="F64" s="25">
        <v>0</v>
      </c>
      <c r="G64" s="25">
        <v>14210</v>
      </c>
      <c r="H64" s="25">
        <f t="shared" si="1"/>
        <v>-1715344.56</v>
      </c>
    </row>
    <row r="65" spans="1:8" x14ac:dyDescent="0.3">
      <c r="A65" s="19" t="s">
        <v>70</v>
      </c>
      <c r="B65" s="20">
        <v>46090</v>
      </c>
      <c r="C65" s="19" t="s">
        <v>60</v>
      </c>
      <c r="D65" s="19" t="s">
        <v>219</v>
      </c>
      <c r="E65" s="19"/>
      <c r="F65" s="25">
        <v>50000</v>
      </c>
      <c r="G65" s="25">
        <v>0</v>
      </c>
      <c r="H65" s="25">
        <f t="shared" si="1"/>
        <v>-1665344.56</v>
      </c>
    </row>
    <row r="66" spans="1:8" x14ac:dyDescent="0.3">
      <c r="A66" s="19" t="s">
        <v>70</v>
      </c>
      <c r="B66" s="20">
        <v>46090</v>
      </c>
      <c r="C66" s="19" t="s">
        <v>60</v>
      </c>
      <c r="D66" s="19" t="s">
        <v>219</v>
      </c>
      <c r="E66" s="19"/>
      <c r="F66" s="25">
        <v>60000</v>
      </c>
      <c r="G66" s="25">
        <v>0</v>
      </c>
      <c r="H66" s="25">
        <f t="shared" si="1"/>
        <v>-1605344.56</v>
      </c>
    </row>
    <row r="67" spans="1:8" x14ac:dyDescent="0.3">
      <c r="A67" s="19" t="s">
        <v>70</v>
      </c>
      <c r="B67" s="20">
        <v>46090</v>
      </c>
      <c r="C67" s="19" t="s">
        <v>60</v>
      </c>
      <c r="D67" s="19" t="s">
        <v>219</v>
      </c>
      <c r="E67" s="19"/>
      <c r="F67" s="25">
        <v>60000</v>
      </c>
      <c r="G67" s="25">
        <v>0</v>
      </c>
      <c r="H67" s="25">
        <f t="shared" si="1"/>
        <v>-1545344.56</v>
      </c>
    </row>
    <row r="68" spans="1:8" x14ac:dyDescent="0.3">
      <c r="A68" s="19" t="s">
        <v>70</v>
      </c>
      <c r="B68" s="20">
        <v>46092</v>
      </c>
      <c r="C68" s="19" t="s">
        <v>52</v>
      </c>
      <c r="D68" s="19" t="s">
        <v>58</v>
      </c>
      <c r="E68" s="19" t="s">
        <v>225</v>
      </c>
      <c r="F68" s="25">
        <v>0</v>
      </c>
      <c r="G68" s="25">
        <v>8328</v>
      </c>
      <c r="H68" s="25">
        <f t="shared" si="1"/>
        <v>-1553672.56</v>
      </c>
    </row>
    <row r="69" spans="1:8" x14ac:dyDescent="0.3">
      <c r="A69" s="19" t="s">
        <v>70</v>
      </c>
      <c r="B69" s="20">
        <v>46092</v>
      </c>
      <c r="C69" s="19" t="s">
        <v>52</v>
      </c>
      <c r="D69" s="19" t="s">
        <v>58</v>
      </c>
      <c r="E69" s="19" t="s">
        <v>226</v>
      </c>
      <c r="F69" s="25">
        <v>0</v>
      </c>
      <c r="G69" s="25">
        <v>9757</v>
      </c>
      <c r="H69" s="25">
        <f t="shared" si="1"/>
        <v>-1563429.56</v>
      </c>
    </row>
    <row r="70" spans="1:8" x14ac:dyDescent="0.3">
      <c r="A70" s="19" t="s">
        <v>70</v>
      </c>
      <c r="B70" s="20">
        <v>46092</v>
      </c>
      <c r="C70" s="19" t="s">
        <v>52</v>
      </c>
      <c r="D70" s="19" t="s">
        <v>58</v>
      </c>
      <c r="E70" s="19" t="s">
        <v>227</v>
      </c>
      <c r="F70" s="25">
        <v>0</v>
      </c>
      <c r="G70" s="25">
        <v>5550</v>
      </c>
      <c r="H70" s="25">
        <f t="shared" si="1"/>
        <v>-1568979.56</v>
      </c>
    </row>
    <row r="71" spans="1:8" x14ac:dyDescent="0.3">
      <c r="A71" s="19" t="s">
        <v>70</v>
      </c>
      <c r="B71" s="20">
        <v>46093</v>
      </c>
      <c r="C71" s="19" t="s">
        <v>54</v>
      </c>
      <c r="D71" s="19" t="s">
        <v>82</v>
      </c>
      <c r="E71" s="19" t="s">
        <v>83</v>
      </c>
      <c r="F71" s="25">
        <v>1159047</v>
      </c>
      <c r="G71" s="25">
        <v>0</v>
      </c>
      <c r="H71" s="25">
        <f t="shared" si="1"/>
        <v>-409932.56000000006</v>
      </c>
    </row>
    <row r="72" spans="1:8" x14ac:dyDescent="0.3">
      <c r="A72" s="19" t="s">
        <v>70</v>
      </c>
      <c r="B72" s="20">
        <v>46093</v>
      </c>
      <c r="C72" s="19" t="s">
        <v>52</v>
      </c>
      <c r="D72" s="19" t="s">
        <v>58</v>
      </c>
      <c r="E72" s="19" t="s">
        <v>227</v>
      </c>
      <c r="F72" s="25">
        <v>0</v>
      </c>
      <c r="G72" s="25">
        <v>16239</v>
      </c>
      <c r="H72" s="25">
        <f t="shared" si="1"/>
        <v>-426171.56000000006</v>
      </c>
    </row>
    <row r="73" spans="1:8" x14ac:dyDescent="0.3">
      <c r="A73" s="19" t="s">
        <v>70</v>
      </c>
      <c r="B73" s="20">
        <v>46093</v>
      </c>
      <c r="C73" s="19" t="s">
        <v>52</v>
      </c>
      <c r="D73" s="19" t="s">
        <v>58</v>
      </c>
      <c r="E73" s="19" t="s">
        <v>228</v>
      </c>
      <c r="F73" s="25">
        <v>0</v>
      </c>
      <c r="G73" s="25">
        <v>23275</v>
      </c>
      <c r="H73" s="25">
        <f t="shared" si="1"/>
        <v>-449446.56000000006</v>
      </c>
    </row>
    <row r="74" spans="1:8" x14ac:dyDescent="0.3">
      <c r="A74" s="19" t="s">
        <v>70</v>
      </c>
      <c r="B74" s="20">
        <v>46094</v>
      </c>
      <c r="C74" s="19" t="s">
        <v>52</v>
      </c>
      <c r="D74" s="19" t="s">
        <v>57</v>
      </c>
      <c r="E74" s="19"/>
      <c r="F74" s="25">
        <v>0</v>
      </c>
      <c r="G74" s="25">
        <v>67966.259999999995</v>
      </c>
      <c r="H74" s="25">
        <f t="shared" si="1"/>
        <v>-517412.82000000007</v>
      </c>
    </row>
    <row r="75" spans="1:8" x14ac:dyDescent="0.3">
      <c r="A75" s="19" t="s">
        <v>70</v>
      </c>
      <c r="B75" s="20">
        <v>46099</v>
      </c>
      <c r="C75" s="19" t="s">
        <v>52</v>
      </c>
      <c r="D75" s="19" t="s">
        <v>58</v>
      </c>
      <c r="E75" s="19" t="s">
        <v>229</v>
      </c>
      <c r="F75" s="25">
        <v>0</v>
      </c>
      <c r="G75" s="25">
        <v>5550</v>
      </c>
      <c r="H75" s="25">
        <f t="shared" si="1"/>
        <v>-522962.82000000007</v>
      </c>
    </row>
    <row r="76" spans="1:8" x14ac:dyDescent="0.3">
      <c r="A76" s="19" t="s">
        <v>70</v>
      </c>
      <c r="B76" s="20">
        <v>46099</v>
      </c>
      <c r="C76" s="19" t="s">
        <v>52</v>
      </c>
      <c r="D76" s="19" t="s">
        <v>58</v>
      </c>
      <c r="E76" s="19" t="s">
        <v>230</v>
      </c>
      <c r="F76" s="25">
        <v>0</v>
      </c>
      <c r="G76" s="25">
        <v>4440</v>
      </c>
      <c r="H76" s="25">
        <f t="shared" si="1"/>
        <v>-527402.82000000007</v>
      </c>
    </row>
    <row r="77" spans="1:8" x14ac:dyDescent="0.3">
      <c r="A77" s="19" t="s">
        <v>70</v>
      </c>
      <c r="B77" s="20">
        <v>46099</v>
      </c>
      <c r="C77" s="19" t="s">
        <v>52</v>
      </c>
      <c r="D77" s="19" t="s">
        <v>58</v>
      </c>
      <c r="E77" s="19" t="s">
        <v>231</v>
      </c>
      <c r="F77" s="25">
        <v>0</v>
      </c>
      <c r="G77" s="25">
        <v>5550</v>
      </c>
      <c r="H77" s="25">
        <f t="shared" si="1"/>
        <v>-532952.82000000007</v>
      </c>
    </row>
    <row r="78" spans="1:8" x14ac:dyDescent="0.3">
      <c r="A78" s="19" t="s">
        <v>70</v>
      </c>
      <c r="B78" s="20">
        <v>46099</v>
      </c>
      <c r="C78" s="19" t="s">
        <v>52</v>
      </c>
      <c r="D78" s="19" t="s">
        <v>58</v>
      </c>
      <c r="E78" s="19" t="s">
        <v>232</v>
      </c>
      <c r="F78" s="25">
        <v>0</v>
      </c>
      <c r="G78" s="25">
        <v>34512</v>
      </c>
      <c r="H78" s="25">
        <f t="shared" si="1"/>
        <v>-567464.82000000007</v>
      </c>
    </row>
    <row r="79" spans="1:8" x14ac:dyDescent="0.3">
      <c r="A79" s="19" t="s">
        <v>70</v>
      </c>
      <c r="B79" s="20">
        <v>46100</v>
      </c>
      <c r="C79" s="19" t="s">
        <v>52</v>
      </c>
      <c r="D79" s="19" t="s">
        <v>58</v>
      </c>
      <c r="E79" s="19" t="s">
        <v>233</v>
      </c>
      <c r="F79" s="25">
        <v>0</v>
      </c>
      <c r="G79" s="25">
        <v>43980</v>
      </c>
      <c r="H79" s="25">
        <f t="shared" si="1"/>
        <v>-611444.82000000007</v>
      </c>
    </row>
    <row r="80" spans="1:8" x14ac:dyDescent="0.3">
      <c r="A80" s="19" t="s">
        <v>70</v>
      </c>
      <c r="B80" s="20">
        <v>46101</v>
      </c>
      <c r="C80" s="19" t="s">
        <v>52</v>
      </c>
      <c r="D80" s="19" t="s">
        <v>58</v>
      </c>
      <c r="E80" s="19" t="s">
        <v>234</v>
      </c>
      <c r="F80" s="25">
        <v>0</v>
      </c>
      <c r="G80" s="25">
        <v>36000</v>
      </c>
      <c r="H80" s="25">
        <f t="shared" si="1"/>
        <v>-647444.82000000007</v>
      </c>
    </row>
    <row r="81" spans="1:15" x14ac:dyDescent="0.3">
      <c r="A81" s="19" t="s">
        <v>70</v>
      </c>
      <c r="B81" s="20">
        <v>46105</v>
      </c>
      <c r="C81" s="19" t="s">
        <v>52</v>
      </c>
      <c r="D81" s="19" t="s">
        <v>58</v>
      </c>
      <c r="E81" s="19" t="s">
        <v>235</v>
      </c>
      <c r="F81" s="25">
        <v>0</v>
      </c>
      <c r="G81" s="25">
        <v>87819.06</v>
      </c>
      <c r="H81" s="25">
        <f t="shared" si="1"/>
        <v>-735263.88000000012</v>
      </c>
    </row>
    <row r="82" spans="1:15" x14ac:dyDescent="0.3">
      <c r="A82" s="19" t="s">
        <v>70</v>
      </c>
      <c r="B82" s="20">
        <v>46106</v>
      </c>
      <c r="C82" s="19" t="s">
        <v>52</v>
      </c>
      <c r="D82" s="19" t="s">
        <v>58</v>
      </c>
      <c r="E82" s="19" t="s">
        <v>236</v>
      </c>
      <c r="F82" s="25">
        <v>0</v>
      </c>
      <c r="G82" s="25">
        <v>27350</v>
      </c>
      <c r="H82" s="25">
        <f t="shared" si="1"/>
        <v>-762613.88000000012</v>
      </c>
    </row>
    <row r="83" spans="1:15" x14ac:dyDescent="0.3">
      <c r="A83" s="19" t="s">
        <v>70</v>
      </c>
      <c r="B83" s="20">
        <v>46106</v>
      </c>
      <c r="C83" s="19" t="s">
        <v>52</v>
      </c>
      <c r="D83" s="19" t="s">
        <v>58</v>
      </c>
      <c r="E83" s="19" t="s">
        <v>237</v>
      </c>
      <c r="F83" s="25">
        <v>0</v>
      </c>
      <c r="G83" s="25">
        <v>169980</v>
      </c>
      <c r="H83" s="25">
        <f t="shared" si="1"/>
        <v>-932593.88000000012</v>
      </c>
    </row>
    <row r="84" spans="1:15" x14ac:dyDescent="0.3">
      <c r="A84" s="19" t="s">
        <v>70</v>
      </c>
      <c r="B84" s="20">
        <v>46107</v>
      </c>
      <c r="C84" s="19" t="s">
        <v>52</v>
      </c>
      <c r="D84" s="19" t="s">
        <v>57</v>
      </c>
      <c r="E84" s="19"/>
      <c r="F84" s="25">
        <v>0</v>
      </c>
      <c r="G84" s="25">
        <v>3984</v>
      </c>
      <c r="H84" s="25">
        <f t="shared" si="1"/>
        <v>-936577.88000000012</v>
      </c>
    </row>
    <row r="85" spans="1:15" x14ac:dyDescent="0.3">
      <c r="A85" s="19" t="s">
        <v>70</v>
      </c>
      <c r="B85" s="20">
        <v>46107</v>
      </c>
      <c r="C85" s="19" t="s">
        <v>52</v>
      </c>
      <c r="D85" s="19" t="s">
        <v>57</v>
      </c>
      <c r="E85" s="19"/>
      <c r="F85" s="25">
        <v>0</v>
      </c>
      <c r="G85" s="25">
        <v>712</v>
      </c>
      <c r="H85" s="25">
        <f t="shared" si="1"/>
        <v>-937289.88000000012</v>
      </c>
    </row>
    <row r="86" spans="1:15" x14ac:dyDescent="0.3">
      <c r="A86" s="19" t="s">
        <v>70</v>
      </c>
      <c r="B86" s="20">
        <v>46107</v>
      </c>
      <c r="C86" s="19" t="s">
        <v>52</v>
      </c>
      <c r="D86" s="19" t="s">
        <v>57</v>
      </c>
      <c r="E86" s="19"/>
      <c r="F86" s="25">
        <v>0</v>
      </c>
      <c r="G86" s="25">
        <v>2244</v>
      </c>
      <c r="H86" s="25">
        <f t="shared" si="1"/>
        <v>-939533.88000000012</v>
      </c>
    </row>
    <row r="87" spans="1:15" x14ac:dyDescent="0.3">
      <c r="A87" s="19" t="s">
        <v>70</v>
      </c>
      <c r="B87" s="20">
        <v>46107</v>
      </c>
      <c r="C87" s="19" t="s">
        <v>52</v>
      </c>
      <c r="D87" s="19" t="s">
        <v>57</v>
      </c>
      <c r="E87" s="19"/>
      <c r="F87" s="25">
        <v>0</v>
      </c>
      <c r="G87" s="25">
        <v>32753</v>
      </c>
      <c r="H87" s="25">
        <f t="shared" si="1"/>
        <v>-972286.88000000012</v>
      </c>
      <c r="N87" s="44">
        <f>O88-1500487</f>
        <v>1327092</v>
      </c>
    </row>
    <row r="88" spans="1:15" x14ac:dyDescent="0.3">
      <c r="A88" s="26" t="s">
        <v>70</v>
      </c>
      <c r="B88" s="27">
        <v>46112</v>
      </c>
      <c r="C88" s="26" t="s">
        <v>52</v>
      </c>
      <c r="D88" s="26" t="s">
        <v>58</v>
      </c>
      <c r="E88" s="26" t="s">
        <v>238</v>
      </c>
      <c r="F88" s="28">
        <v>0</v>
      </c>
      <c r="G88" s="28">
        <v>528200.18999999994</v>
      </c>
      <c r="H88" s="28">
        <f t="shared" si="1"/>
        <v>-1500487.07</v>
      </c>
      <c r="O88" s="29">
        <v>2827579</v>
      </c>
    </row>
  </sheetData>
  <pageMargins left="0.7" right="0.7" top="0.75" bottom="0.75" header="0.3" footer="0.3"/>
  <headerFooter>
    <oddFooter>&amp;C_x000D_&amp;1#&amp;"Aptos"&amp;9&amp;K000000 Calificación: Publico, apto para su distribución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0B943-6317-4517-B8CE-FABDBF5B5F3F}">
  <sheetPr>
    <tabColor rgb="FF7030A0"/>
  </sheetPr>
  <dimension ref="A1:M13"/>
  <sheetViews>
    <sheetView workbookViewId="0">
      <selection activeCell="G24" sqref="G24"/>
    </sheetView>
  </sheetViews>
  <sheetFormatPr baseColWidth="10" defaultRowHeight="14" x14ac:dyDescent="0.3"/>
  <cols>
    <col min="6" max="6" width="20.5" customWidth="1"/>
  </cols>
  <sheetData>
    <row r="1" spans="1:13" x14ac:dyDescent="0.3">
      <c r="A1" t="s">
        <v>12</v>
      </c>
      <c r="B1" s="1">
        <v>46017</v>
      </c>
      <c r="C1" s="2">
        <v>4128</v>
      </c>
      <c r="D1" t="s">
        <v>13</v>
      </c>
      <c r="E1" t="s">
        <v>14</v>
      </c>
      <c r="H1" s="2">
        <v>719990</v>
      </c>
      <c r="I1" s="6">
        <v>-719990</v>
      </c>
    </row>
    <row r="2" spans="1:13" x14ac:dyDescent="0.3">
      <c r="A2" t="s">
        <v>34</v>
      </c>
      <c r="B2" s="1">
        <v>46036</v>
      </c>
      <c r="C2" s="2">
        <v>4199</v>
      </c>
      <c r="D2" t="s">
        <v>35</v>
      </c>
      <c r="E2" t="s">
        <v>14</v>
      </c>
      <c r="G2" s="2">
        <v>719990</v>
      </c>
      <c r="I2" s="2">
        <f>I1+G2-H2</f>
        <v>0</v>
      </c>
    </row>
    <row r="3" spans="1:13" x14ac:dyDescent="0.3">
      <c r="A3" t="s">
        <v>36</v>
      </c>
      <c r="B3" s="1">
        <v>46048</v>
      </c>
      <c r="C3" s="2">
        <v>4243</v>
      </c>
      <c r="D3" t="s">
        <v>13</v>
      </c>
      <c r="E3" t="s">
        <v>14</v>
      </c>
      <c r="H3" s="2">
        <v>86888</v>
      </c>
      <c r="I3" s="2">
        <f>I2+G3-H3</f>
        <v>-86888</v>
      </c>
    </row>
    <row r="4" spans="1:13" x14ac:dyDescent="0.3">
      <c r="A4" t="s">
        <v>161</v>
      </c>
      <c r="B4" s="1">
        <v>46065</v>
      </c>
      <c r="C4" s="2">
        <v>4309</v>
      </c>
      <c r="D4" t="s">
        <v>162</v>
      </c>
      <c r="E4" t="s">
        <v>14</v>
      </c>
      <c r="G4">
        <v>86888</v>
      </c>
      <c r="H4" s="2"/>
      <c r="I4" s="2">
        <f t="shared" ref="I4:I5" si="0">I3+G4-H4</f>
        <v>0</v>
      </c>
    </row>
    <row r="5" spans="1:13" x14ac:dyDescent="0.3">
      <c r="B5" s="1"/>
      <c r="C5" s="2"/>
      <c r="H5" s="2"/>
      <c r="I5" s="2">
        <f t="shared" si="0"/>
        <v>0</v>
      </c>
    </row>
    <row r="6" spans="1:13" x14ac:dyDescent="0.3">
      <c r="B6" s="1"/>
      <c r="C6" s="2"/>
      <c r="H6" s="2"/>
      <c r="I6" s="2"/>
    </row>
    <row r="10" spans="1:13" x14ac:dyDescent="0.3">
      <c r="A10" t="s">
        <v>12</v>
      </c>
      <c r="B10" s="1">
        <v>46017</v>
      </c>
      <c r="C10">
        <v>4128</v>
      </c>
      <c r="D10" t="s">
        <v>13</v>
      </c>
      <c r="E10" t="s">
        <v>14</v>
      </c>
      <c r="H10">
        <v>88.56</v>
      </c>
      <c r="I10" s="4">
        <f t="shared" ref="I10" si="1">I9+G10-H10</f>
        <v>-88.56</v>
      </c>
      <c r="J10" s="2">
        <f>-H10*907.13</f>
        <v>-80335.432799999995</v>
      </c>
      <c r="K10" s="5">
        <f>+J10+I1</f>
        <v>-800325.43279999995</v>
      </c>
      <c r="L10" s="2">
        <f>'14X'!N5+'14CM'!K10</f>
        <v>-185.43279999995138</v>
      </c>
      <c r="M10" t="s">
        <v>178</v>
      </c>
    </row>
    <row r="11" spans="1:13" x14ac:dyDescent="0.3">
      <c r="A11" t="s">
        <v>36</v>
      </c>
      <c r="B11" s="1">
        <v>46048</v>
      </c>
      <c r="C11" s="2">
        <v>4243</v>
      </c>
      <c r="D11" t="s">
        <v>13</v>
      </c>
      <c r="E11" t="s">
        <v>14</v>
      </c>
      <c r="G11">
        <v>88.56</v>
      </c>
      <c r="I11" s="10">
        <f>I10+G11-H11</f>
        <v>0</v>
      </c>
      <c r="J11">
        <f>I11*865.1</f>
        <v>0</v>
      </c>
      <c r="K11" s="5">
        <f>+J11+I3</f>
        <v>-86888</v>
      </c>
      <c r="L11" s="2">
        <f>'14X'!O6+'14CM'!K11</f>
        <v>0</v>
      </c>
      <c r="M11" t="s">
        <v>179</v>
      </c>
    </row>
    <row r="12" spans="1:13" x14ac:dyDescent="0.3">
      <c r="I12">
        <v>0</v>
      </c>
      <c r="J12">
        <f>I12*871.41</f>
        <v>0</v>
      </c>
      <c r="K12" s="5">
        <f>+J12+I4</f>
        <v>0</v>
      </c>
      <c r="L12" s="2">
        <f>'14X'!O8+'14CM'!K12</f>
        <v>0</v>
      </c>
      <c r="M12" t="s">
        <v>180</v>
      </c>
    </row>
    <row r="13" spans="1:13" x14ac:dyDescent="0.3">
      <c r="I13">
        <v>0</v>
      </c>
      <c r="J13" s="2">
        <f>I13*927.46</f>
        <v>0</v>
      </c>
      <c r="K13" s="5">
        <f>+J13+I5</f>
        <v>0</v>
      </c>
      <c r="L13" s="8">
        <f>'14X'!O10+'14CM'!K13</f>
        <v>0</v>
      </c>
      <c r="M13" t="s">
        <v>181</v>
      </c>
    </row>
  </sheetData>
  <pageMargins left="0.7" right="0.7" top="0.75" bottom="0.75" header="0.3" footer="0.3"/>
  <headerFooter>
    <oddFooter>&amp;C_x000D_&amp;1#&amp;"Aptos"&amp;9&amp;K000000 Calificación: Publico, apto para su distribución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FC75C-5E73-44B7-898D-3F01DFD7A099}">
  <dimension ref="A1:O10"/>
  <sheetViews>
    <sheetView workbookViewId="0">
      <selection activeCell="H15" sqref="H15"/>
    </sheetView>
  </sheetViews>
  <sheetFormatPr baseColWidth="10" defaultRowHeight="14" x14ac:dyDescent="0.3"/>
  <cols>
    <col min="6" max="8" width="11.19921875" style="23"/>
  </cols>
  <sheetData>
    <row r="1" spans="1:15" x14ac:dyDescent="0.3">
      <c r="A1" s="14" t="s">
        <v>44</v>
      </c>
      <c r="B1" s="14" t="s">
        <v>45</v>
      </c>
      <c r="C1" s="14" t="s">
        <v>46</v>
      </c>
      <c r="D1" s="14" t="s">
        <v>47</v>
      </c>
      <c r="E1" s="14" t="s">
        <v>48</v>
      </c>
      <c r="F1" s="22" t="s">
        <v>49</v>
      </c>
      <c r="G1" s="22" t="s">
        <v>50</v>
      </c>
    </row>
    <row r="2" spans="1:15" x14ac:dyDescent="0.3">
      <c r="A2" s="16" t="s">
        <v>90</v>
      </c>
      <c r="B2" s="17">
        <v>46036</v>
      </c>
      <c r="C2" s="16" t="s">
        <v>54</v>
      </c>
      <c r="D2" s="16" t="s">
        <v>91</v>
      </c>
      <c r="E2" s="16"/>
      <c r="F2" s="24">
        <v>719990</v>
      </c>
      <c r="G2" s="24">
        <v>0</v>
      </c>
      <c r="H2" s="23">
        <f>+F2</f>
        <v>719990</v>
      </c>
    </row>
    <row r="3" spans="1:15" x14ac:dyDescent="0.3">
      <c r="A3" s="19" t="s">
        <v>90</v>
      </c>
      <c r="B3" s="20">
        <v>46036</v>
      </c>
      <c r="C3" s="19" t="s">
        <v>52</v>
      </c>
      <c r="D3" s="19" t="s">
        <v>57</v>
      </c>
      <c r="E3" s="19"/>
      <c r="F3" s="25">
        <v>0</v>
      </c>
      <c r="G3" s="25">
        <v>704.66</v>
      </c>
      <c r="H3" s="23">
        <f>H2+F3-G3</f>
        <v>719285.34</v>
      </c>
    </row>
    <row r="4" spans="1:15" x14ac:dyDescent="0.3">
      <c r="A4" s="19" t="s">
        <v>90</v>
      </c>
      <c r="B4" s="20">
        <v>46050</v>
      </c>
      <c r="C4" s="19" t="s">
        <v>52</v>
      </c>
      <c r="D4" s="19" t="s">
        <v>57</v>
      </c>
      <c r="E4" s="19"/>
      <c r="F4" s="25">
        <v>0</v>
      </c>
      <c r="G4" s="25">
        <v>53</v>
      </c>
      <c r="H4" s="23">
        <f t="shared" ref="H4:H8" si="0">H3+F4-G4</f>
        <v>719232.34</v>
      </c>
    </row>
    <row r="5" spans="1:15" x14ac:dyDescent="0.3">
      <c r="A5" s="19" t="s">
        <v>90</v>
      </c>
      <c r="B5" s="20">
        <v>46050</v>
      </c>
      <c r="C5" s="19" t="s">
        <v>52</v>
      </c>
      <c r="D5" s="19" t="s">
        <v>57</v>
      </c>
      <c r="E5" s="19"/>
      <c r="F5" s="25">
        <v>0</v>
      </c>
      <c r="G5" s="25">
        <v>3971</v>
      </c>
      <c r="H5" s="23">
        <f t="shared" si="0"/>
        <v>715261.34</v>
      </c>
      <c r="N5">
        <f>O6+713252</f>
        <v>800140</v>
      </c>
    </row>
    <row r="6" spans="1:15" s="30" customFormat="1" x14ac:dyDescent="0.3">
      <c r="A6" s="26" t="s">
        <v>90</v>
      </c>
      <c r="B6" s="27">
        <v>46050</v>
      </c>
      <c r="C6" s="26" t="s">
        <v>52</v>
      </c>
      <c r="D6" s="26" t="s">
        <v>57</v>
      </c>
      <c r="E6" s="26"/>
      <c r="F6" s="28">
        <v>0</v>
      </c>
      <c r="G6" s="28">
        <v>2009</v>
      </c>
      <c r="H6" s="29">
        <f t="shared" si="0"/>
        <v>713252.34</v>
      </c>
      <c r="O6" s="30">
        <v>86888</v>
      </c>
    </row>
    <row r="7" spans="1:15" x14ac:dyDescent="0.3">
      <c r="A7" s="19" t="s">
        <v>90</v>
      </c>
      <c r="B7" s="20">
        <v>46065</v>
      </c>
      <c r="C7" s="19" t="s">
        <v>54</v>
      </c>
      <c r="D7" s="19" t="s">
        <v>91</v>
      </c>
      <c r="E7" s="19" t="s">
        <v>240</v>
      </c>
      <c r="F7" s="25">
        <v>86888</v>
      </c>
      <c r="G7" s="25">
        <v>0</v>
      </c>
      <c r="H7" s="29">
        <f t="shared" si="0"/>
        <v>800140.34</v>
      </c>
      <c r="N7">
        <f>O8+800140</f>
        <v>800140</v>
      </c>
    </row>
    <row r="8" spans="1:15" x14ac:dyDescent="0.3">
      <c r="H8" s="29">
        <f t="shared" si="0"/>
        <v>800140.34</v>
      </c>
      <c r="O8">
        <v>0</v>
      </c>
    </row>
    <row r="9" spans="1:15" x14ac:dyDescent="0.3">
      <c r="N9">
        <f>O10+840140</f>
        <v>840140</v>
      </c>
    </row>
    <row r="10" spans="1:15" x14ac:dyDescent="0.3">
      <c r="O10">
        <v>0</v>
      </c>
    </row>
  </sheetData>
  <pageMargins left="0.7" right="0.7" top="0.75" bottom="0.75" header="0.3" footer="0.3"/>
  <headerFooter>
    <oddFooter>&amp;C_x000D_&amp;1#&amp;"Aptos"&amp;9&amp;K000000 Calificación: Publico, apto para su distribución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070EA-E1CB-4781-B638-6A2D3A9669A4}">
  <sheetPr>
    <tabColor rgb="FF7030A0"/>
  </sheetPr>
  <dimension ref="A1:K16"/>
  <sheetViews>
    <sheetView workbookViewId="0">
      <selection activeCell="I22" sqref="I22"/>
    </sheetView>
  </sheetViews>
  <sheetFormatPr baseColWidth="10" defaultRowHeight="14" x14ac:dyDescent="0.3"/>
  <cols>
    <col min="4" max="4" width="34.59765625" customWidth="1"/>
    <col min="5" max="5" width="19.09765625" bestFit="1" customWidth="1"/>
  </cols>
  <sheetData>
    <row r="1" spans="1:11" ht="14.55" thickBot="1" x14ac:dyDescent="0.35">
      <c r="A1" t="s">
        <v>18</v>
      </c>
      <c r="B1" s="1">
        <v>46017</v>
      </c>
      <c r="C1" s="2">
        <v>4062</v>
      </c>
      <c r="D1" t="s">
        <v>19</v>
      </c>
      <c r="E1" t="s">
        <v>20</v>
      </c>
      <c r="F1" s="2">
        <v>71962</v>
      </c>
      <c r="H1" s="6">
        <v>71962</v>
      </c>
      <c r="I1" s="36" t="s">
        <v>146</v>
      </c>
      <c r="J1" s="38"/>
      <c r="K1" s="37">
        <f>1349829-1277867</f>
        <v>71962</v>
      </c>
    </row>
    <row r="2" spans="1:11" x14ac:dyDescent="0.3">
      <c r="B2" s="1">
        <v>46023</v>
      </c>
      <c r="C2" s="2"/>
      <c r="E2" t="s">
        <v>20</v>
      </c>
      <c r="F2" s="2"/>
      <c r="G2">
        <v>71962</v>
      </c>
      <c r="H2" s="2">
        <f>H1+F2-G2</f>
        <v>0</v>
      </c>
      <c r="I2" s="45"/>
      <c r="J2" s="45"/>
      <c r="K2" s="45"/>
    </row>
    <row r="3" spans="1:11" x14ac:dyDescent="0.3">
      <c r="A3" t="s">
        <v>37</v>
      </c>
      <c r="B3" s="1">
        <v>46049</v>
      </c>
      <c r="C3" s="2">
        <v>4316</v>
      </c>
      <c r="D3" t="s">
        <v>143</v>
      </c>
      <c r="E3" t="s">
        <v>20</v>
      </c>
      <c r="G3" s="2">
        <v>14910</v>
      </c>
      <c r="H3" s="2">
        <f t="shared" ref="H3:H12" si="0">H2+F3-G3</f>
        <v>-14910</v>
      </c>
    </row>
    <row r="4" spans="1:11" x14ac:dyDescent="0.3">
      <c r="B4" s="1">
        <v>46051</v>
      </c>
      <c r="C4" s="2">
        <v>4317</v>
      </c>
      <c r="D4" t="s">
        <v>144</v>
      </c>
      <c r="E4" t="s">
        <v>20</v>
      </c>
      <c r="G4" s="2">
        <v>46725</v>
      </c>
      <c r="H4" s="2">
        <f t="shared" si="0"/>
        <v>-61635</v>
      </c>
    </row>
    <row r="5" spans="1:11" x14ac:dyDescent="0.3">
      <c r="B5" s="1">
        <v>46053</v>
      </c>
      <c r="C5" s="2">
        <v>4249</v>
      </c>
      <c r="D5" t="s">
        <v>38</v>
      </c>
      <c r="E5" t="s">
        <v>20</v>
      </c>
      <c r="G5" s="2">
        <v>303651</v>
      </c>
      <c r="H5" s="2">
        <f t="shared" si="0"/>
        <v>-365286</v>
      </c>
      <c r="I5" s="5">
        <f>+H1</f>
        <v>71962</v>
      </c>
      <c r="J5" s="2">
        <f>'15X'!N17+'15JM'!I5</f>
        <v>71962</v>
      </c>
      <c r="K5" t="s">
        <v>178</v>
      </c>
    </row>
    <row r="6" spans="1:11" x14ac:dyDescent="0.3">
      <c r="B6" s="1">
        <v>46053</v>
      </c>
      <c r="C6" s="2">
        <v>4322</v>
      </c>
      <c r="D6" t="s">
        <v>145</v>
      </c>
      <c r="E6" t="s">
        <v>20</v>
      </c>
      <c r="G6" s="2">
        <v>984543</v>
      </c>
      <c r="H6" s="2">
        <f t="shared" si="0"/>
        <v>-1349829</v>
      </c>
      <c r="I6" s="5">
        <f>+H6</f>
        <v>-1349829</v>
      </c>
      <c r="J6" s="2">
        <f>'15X'!O19+'15JM'!I6</f>
        <v>0</v>
      </c>
      <c r="K6" t="s">
        <v>179</v>
      </c>
    </row>
    <row r="7" spans="1:11" x14ac:dyDescent="0.3">
      <c r="A7" t="s">
        <v>166</v>
      </c>
      <c r="B7" s="1">
        <v>46065</v>
      </c>
      <c r="C7" s="2">
        <v>4311</v>
      </c>
      <c r="D7" t="s">
        <v>167</v>
      </c>
      <c r="E7" t="s">
        <v>20</v>
      </c>
      <c r="F7" s="2">
        <v>303651</v>
      </c>
      <c r="H7" s="2">
        <f t="shared" si="0"/>
        <v>-1046178</v>
      </c>
    </row>
    <row r="8" spans="1:11" x14ac:dyDescent="0.3">
      <c r="A8" t="s">
        <v>168</v>
      </c>
      <c r="B8" s="1">
        <v>46078</v>
      </c>
      <c r="C8" s="2">
        <v>4454</v>
      </c>
      <c r="D8" t="s">
        <v>38</v>
      </c>
      <c r="E8" t="s">
        <v>20</v>
      </c>
      <c r="G8" s="23">
        <v>1050155</v>
      </c>
      <c r="H8" s="2">
        <f t="shared" si="0"/>
        <v>-2096333</v>
      </c>
    </row>
    <row r="9" spans="1:11" x14ac:dyDescent="0.3">
      <c r="A9" t="s">
        <v>168</v>
      </c>
      <c r="B9" s="1">
        <v>46078</v>
      </c>
      <c r="C9" s="2">
        <v>4454</v>
      </c>
      <c r="D9" t="s">
        <v>38</v>
      </c>
      <c r="E9" t="s">
        <v>20</v>
      </c>
      <c r="F9" s="2">
        <v>984543</v>
      </c>
      <c r="H9" s="2">
        <f t="shared" si="0"/>
        <v>-1111790</v>
      </c>
    </row>
    <row r="10" spans="1:11" x14ac:dyDescent="0.3">
      <c r="B10" s="1">
        <v>46078</v>
      </c>
      <c r="C10" s="2">
        <v>4454</v>
      </c>
      <c r="D10" t="s">
        <v>38</v>
      </c>
      <c r="E10" t="s">
        <v>20</v>
      </c>
      <c r="F10" s="2">
        <v>14910</v>
      </c>
      <c r="H10" s="2">
        <f t="shared" si="0"/>
        <v>-1096880</v>
      </c>
    </row>
    <row r="11" spans="1:11" x14ac:dyDescent="0.3">
      <c r="A11" t="s">
        <v>168</v>
      </c>
      <c r="B11" s="1">
        <v>46078</v>
      </c>
      <c r="C11" s="2">
        <v>4454</v>
      </c>
      <c r="D11" t="s">
        <v>38</v>
      </c>
      <c r="E11" t="s">
        <v>20</v>
      </c>
      <c r="F11" s="2">
        <v>46725</v>
      </c>
      <c r="H11" s="2">
        <f t="shared" si="0"/>
        <v>-1050155</v>
      </c>
      <c r="I11" s="5">
        <f>+H11</f>
        <v>-1050155</v>
      </c>
      <c r="J11" s="2">
        <f>'15X'!O21+'15JM'!I11</f>
        <v>0</v>
      </c>
      <c r="K11" t="s">
        <v>180</v>
      </c>
    </row>
    <row r="12" spans="1:11" x14ac:dyDescent="0.3">
      <c r="A12" t="s">
        <v>241</v>
      </c>
      <c r="B12" s="1">
        <v>46093</v>
      </c>
      <c r="C12" s="2">
        <v>4436</v>
      </c>
      <c r="D12" t="s">
        <v>242</v>
      </c>
      <c r="E12" t="s">
        <v>20</v>
      </c>
      <c r="F12" s="2">
        <v>1050155</v>
      </c>
      <c r="H12" s="2">
        <f t="shared" si="0"/>
        <v>0</v>
      </c>
      <c r="I12" s="5">
        <f>+H12</f>
        <v>0</v>
      </c>
      <c r="J12" s="2">
        <f>'15X'!O22+'15JM'!I12</f>
        <v>0</v>
      </c>
      <c r="K12" t="s">
        <v>181</v>
      </c>
    </row>
    <row r="16" spans="1:11" x14ac:dyDescent="0.3">
      <c r="G16" s="2"/>
    </row>
  </sheetData>
  <pageMargins left="0.7" right="0.7" top="0.75" bottom="0.75" header="0.3" footer="0.3"/>
  <headerFooter>
    <oddFooter>&amp;C_x000D_&amp;1#&amp;"Aptos"&amp;9&amp;K000000 Calificación: Publico, apto para su distribución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143B9-D108-48E5-B295-E96018AFD31F}">
  <dimension ref="A1:P22"/>
  <sheetViews>
    <sheetView workbookViewId="0">
      <selection activeCell="G15" activeCellId="1" sqref="G18:G21 G15"/>
    </sheetView>
  </sheetViews>
  <sheetFormatPr baseColWidth="10" defaultRowHeight="14" x14ac:dyDescent="0.3"/>
  <cols>
    <col min="6" max="8" width="11.19921875" style="23"/>
  </cols>
  <sheetData>
    <row r="1" spans="1:8" x14ac:dyDescent="0.3">
      <c r="A1" s="14" t="s">
        <v>44</v>
      </c>
      <c r="B1" s="14" t="s">
        <v>45</v>
      </c>
      <c r="C1" s="14" t="s">
        <v>46</v>
      </c>
      <c r="D1" s="14" t="s">
        <v>47</v>
      </c>
      <c r="E1" s="14" t="s">
        <v>48</v>
      </c>
      <c r="F1" s="22" t="s">
        <v>49</v>
      </c>
      <c r="G1" s="22" t="s">
        <v>50</v>
      </c>
    </row>
    <row r="2" spans="1:8" x14ac:dyDescent="0.3">
      <c r="A2" s="16" t="s">
        <v>92</v>
      </c>
      <c r="B2" s="17">
        <v>46034</v>
      </c>
      <c r="C2" s="16" t="s">
        <v>52</v>
      </c>
      <c r="D2" s="16" t="s">
        <v>58</v>
      </c>
      <c r="E2" s="16" t="s">
        <v>93</v>
      </c>
      <c r="F2" s="24">
        <v>0</v>
      </c>
      <c r="G2" s="47">
        <v>14730</v>
      </c>
      <c r="H2" s="23">
        <f>-G2</f>
        <v>-14730</v>
      </c>
    </row>
    <row r="3" spans="1:8" x14ac:dyDescent="0.3">
      <c r="A3" s="19" t="s">
        <v>92</v>
      </c>
      <c r="B3" s="20">
        <v>46035</v>
      </c>
      <c r="C3" s="19" t="s">
        <v>52</v>
      </c>
      <c r="D3" s="19" t="s">
        <v>58</v>
      </c>
      <c r="E3" s="19" t="s">
        <v>94</v>
      </c>
      <c r="F3" s="25">
        <v>0</v>
      </c>
      <c r="G3" s="48">
        <v>14130</v>
      </c>
      <c r="H3" s="23">
        <f>H2+F3-G3</f>
        <v>-28860</v>
      </c>
    </row>
    <row r="4" spans="1:8" x14ac:dyDescent="0.3">
      <c r="A4" s="19" t="s">
        <v>92</v>
      </c>
      <c r="B4" s="20">
        <v>46036</v>
      </c>
      <c r="C4" s="19" t="s">
        <v>52</v>
      </c>
      <c r="D4" s="19" t="s">
        <v>58</v>
      </c>
      <c r="E4" s="19" t="s">
        <v>95</v>
      </c>
      <c r="F4" s="25">
        <v>0</v>
      </c>
      <c r="G4" s="48">
        <v>13980</v>
      </c>
      <c r="H4" s="23">
        <f t="shared" ref="H4:H19" si="0">H3+F4-G4</f>
        <v>-42840</v>
      </c>
    </row>
    <row r="5" spans="1:8" x14ac:dyDescent="0.3">
      <c r="A5" s="19" t="s">
        <v>92</v>
      </c>
      <c r="B5" s="20">
        <v>46036</v>
      </c>
      <c r="C5" s="19" t="s">
        <v>52</v>
      </c>
      <c r="D5" s="19" t="s">
        <v>58</v>
      </c>
      <c r="E5" s="19" t="s">
        <v>96</v>
      </c>
      <c r="F5" s="25">
        <v>0</v>
      </c>
      <c r="G5" s="48">
        <v>48655</v>
      </c>
      <c r="H5" s="23">
        <f t="shared" si="0"/>
        <v>-91495</v>
      </c>
    </row>
    <row r="6" spans="1:8" x14ac:dyDescent="0.3">
      <c r="A6" s="19" t="s">
        <v>92</v>
      </c>
      <c r="B6" s="20">
        <v>46037</v>
      </c>
      <c r="C6" s="19" t="s">
        <v>52</v>
      </c>
      <c r="D6" s="19" t="s">
        <v>58</v>
      </c>
      <c r="E6" s="19" t="s">
        <v>97</v>
      </c>
      <c r="F6" s="25">
        <v>0</v>
      </c>
      <c r="G6" s="48">
        <v>15180</v>
      </c>
      <c r="H6" s="23">
        <f t="shared" si="0"/>
        <v>-106675</v>
      </c>
    </row>
    <row r="7" spans="1:8" x14ac:dyDescent="0.3">
      <c r="A7" s="19" t="s">
        <v>92</v>
      </c>
      <c r="B7" s="20">
        <v>46037</v>
      </c>
      <c r="C7" s="19" t="s">
        <v>52</v>
      </c>
      <c r="D7" s="19" t="s">
        <v>58</v>
      </c>
      <c r="E7" s="19" t="s">
        <v>98</v>
      </c>
      <c r="F7" s="25">
        <v>0</v>
      </c>
      <c r="G7" s="48">
        <v>9390</v>
      </c>
      <c r="H7" s="23">
        <f t="shared" si="0"/>
        <v>-116065</v>
      </c>
    </row>
    <row r="8" spans="1:8" x14ac:dyDescent="0.3">
      <c r="A8" s="19" t="s">
        <v>92</v>
      </c>
      <c r="B8" s="20">
        <v>46041</v>
      </c>
      <c r="C8" s="19" t="s">
        <v>52</v>
      </c>
      <c r="D8" s="19" t="s">
        <v>58</v>
      </c>
      <c r="E8" s="19" t="s">
        <v>99</v>
      </c>
      <c r="F8" s="25">
        <v>0</v>
      </c>
      <c r="G8" s="48">
        <v>14220</v>
      </c>
      <c r="H8" s="23">
        <f t="shared" si="0"/>
        <v>-130285</v>
      </c>
    </row>
    <row r="9" spans="1:8" x14ac:dyDescent="0.3">
      <c r="A9" s="19" t="s">
        <v>92</v>
      </c>
      <c r="B9" s="20">
        <v>46042</v>
      </c>
      <c r="C9" s="19" t="s">
        <v>52</v>
      </c>
      <c r="D9" s="19" t="s">
        <v>58</v>
      </c>
      <c r="E9" s="19" t="s">
        <v>100</v>
      </c>
      <c r="F9" s="25">
        <v>0</v>
      </c>
      <c r="G9" s="48">
        <v>49715</v>
      </c>
      <c r="H9" s="23">
        <f t="shared" si="0"/>
        <v>-180000</v>
      </c>
    </row>
    <row r="10" spans="1:8" x14ac:dyDescent="0.3">
      <c r="A10" s="19" t="s">
        <v>92</v>
      </c>
      <c r="B10" s="20">
        <v>46042</v>
      </c>
      <c r="C10" s="19" t="s">
        <v>52</v>
      </c>
      <c r="D10" s="19" t="s">
        <v>58</v>
      </c>
      <c r="E10" s="19" t="s">
        <v>101</v>
      </c>
      <c r="F10" s="25">
        <v>0</v>
      </c>
      <c r="G10" s="48">
        <v>13410</v>
      </c>
      <c r="H10" s="23">
        <f t="shared" si="0"/>
        <v>-193410</v>
      </c>
    </row>
    <row r="11" spans="1:8" x14ac:dyDescent="0.3">
      <c r="A11" s="19" t="s">
        <v>92</v>
      </c>
      <c r="B11" s="20">
        <v>46043</v>
      </c>
      <c r="C11" s="19" t="s">
        <v>52</v>
      </c>
      <c r="D11" s="19" t="s">
        <v>58</v>
      </c>
      <c r="E11" s="19" t="s">
        <v>102</v>
      </c>
      <c r="F11" s="25">
        <v>0</v>
      </c>
      <c r="G11" s="48">
        <v>14700</v>
      </c>
      <c r="H11" s="23">
        <f t="shared" si="0"/>
        <v>-208110</v>
      </c>
    </row>
    <row r="12" spans="1:8" x14ac:dyDescent="0.3">
      <c r="A12" s="19" t="s">
        <v>92</v>
      </c>
      <c r="B12" s="20">
        <v>46044</v>
      </c>
      <c r="C12" s="19" t="s">
        <v>52</v>
      </c>
      <c r="D12" s="19" t="s">
        <v>58</v>
      </c>
      <c r="E12" s="19" t="s">
        <v>103</v>
      </c>
      <c r="F12" s="25">
        <v>0</v>
      </c>
      <c r="G12" s="48">
        <v>13710</v>
      </c>
      <c r="H12" s="23">
        <f t="shared" si="0"/>
        <v>-221820</v>
      </c>
    </row>
    <row r="13" spans="1:8" x14ac:dyDescent="0.3">
      <c r="A13" s="19" t="s">
        <v>92</v>
      </c>
      <c r="B13" s="20">
        <v>46048</v>
      </c>
      <c r="C13" s="19" t="s">
        <v>52</v>
      </c>
      <c r="D13" s="19" t="s">
        <v>58</v>
      </c>
      <c r="E13" s="19" t="s">
        <v>104</v>
      </c>
      <c r="F13" s="25">
        <v>0</v>
      </c>
      <c r="G13" s="48">
        <v>48880</v>
      </c>
      <c r="H13" s="23">
        <f t="shared" si="0"/>
        <v>-270700</v>
      </c>
    </row>
    <row r="14" spans="1:8" x14ac:dyDescent="0.3">
      <c r="A14" s="19" t="s">
        <v>92</v>
      </c>
      <c r="B14" s="20">
        <v>46048</v>
      </c>
      <c r="C14" s="19" t="s">
        <v>52</v>
      </c>
      <c r="D14" s="19" t="s">
        <v>58</v>
      </c>
      <c r="E14" s="19" t="s">
        <v>105</v>
      </c>
      <c r="F14" s="25">
        <v>0</v>
      </c>
      <c r="G14" s="48">
        <v>14070</v>
      </c>
      <c r="H14" s="23">
        <f t="shared" si="0"/>
        <v>-284770</v>
      </c>
    </row>
    <row r="15" spans="1:8" x14ac:dyDescent="0.3">
      <c r="A15" s="19" t="s">
        <v>92</v>
      </c>
      <c r="B15" s="20">
        <v>46049</v>
      </c>
      <c r="C15" s="19" t="s">
        <v>52</v>
      </c>
      <c r="D15" s="19" t="s">
        <v>58</v>
      </c>
      <c r="E15" s="19" t="s">
        <v>106</v>
      </c>
      <c r="F15" s="25">
        <v>0</v>
      </c>
      <c r="G15" s="25">
        <v>14910</v>
      </c>
      <c r="H15" s="23">
        <f t="shared" si="0"/>
        <v>-299680</v>
      </c>
    </row>
    <row r="16" spans="1:8" x14ac:dyDescent="0.3">
      <c r="A16" s="19" t="s">
        <v>92</v>
      </c>
      <c r="B16" s="20">
        <v>46050</v>
      </c>
      <c r="C16" s="19" t="s">
        <v>52</v>
      </c>
      <c r="D16" s="19" t="s">
        <v>58</v>
      </c>
      <c r="E16" s="19" t="s">
        <v>107</v>
      </c>
      <c r="F16" s="25">
        <v>0</v>
      </c>
      <c r="G16" s="48">
        <v>14910</v>
      </c>
      <c r="H16" s="23">
        <f t="shared" si="0"/>
        <v>-314590</v>
      </c>
    </row>
    <row r="17" spans="1:16" x14ac:dyDescent="0.3">
      <c r="A17" s="19" t="s">
        <v>92</v>
      </c>
      <c r="B17" s="20">
        <v>46050</v>
      </c>
      <c r="C17" s="19" t="s">
        <v>52</v>
      </c>
      <c r="D17" s="19" t="s">
        <v>57</v>
      </c>
      <c r="E17" s="19"/>
      <c r="F17" s="25">
        <v>0</v>
      </c>
      <c r="G17" s="48">
        <v>3971</v>
      </c>
      <c r="H17" s="23">
        <f t="shared" si="0"/>
        <v>-318561</v>
      </c>
      <c r="N17" s="43">
        <f>O19-1349829</f>
        <v>0</v>
      </c>
    </row>
    <row r="18" spans="1:16" x14ac:dyDescent="0.3">
      <c r="A18" s="19" t="s">
        <v>92</v>
      </c>
      <c r="B18" s="20">
        <v>46051</v>
      </c>
      <c r="C18" s="19" t="s">
        <v>52</v>
      </c>
      <c r="D18" s="19" t="s">
        <v>58</v>
      </c>
      <c r="E18" s="19" t="s">
        <v>104</v>
      </c>
      <c r="F18" s="25">
        <v>0</v>
      </c>
      <c r="G18" s="25">
        <v>46725</v>
      </c>
      <c r="H18" s="23">
        <f t="shared" si="0"/>
        <v>-365286</v>
      </c>
    </row>
    <row r="19" spans="1:16" s="30" customFormat="1" x14ac:dyDescent="0.3">
      <c r="A19" s="26" t="s">
        <v>92</v>
      </c>
      <c r="B19" s="27">
        <v>46052</v>
      </c>
      <c r="C19" s="26" t="s">
        <v>52</v>
      </c>
      <c r="D19" s="26" t="s">
        <v>58</v>
      </c>
      <c r="E19" s="26" t="s">
        <v>108</v>
      </c>
      <c r="F19" s="28">
        <v>0</v>
      </c>
      <c r="G19" s="28">
        <v>984543</v>
      </c>
      <c r="H19" s="29">
        <f t="shared" si="0"/>
        <v>-1349829</v>
      </c>
      <c r="O19" s="29">
        <v>1349829</v>
      </c>
      <c r="P19" s="44">
        <f>O19-1349829</f>
        <v>0</v>
      </c>
    </row>
    <row r="20" spans="1:16" x14ac:dyDescent="0.3">
      <c r="A20" s="19" t="s">
        <v>92</v>
      </c>
      <c r="B20" s="20">
        <v>46065</v>
      </c>
      <c r="C20" s="19" t="s">
        <v>54</v>
      </c>
      <c r="D20" s="19" t="s">
        <v>243</v>
      </c>
      <c r="E20" s="19" t="s">
        <v>244</v>
      </c>
      <c r="F20" s="48">
        <v>303651</v>
      </c>
      <c r="G20" s="25">
        <v>0</v>
      </c>
      <c r="H20" s="25">
        <f t="shared" ref="H20:H22" si="1">((H19 + F20) - G20)</f>
        <v>-1046178</v>
      </c>
    </row>
    <row r="21" spans="1:16" x14ac:dyDescent="0.3">
      <c r="A21" s="19" t="s">
        <v>92</v>
      </c>
      <c r="B21" s="20">
        <v>46078</v>
      </c>
      <c r="C21" s="19" t="s">
        <v>52</v>
      </c>
      <c r="D21" s="19" t="s">
        <v>57</v>
      </c>
      <c r="E21" s="19"/>
      <c r="F21" s="25">
        <v>0</v>
      </c>
      <c r="G21" s="25">
        <v>3977</v>
      </c>
      <c r="H21" s="25">
        <f t="shared" si="1"/>
        <v>-1050155</v>
      </c>
      <c r="O21" s="29">
        <v>1050155</v>
      </c>
      <c r="P21" s="43">
        <f>O21-1050155</f>
        <v>0</v>
      </c>
    </row>
    <row r="22" spans="1:16" x14ac:dyDescent="0.3">
      <c r="A22" s="19" t="s">
        <v>92</v>
      </c>
      <c r="B22" s="20">
        <v>46093</v>
      </c>
      <c r="C22" s="19" t="s">
        <v>54</v>
      </c>
      <c r="D22" s="19" t="s">
        <v>243</v>
      </c>
      <c r="E22" s="19" t="s">
        <v>245</v>
      </c>
      <c r="F22" s="25">
        <v>1050155</v>
      </c>
      <c r="G22" s="25">
        <v>0</v>
      </c>
      <c r="H22" s="25">
        <f t="shared" si="1"/>
        <v>0</v>
      </c>
      <c r="O22" s="29">
        <v>0</v>
      </c>
      <c r="P22" s="43">
        <f>O22-0</f>
        <v>0</v>
      </c>
    </row>
  </sheetData>
  <pageMargins left="0.7" right="0.7" top="0.75" bottom="0.75" header="0.3" footer="0.3"/>
  <headerFooter>
    <oddFooter>&amp;C_x000D_&amp;1#&amp;"Aptos"&amp;9&amp;K000000 Calificación: Publico, apto para su distribución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47136-CDDC-4A3C-8726-78D0478E5801}">
  <sheetPr>
    <tabColor rgb="FF7030A0"/>
  </sheetPr>
  <dimension ref="A1:P17"/>
  <sheetViews>
    <sheetView tabSelected="1" workbookViewId="0">
      <selection activeCell="I8" sqref="I8"/>
    </sheetView>
  </sheetViews>
  <sheetFormatPr baseColWidth="10" defaultRowHeight="14" x14ac:dyDescent="0.3"/>
  <cols>
    <col min="5" max="5" width="22.3984375" bestFit="1" customWidth="1"/>
  </cols>
  <sheetData>
    <row r="1" spans="1:16" x14ac:dyDescent="0.3">
      <c r="A1" t="s">
        <v>15</v>
      </c>
      <c r="B1" s="1">
        <v>46017</v>
      </c>
      <c r="C1" s="2">
        <v>4131</v>
      </c>
      <c r="D1" t="s">
        <v>16</v>
      </c>
      <c r="E1" t="s">
        <v>17</v>
      </c>
      <c r="G1" s="2">
        <v>752789</v>
      </c>
      <c r="H1" s="6">
        <v>-752789</v>
      </c>
      <c r="L1" s="7">
        <f>+H1+'15JM'!H1+'14CM'!I1+'13CW'!H1+'12FM'!H1+'11SC'!H1+'9KA'!H1</f>
        <v>-3753242</v>
      </c>
      <c r="M1" t="s">
        <v>42</v>
      </c>
    </row>
    <row r="2" spans="1:16" x14ac:dyDescent="0.3">
      <c r="A2" t="s">
        <v>39</v>
      </c>
      <c r="B2" s="1">
        <v>46036</v>
      </c>
      <c r="C2" s="2">
        <v>4195</v>
      </c>
      <c r="D2" t="s">
        <v>40</v>
      </c>
      <c r="E2" t="s">
        <v>17</v>
      </c>
      <c r="F2" s="2">
        <v>752789</v>
      </c>
      <c r="H2" s="2">
        <f>H1+F2-G2</f>
        <v>0</v>
      </c>
    </row>
    <row r="3" spans="1:16" x14ac:dyDescent="0.3">
      <c r="A3" t="s">
        <v>41</v>
      </c>
      <c r="B3" s="1">
        <v>46048</v>
      </c>
      <c r="C3" s="2">
        <v>4246</v>
      </c>
      <c r="D3" t="s">
        <v>16</v>
      </c>
      <c r="E3" t="s">
        <v>17</v>
      </c>
      <c r="G3" s="2">
        <v>146634</v>
      </c>
      <c r="H3" s="2">
        <f>H2+F3-G3</f>
        <v>-146634</v>
      </c>
      <c r="L3" s="11">
        <f>+H3+'15JM'!H3+'14CM'!I3+'13CW'!H4+'12FM'!H3+'11SC'!H4+'9KA'!H4-217460</f>
        <v>-3637795</v>
      </c>
      <c r="M3" s="12" t="s">
        <v>43</v>
      </c>
    </row>
    <row r="4" spans="1:16" x14ac:dyDescent="0.3">
      <c r="A4" t="s">
        <v>152</v>
      </c>
      <c r="B4" s="1">
        <v>46065</v>
      </c>
      <c r="C4" s="2">
        <v>4306</v>
      </c>
      <c r="D4" t="s">
        <v>153</v>
      </c>
      <c r="E4" t="s">
        <v>17</v>
      </c>
      <c r="F4">
        <v>146634</v>
      </c>
      <c r="G4" s="2"/>
      <c r="H4" s="2">
        <f t="shared" ref="H4:H7" si="0">H3+F4-G4</f>
        <v>0</v>
      </c>
      <c r="L4" s="2"/>
    </row>
    <row r="5" spans="1:16" x14ac:dyDescent="0.3">
      <c r="A5" t="s">
        <v>154</v>
      </c>
      <c r="B5" s="1">
        <v>46078</v>
      </c>
      <c r="C5" s="2">
        <v>4456</v>
      </c>
      <c r="D5" t="s">
        <v>16</v>
      </c>
      <c r="E5" t="s">
        <v>17</v>
      </c>
      <c r="G5" s="2">
        <v>44849</v>
      </c>
      <c r="H5" s="2">
        <f t="shared" si="0"/>
        <v>-44849</v>
      </c>
      <c r="L5" s="2"/>
    </row>
    <row r="6" spans="1:16" x14ac:dyDescent="0.3">
      <c r="A6" t="s">
        <v>246</v>
      </c>
      <c r="B6" s="1">
        <v>46093</v>
      </c>
      <c r="C6" s="2">
        <v>4438</v>
      </c>
      <c r="D6" t="s">
        <v>195</v>
      </c>
      <c r="E6" t="s">
        <v>17</v>
      </c>
      <c r="F6" s="2">
        <v>44849</v>
      </c>
      <c r="G6" s="2"/>
      <c r="H6" s="2">
        <f t="shared" si="0"/>
        <v>0</v>
      </c>
      <c r="L6" s="2"/>
    </row>
    <row r="7" spans="1:16" x14ac:dyDescent="0.3">
      <c r="A7" t="s">
        <v>247</v>
      </c>
      <c r="B7" s="1">
        <v>46107</v>
      </c>
      <c r="C7" s="2">
        <v>4594</v>
      </c>
      <c r="D7" t="s">
        <v>16</v>
      </c>
      <c r="E7" t="s">
        <v>17</v>
      </c>
      <c r="G7" s="2">
        <v>775062</v>
      </c>
      <c r="H7" s="2">
        <f t="shared" si="0"/>
        <v>-775062</v>
      </c>
      <c r="I7" s="2">
        <f>+H7+'15JM'!I12+'14CM'!I5+'13CW'!H17+'12FM'!H7+'11SC'!H8+'9KA'!H8</f>
        <v>-6141590</v>
      </c>
    </row>
    <row r="13" spans="1:16" x14ac:dyDescent="0.3">
      <c r="A13" t="s">
        <v>15</v>
      </c>
      <c r="B13" s="1">
        <v>46017</v>
      </c>
      <c r="C13" s="2">
        <v>4131</v>
      </c>
      <c r="D13" t="s">
        <v>16</v>
      </c>
      <c r="E13" t="s">
        <v>17</v>
      </c>
      <c r="G13">
        <v>103.08</v>
      </c>
      <c r="H13" s="4">
        <f>H12+F13-G13</f>
        <v>-103.08</v>
      </c>
      <c r="I13" s="2">
        <f>-G13*907.13</f>
        <v>-93506.960399999996</v>
      </c>
      <c r="J13" s="5">
        <f>+I13+H1</f>
        <v>-846295.96039999998</v>
      </c>
      <c r="K13" s="43">
        <f>'54X'!N76+'54MP'!J13</f>
        <v>-195913.96039999998</v>
      </c>
      <c r="L13" t="s">
        <v>178</v>
      </c>
      <c r="M13" s="10">
        <f>+H13+'14CM'!I10+'13CW'!H20+'12FM'!H13+'11SC'!H14+'9KA'!H14</f>
        <v>-1153.68</v>
      </c>
      <c r="N13" s="7">
        <f>+I13+'14CM'!J10+'13CW'!I20+'12FM'!I13+'11SC'!I14+'9KA'!I14</f>
        <v>-1046537.7383999999</v>
      </c>
      <c r="O13" s="7">
        <f>+J13+'14CM'!K10+'13CW'!J20+'12FM'!J13+'11SC'!J14+'9KA'!J14+'15JM'!H1</f>
        <v>-4799779.7384000001</v>
      </c>
      <c r="P13" t="s">
        <v>42</v>
      </c>
    </row>
    <row r="14" spans="1:16" x14ac:dyDescent="0.3">
      <c r="A14" t="s">
        <v>41</v>
      </c>
      <c r="B14" s="1">
        <v>46048</v>
      </c>
      <c r="C14" s="2">
        <v>4246</v>
      </c>
      <c r="D14" t="s">
        <v>16</v>
      </c>
      <c r="E14" t="s">
        <v>17</v>
      </c>
      <c r="F14">
        <v>103.08</v>
      </c>
      <c r="H14" s="10">
        <f>H13+F14-G14</f>
        <v>0</v>
      </c>
      <c r="I14">
        <f>H14*865.1</f>
        <v>0</v>
      </c>
      <c r="J14" s="5">
        <f>+I14+H3</f>
        <v>-146634</v>
      </c>
      <c r="K14" s="43">
        <f>'54X'!O77+'54MP'!J14</f>
        <v>1203195</v>
      </c>
      <c r="L14" t="s">
        <v>179</v>
      </c>
      <c r="M14" s="10">
        <f>+H14+'14CM'!I11+'13CW'!H22+'12FM'!H15+'11SC'!H15+'9KA'!H15</f>
        <v>-280.15999999999997</v>
      </c>
      <c r="N14" s="13">
        <f>M14*865.1</f>
        <v>-242366.41599999997</v>
      </c>
      <c r="O14" s="11">
        <f>+L3+N14</f>
        <v>-3880161.4160000002</v>
      </c>
      <c r="P14" s="12" t="s">
        <v>43</v>
      </c>
    </row>
    <row r="15" spans="1:16" x14ac:dyDescent="0.3">
      <c r="A15" t="s">
        <v>154</v>
      </c>
      <c r="B15" s="1">
        <v>46078</v>
      </c>
      <c r="C15" s="2">
        <v>4456</v>
      </c>
      <c r="D15" t="s">
        <v>16</v>
      </c>
      <c r="E15" t="s">
        <v>17</v>
      </c>
      <c r="G15">
        <v>472</v>
      </c>
      <c r="H15" s="10">
        <f>H14+F15-G15</f>
        <v>-472</v>
      </c>
      <c r="I15" s="2">
        <f>H15*871.41</f>
        <v>-411305.51999999996</v>
      </c>
      <c r="J15" s="5">
        <f>+I15+H5</f>
        <v>-456154.51999999996</v>
      </c>
      <c r="K15" s="43">
        <f>'54X'!O102+'54MP'!J15</f>
        <v>-1.5199999999604188</v>
      </c>
      <c r="L15" t="s">
        <v>180</v>
      </c>
    </row>
    <row r="16" spans="1:16" x14ac:dyDescent="0.3">
      <c r="A16" t="s">
        <v>247</v>
      </c>
      <c r="B16" s="1">
        <v>46107</v>
      </c>
      <c r="C16" s="2">
        <v>4594</v>
      </c>
      <c r="D16" t="s">
        <v>16</v>
      </c>
      <c r="E16" t="s">
        <v>17</v>
      </c>
      <c r="G16">
        <v>240.84</v>
      </c>
      <c r="H16" s="10">
        <f t="shared" ref="H16:H17" si="1">H15+F16-G16</f>
        <v>-712.84</v>
      </c>
    </row>
    <row r="17" spans="1:12" x14ac:dyDescent="0.3">
      <c r="A17" t="s">
        <v>247</v>
      </c>
      <c r="B17" s="1">
        <v>46107</v>
      </c>
      <c r="C17" s="2">
        <v>4594</v>
      </c>
      <c r="D17" t="s">
        <v>16</v>
      </c>
      <c r="E17" t="s">
        <v>17</v>
      </c>
      <c r="F17">
        <v>472</v>
      </c>
      <c r="H17" s="10">
        <f t="shared" si="1"/>
        <v>-240.84000000000003</v>
      </c>
      <c r="I17" s="2">
        <f>H17*927.46</f>
        <v>-223369.46640000003</v>
      </c>
      <c r="J17" s="5">
        <f>+I17+H7</f>
        <v>-998431.46640000003</v>
      </c>
      <c r="K17" s="44">
        <f>'54X'!O131+'54MP'!J17</f>
        <v>-3282.4664000000339</v>
      </c>
      <c r="L17" t="s">
        <v>181</v>
      </c>
    </row>
  </sheetData>
  <pageMargins left="0.7" right="0.7" top="0.75" bottom="0.75" header="0.3" footer="0.3"/>
  <headerFooter>
    <oddFooter>&amp;C_x000D_&amp;1#&amp;"Aptos"&amp;9&amp;K000000 Calificación: Publico, apto para su distribución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BB81E-9BA9-422E-BB93-6CA97933DF8E}">
  <dimension ref="A1:O131"/>
  <sheetViews>
    <sheetView topLeftCell="A117" workbookViewId="0">
      <selection activeCell="N101" sqref="N101"/>
    </sheetView>
  </sheetViews>
  <sheetFormatPr baseColWidth="10" defaultRowHeight="14" x14ac:dyDescent="0.3"/>
  <cols>
    <col min="6" max="6" width="11.3984375" bestFit="1" customWidth="1"/>
    <col min="8" max="8" width="11.19921875" style="23"/>
  </cols>
  <sheetData>
    <row r="1" spans="1:8" x14ac:dyDescent="0.3">
      <c r="A1" s="14" t="s">
        <v>44</v>
      </c>
      <c r="B1" s="14" t="s">
        <v>45</v>
      </c>
      <c r="C1" s="14" t="s">
        <v>46</v>
      </c>
      <c r="D1" s="14" t="s">
        <v>47</v>
      </c>
      <c r="E1" s="14" t="s">
        <v>48</v>
      </c>
      <c r="F1" s="15" t="s">
        <v>49</v>
      </c>
      <c r="G1" s="15" t="s">
        <v>50</v>
      </c>
    </row>
    <row r="2" spans="1:8" hidden="1" x14ac:dyDescent="0.3">
      <c r="A2" s="16" t="s">
        <v>109</v>
      </c>
      <c r="B2" s="17">
        <v>46023</v>
      </c>
      <c r="C2" s="16" t="s">
        <v>52</v>
      </c>
      <c r="D2" s="16" t="s">
        <v>58</v>
      </c>
      <c r="E2" s="16" t="s">
        <v>110</v>
      </c>
      <c r="F2" s="18">
        <v>0</v>
      </c>
      <c r="G2" s="18">
        <v>33648.879999999997</v>
      </c>
      <c r="H2" s="23">
        <f>-G2</f>
        <v>-33648.879999999997</v>
      </c>
    </row>
    <row r="3" spans="1:8" hidden="1" x14ac:dyDescent="0.3">
      <c r="A3" s="19" t="s">
        <v>109</v>
      </c>
      <c r="B3" s="20">
        <v>46023</v>
      </c>
      <c r="C3" s="19" t="s">
        <v>52</v>
      </c>
      <c r="D3" s="19" t="s">
        <v>58</v>
      </c>
      <c r="E3" s="19" t="s">
        <v>111</v>
      </c>
      <c r="F3" s="21">
        <v>0</v>
      </c>
      <c r="G3" s="21">
        <v>3753.84</v>
      </c>
      <c r="H3" s="23">
        <f>H2+F3-G3</f>
        <v>-37402.720000000001</v>
      </c>
    </row>
    <row r="4" spans="1:8" hidden="1" x14ac:dyDescent="0.3">
      <c r="A4" s="19" t="s">
        <v>109</v>
      </c>
      <c r="B4" s="20">
        <v>46023</v>
      </c>
      <c r="C4" s="19" t="s">
        <v>52</v>
      </c>
      <c r="D4" s="19" t="s">
        <v>58</v>
      </c>
      <c r="E4" s="19" t="s">
        <v>112</v>
      </c>
      <c r="F4" s="21">
        <v>0</v>
      </c>
      <c r="G4" s="21">
        <v>4857.37</v>
      </c>
      <c r="H4" s="23">
        <f t="shared" ref="H4:H67" si="0">H3+F4-G4</f>
        <v>-42260.090000000004</v>
      </c>
    </row>
    <row r="5" spans="1:8" hidden="1" x14ac:dyDescent="0.3">
      <c r="A5" s="19" t="s">
        <v>109</v>
      </c>
      <c r="B5" s="20">
        <v>46023</v>
      </c>
      <c r="C5" s="19" t="s">
        <v>52</v>
      </c>
      <c r="D5" s="19" t="s">
        <v>58</v>
      </c>
      <c r="E5" s="19" t="s">
        <v>113</v>
      </c>
      <c r="F5" s="21">
        <v>0</v>
      </c>
      <c r="G5" s="21">
        <v>4188.0200000000004</v>
      </c>
      <c r="H5" s="23">
        <f t="shared" si="0"/>
        <v>-46448.11</v>
      </c>
    </row>
    <row r="6" spans="1:8" hidden="1" x14ac:dyDescent="0.3">
      <c r="A6" s="19" t="s">
        <v>109</v>
      </c>
      <c r="B6" s="20">
        <v>46023</v>
      </c>
      <c r="C6" s="19" t="s">
        <v>52</v>
      </c>
      <c r="D6" s="19" t="s">
        <v>58</v>
      </c>
      <c r="E6" s="19" t="s">
        <v>112</v>
      </c>
      <c r="F6" s="21">
        <v>0</v>
      </c>
      <c r="G6" s="21">
        <v>6829.27</v>
      </c>
      <c r="H6" s="23">
        <f t="shared" si="0"/>
        <v>-53277.380000000005</v>
      </c>
    </row>
    <row r="7" spans="1:8" hidden="1" x14ac:dyDescent="0.3">
      <c r="A7" s="19" t="s">
        <v>109</v>
      </c>
      <c r="B7" s="20">
        <v>46023</v>
      </c>
      <c r="C7" s="19" t="s">
        <v>52</v>
      </c>
      <c r="D7" s="19" t="s">
        <v>58</v>
      </c>
      <c r="E7" s="19" t="s">
        <v>114</v>
      </c>
      <c r="F7" s="21">
        <v>0</v>
      </c>
      <c r="G7" s="21">
        <v>5282.51</v>
      </c>
      <c r="H7" s="23">
        <f t="shared" si="0"/>
        <v>-58559.890000000007</v>
      </c>
    </row>
    <row r="8" spans="1:8" hidden="1" x14ac:dyDescent="0.3">
      <c r="A8" s="19" t="s">
        <v>109</v>
      </c>
      <c r="B8" s="20">
        <v>46023</v>
      </c>
      <c r="C8" s="19" t="s">
        <v>52</v>
      </c>
      <c r="D8" s="19" t="s">
        <v>58</v>
      </c>
      <c r="E8" s="19" t="s">
        <v>115</v>
      </c>
      <c r="F8" s="21">
        <v>0</v>
      </c>
      <c r="G8" s="21">
        <v>7290.59</v>
      </c>
      <c r="H8" s="23">
        <f t="shared" si="0"/>
        <v>-65850.48000000001</v>
      </c>
    </row>
    <row r="9" spans="1:8" hidden="1" x14ac:dyDescent="0.3">
      <c r="A9" s="19" t="s">
        <v>109</v>
      </c>
      <c r="B9" s="20">
        <v>46023</v>
      </c>
      <c r="C9" s="19" t="s">
        <v>52</v>
      </c>
      <c r="D9" s="19" t="s">
        <v>58</v>
      </c>
      <c r="E9" s="19" t="s">
        <v>113</v>
      </c>
      <c r="F9" s="21">
        <v>0</v>
      </c>
      <c r="G9" s="21">
        <v>5635.28</v>
      </c>
      <c r="H9" s="23">
        <f t="shared" si="0"/>
        <v>-71485.760000000009</v>
      </c>
    </row>
    <row r="10" spans="1:8" hidden="1" x14ac:dyDescent="0.3">
      <c r="A10" s="19" t="s">
        <v>109</v>
      </c>
      <c r="B10" s="20">
        <v>46023</v>
      </c>
      <c r="C10" s="19" t="s">
        <v>52</v>
      </c>
      <c r="D10" s="19" t="s">
        <v>58</v>
      </c>
      <c r="E10" s="19" t="s">
        <v>113</v>
      </c>
      <c r="F10" s="21">
        <v>0</v>
      </c>
      <c r="G10" s="21">
        <v>4359.88</v>
      </c>
      <c r="H10" s="23">
        <f t="shared" si="0"/>
        <v>-75845.640000000014</v>
      </c>
    </row>
    <row r="11" spans="1:8" hidden="1" x14ac:dyDescent="0.3">
      <c r="A11" s="19" t="s">
        <v>109</v>
      </c>
      <c r="B11" s="20">
        <v>46023</v>
      </c>
      <c r="C11" s="19" t="s">
        <v>52</v>
      </c>
      <c r="D11" s="19" t="s">
        <v>58</v>
      </c>
      <c r="E11" s="19" t="s">
        <v>116</v>
      </c>
      <c r="F11" s="21">
        <v>0</v>
      </c>
      <c r="G11" s="21">
        <v>3545.79</v>
      </c>
      <c r="H11" s="23">
        <f t="shared" si="0"/>
        <v>-79391.430000000008</v>
      </c>
    </row>
    <row r="12" spans="1:8" hidden="1" x14ac:dyDescent="0.3">
      <c r="A12" s="19" t="s">
        <v>109</v>
      </c>
      <c r="B12" s="20">
        <v>46023</v>
      </c>
      <c r="C12" s="19" t="s">
        <v>52</v>
      </c>
      <c r="D12" s="19" t="s">
        <v>58</v>
      </c>
      <c r="E12" s="19" t="s">
        <v>117</v>
      </c>
      <c r="F12" s="21">
        <v>0</v>
      </c>
      <c r="G12" s="21">
        <v>8963.99</v>
      </c>
      <c r="H12" s="23">
        <f t="shared" si="0"/>
        <v>-88355.420000000013</v>
      </c>
    </row>
    <row r="13" spans="1:8" hidden="1" x14ac:dyDescent="0.3">
      <c r="A13" s="19" t="s">
        <v>109</v>
      </c>
      <c r="B13" s="20">
        <v>46023</v>
      </c>
      <c r="C13" s="19" t="s">
        <v>52</v>
      </c>
      <c r="D13" s="19" t="s">
        <v>58</v>
      </c>
      <c r="E13" s="19" t="s">
        <v>118</v>
      </c>
      <c r="F13" s="21">
        <v>0</v>
      </c>
      <c r="G13" s="21">
        <v>4884.51</v>
      </c>
      <c r="H13" s="23">
        <f t="shared" si="0"/>
        <v>-93239.930000000008</v>
      </c>
    </row>
    <row r="14" spans="1:8" hidden="1" x14ac:dyDescent="0.3">
      <c r="A14" s="19" t="s">
        <v>109</v>
      </c>
      <c r="B14" s="20">
        <v>46023</v>
      </c>
      <c r="C14" s="19" t="s">
        <v>52</v>
      </c>
      <c r="D14" s="19" t="s">
        <v>58</v>
      </c>
      <c r="E14" s="19" t="s">
        <v>119</v>
      </c>
      <c r="F14" s="21">
        <v>0</v>
      </c>
      <c r="G14" s="21">
        <v>16500</v>
      </c>
      <c r="H14" s="23">
        <f t="shared" si="0"/>
        <v>-109739.93000000001</v>
      </c>
    </row>
    <row r="15" spans="1:8" hidden="1" x14ac:dyDescent="0.3">
      <c r="A15" s="19" t="s">
        <v>109</v>
      </c>
      <c r="B15" s="20">
        <v>46023</v>
      </c>
      <c r="C15" s="19" t="s">
        <v>52</v>
      </c>
      <c r="D15" s="19" t="s">
        <v>58</v>
      </c>
      <c r="E15" s="19" t="s">
        <v>120</v>
      </c>
      <c r="F15" s="21">
        <v>0</v>
      </c>
      <c r="G15" s="21">
        <v>23400</v>
      </c>
      <c r="H15" s="23">
        <f t="shared" si="0"/>
        <v>-133139.93</v>
      </c>
    </row>
    <row r="16" spans="1:8" hidden="1" x14ac:dyDescent="0.3">
      <c r="A16" s="19" t="s">
        <v>109</v>
      </c>
      <c r="B16" s="20">
        <v>46023</v>
      </c>
      <c r="C16" s="19" t="s">
        <v>52</v>
      </c>
      <c r="D16" s="19" t="s">
        <v>58</v>
      </c>
      <c r="E16" s="19" t="s">
        <v>121</v>
      </c>
      <c r="F16" s="21">
        <v>0</v>
      </c>
      <c r="G16" s="21">
        <v>139700</v>
      </c>
      <c r="H16" s="23">
        <f t="shared" si="0"/>
        <v>-272839.93</v>
      </c>
    </row>
    <row r="17" spans="1:8" hidden="1" x14ac:dyDescent="0.3">
      <c r="A17" s="19" t="s">
        <v>109</v>
      </c>
      <c r="B17" s="20">
        <v>46023</v>
      </c>
      <c r="C17" s="19" t="s">
        <v>52</v>
      </c>
      <c r="D17" s="19" t="s">
        <v>58</v>
      </c>
      <c r="E17" s="19" t="s">
        <v>122</v>
      </c>
      <c r="F17" s="21">
        <v>0</v>
      </c>
      <c r="G17" s="21">
        <v>13600</v>
      </c>
      <c r="H17" s="23">
        <f t="shared" si="0"/>
        <v>-286439.93</v>
      </c>
    </row>
    <row r="18" spans="1:8" hidden="1" x14ac:dyDescent="0.3">
      <c r="A18" s="19" t="s">
        <v>109</v>
      </c>
      <c r="B18" s="20">
        <v>46023</v>
      </c>
      <c r="C18" s="19" t="s">
        <v>52</v>
      </c>
      <c r="D18" s="19" t="s">
        <v>58</v>
      </c>
      <c r="E18" s="19" t="s">
        <v>123</v>
      </c>
      <c r="F18" s="21">
        <v>0</v>
      </c>
      <c r="G18" s="21">
        <v>3600</v>
      </c>
      <c r="H18" s="23">
        <f t="shared" si="0"/>
        <v>-290039.93</v>
      </c>
    </row>
    <row r="19" spans="1:8" hidden="1" x14ac:dyDescent="0.3">
      <c r="A19" s="19" t="s">
        <v>109</v>
      </c>
      <c r="B19" s="20">
        <v>46023</v>
      </c>
      <c r="C19" s="19" t="s">
        <v>52</v>
      </c>
      <c r="D19" s="19" t="s">
        <v>58</v>
      </c>
      <c r="E19" s="19" t="s">
        <v>124</v>
      </c>
      <c r="F19" s="21">
        <v>0</v>
      </c>
      <c r="G19" s="21">
        <v>115170</v>
      </c>
      <c r="H19" s="23">
        <f t="shared" si="0"/>
        <v>-405209.93</v>
      </c>
    </row>
    <row r="20" spans="1:8" hidden="1" x14ac:dyDescent="0.3">
      <c r="A20" s="19" t="s">
        <v>109</v>
      </c>
      <c r="B20" s="20">
        <v>46023</v>
      </c>
      <c r="C20" s="19" t="s">
        <v>52</v>
      </c>
      <c r="D20" s="19" t="s">
        <v>58</v>
      </c>
      <c r="E20" s="19" t="s">
        <v>125</v>
      </c>
      <c r="F20" s="21">
        <v>0</v>
      </c>
      <c r="G20" s="21">
        <v>29000</v>
      </c>
      <c r="H20" s="23">
        <f t="shared" si="0"/>
        <v>-434209.93</v>
      </c>
    </row>
    <row r="21" spans="1:8" hidden="1" x14ac:dyDescent="0.3">
      <c r="A21" s="19" t="s">
        <v>109</v>
      </c>
      <c r="B21" s="20">
        <v>46023</v>
      </c>
      <c r="C21" s="19" t="s">
        <v>52</v>
      </c>
      <c r="D21" s="19" t="s">
        <v>58</v>
      </c>
      <c r="E21" s="19" t="s">
        <v>126</v>
      </c>
      <c r="F21" s="21">
        <v>0</v>
      </c>
      <c r="G21" s="21">
        <v>8400</v>
      </c>
      <c r="H21" s="23">
        <f t="shared" si="0"/>
        <v>-442609.93</v>
      </c>
    </row>
    <row r="22" spans="1:8" hidden="1" x14ac:dyDescent="0.3">
      <c r="A22" s="19" t="s">
        <v>109</v>
      </c>
      <c r="B22" s="20">
        <v>46023</v>
      </c>
      <c r="C22" s="19" t="s">
        <v>52</v>
      </c>
      <c r="D22" s="19" t="s">
        <v>58</v>
      </c>
      <c r="E22" s="19" t="s">
        <v>123</v>
      </c>
      <c r="F22" s="21">
        <v>0</v>
      </c>
      <c r="G22" s="21">
        <v>2600</v>
      </c>
      <c r="H22" s="23">
        <f t="shared" si="0"/>
        <v>-445209.93</v>
      </c>
    </row>
    <row r="23" spans="1:8" hidden="1" x14ac:dyDescent="0.3">
      <c r="A23" s="19" t="s">
        <v>109</v>
      </c>
      <c r="B23" s="20">
        <v>46023</v>
      </c>
      <c r="C23" s="19" t="s">
        <v>52</v>
      </c>
      <c r="D23" s="19" t="s">
        <v>58</v>
      </c>
      <c r="E23" s="19" t="s">
        <v>123</v>
      </c>
      <c r="F23" s="21">
        <v>0</v>
      </c>
      <c r="G23" s="21">
        <v>2600</v>
      </c>
      <c r="H23" s="23">
        <f t="shared" si="0"/>
        <v>-447809.93</v>
      </c>
    </row>
    <row r="24" spans="1:8" hidden="1" x14ac:dyDescent="0.3">
      <c r="A24" s="19" t="s">
        <v>109</v>
      </c>
      <c r="B24" s="20">
        <v>46023</v>
      </c>
      <c r="C24" s="19" t="s">
        <v>52</v>
      </c>
      <c r="D24" s="19" t="s">
        <v>58</v>
      </c>
      <c r="E24" s="19" t="s">
        <v>127</v>
      </c>
      <c r="F24" s="21">
        <v>0</v>
      </c>
      <c r="G24" s="21">
        <v>24200</v>
      </c>
      <c r="H24" s="23">
        <f t="shared" si="0"/>
        <v>-472009.93</v>
      </c>
    </row>
    <row r="25" spans="1:8" hidden="1" x14ac:dyDescent="0.3">
      <c r="A25" s="19" t="s">
        <v>109</v>
      </c>
      <c r="B25" s="20">
        <v>46023</v>
      </c>
      <c r="C25" s="19" t="s">
        <v>52</v>
      </c>
      <c r="D25" s="19" t="s">
        <v>58</v>
      </c>
      <c r="E25" s="19" t="s">
        <v>128</v>
      </c>
      <c r="F25" s="21">
        <v>0</v>
      </c>
      <c r="G25" s="21">
        <v>29000</v>
      </c>
      <c r="H25" s="23">
        <f t="shared" si="0"/>
        <v>-501009.93</v>
      </c>
    </row>
    <row r="26" spans="1:8" hidden="1" x14ac:dyDescent="0.3">
      <c r="A26" s="19" t="s">
        <v>109</v>
      </c>
      <c r="B26" s="20">
        <v>46023</v>
      </c>
      <c r="C26" s="19" t="s">
        <v>52</v>
      </c>
      <c r="D26" s="19" t="s">
        <v>58</v>
      </c>
      <c r="E26" s="19" t="s">
        <v>129</v>
      </c>
      <c r="F26" s="21">
        <v>0</v>
      </c>
      <c r="G26" s="21">
        <v>2906</v>
      </c>
      <c r="H26" s="23">
        <f t="shared" si="0"/>
        <v>-503915.93</v>
      </c>
    </row>
    <row r="27" spans="1:8" hidden="1" x14ac:dyDescent="0.3">
      <c r="A27" s="19" t="s">
        <v>109</v>
      </c>
      <c r="B27" s="20">
        <v>46023</v>
      </c>
      <c r="C27" s="19" t="s">
        <v>52</v>
      </c>
      <c r="D27" s="19" t="s">
        <v>58</v>
      </c>
      <c r="E27" s="19" t="s">
        <v>130</v>
      </c>
      <c r="F27" s="21">
        <v>0</v>
      </c>
      <c r="G27" s="21">
        <v>12082</v>
      </c>
      <c r="H27" s="23">
        <f t="shared" si="0"/>
        <v>-515997.93</v>
      </c>
    </row>
    <row r="28" spans="1:8" hidden="1" x14ac:dyDescent="0.3">
      <c r="A28" s="19" t="s">
        <v>109</v>
      </c>
      <c r="B28" s="20">
        <v>46023</v>
      </c>
      <c r="C28" s="19" t="s">
        <v>52</v>
      </c>
      <c r="D28" s="19" t="s">
        <v>58</v>
      </c>
      <c r="E28" s="19" t="s">
        <v>131</v>
      </c>
      <c r="F28" s="21">
        <v>0</v>
      </c>
      <c r="G28" s="21">
        <v>29000</v>
      </c>
      <c r="H28" s="23">
        <f t="shared" si="0"/>
        <v>-544997.92999999993</v>
      </c>
    </row>
    <row r="29" spans="1:8" hidden="1" x14ac:dyDescent="0.3">
      <c r="A29" s="19" t="s">
        <v>109</v>
      </c>
      <c r="B29" s="20">
        <v>46023</v>
      </c>
      <c r="C29" s="19" t="s">
        <v>52</v>
      </c>
      <c r="D29" s="19" t="s">
        <v>58</v>
      </c>
      <c r="E29" s="19" t="s">
        <v>132</v>
      </c>
      <c r="F29" s="21">
        <v>0</v>
      </c>
      <c r="G29" s="21">
        <v>34000</v>
      </c>
      <c r="H29" s="23">
        <f t="shared" si="0"/>
        <v>-578997.92999999993</v>
      </c>
    </row>
    <row r="30" spans="1:8" hidden="1" x14ac:dyDescent="0.3">
      <c r="A30" s="19" t="s">
        <v>109</v>
      </c>
      <c r="B30" s="20">
        <v>46023</v>
      </c>
      <c r="C30" s="19" t="s">
        <v>52</v>
      </c>
      <c r="D30" s="19" t="s">
        <v>58</v>
      </c>
      <c r="E30" s="19" t="s">
        <v>133</v>
      </c>
      <c r="F30" s="21">
        <v>0</v>
      </c>
      <c r="G30" s="21">
        <v>20000</v>
      </c>
      <c r="H30" s="23">
        <f t="shared" si="0"/>
        <v>-598997.92999999993</v>
      </c>
    </row>
    <row r="31" spans="1:8" hidden="1" x14ac:dyDescent="0.3">
      <c r="A31" s="19" t="s">
        <v>109</v>
      </c>
      <c r="B31" s="20">
        <v>46023</v>
      </c>
      <c r="C31" s="19" t="s">
        <v>52</v>
      </c>
      <c r="D31" s="19" t="s">
        <v>58</v>
      </c>
      <c r="E31" s="19" t="s">
        <v>134</v>
      </c>
      <c r="F31" s="21">
        <v>0</v>
      </c>
      <c r="G31" s="21">
        <v>436931</v>
      </c>
      <c r="H31" s="23">
        <f t="shared" si="0"/>
        <v>-1035928.9299999999</v>
      </c>
    </row>
    <row r="32" spans="1:8" hidden="1" x14ac:dyDescent="0.3">
      <c r="A32" s="19" t="s">
        <v>109</v>
      </c>
      <c r="B32" s="20">
        <v>46023</v>
      </c>
      <c r="C32" s="19" t="s">
        <v>52</v>
      </c>
      <c r="D32" s="19" t="s">
        <v>58</v>
      </c>
      <c r="E32" s="19" t="s">
        <v>135</v>
      </c>
      <c r="F32" s="21">
        <v>0</v>
      </c>
      <c r="G32" s="21">
        <v>100650</v>
      </c>
      <c r="H32" s="23">
        <f t="shared" si="0"/>
        <v>-1136578.93</v>
      </c>
    </row>
    <row r="33" spans="1:8" hidden="1" x14ac:dyDescent="0.3">
      <c r="A33" s="19" t="s">
        <v>109</v>
      </c>
      <c r="B33" s="20">
        <v>46023</v>
      </c>
      <c r="C33" s="19" t="s">
        <v>52</v>
      </c>
      <c r="D33" s="19" t="s">
        <v>58</v>
      </c>
      <c r="E33" s="19" t="s">
        <v>136</v>
      </c>
      <c r="F33" s="21">
        <v>0</v>
      </c>
      <c r="G33" s="21">
        <v>45727</v>
      </c>
      <c r="H33" s="23">
        <f t="shared" si="0"/>
        <v>-1182305.93</v>
      </c>
    </row>
    <row r="34" spans="1:8" hidden="1" x14ac:dyDescent="0.3">
      <c r="A34" s="19" t="s">
        <v>109</v>
      </c>
      <c r="B34" s="20">
        <v>46023</v>
      </c>
      <c r="C34" s="19" t="s">
        <v>52</v>
      </c>
      <c r="D34" s="19" t="s">
        <v>58</v>
      </c>
      <c r="E34" s="19" t="s">
        <v>137</v>
      </c>
      <c r="F34" s="21">
        <v>0</v>
      </c>
      <c r="G34" s="21">
        <v>33605</v>
      </c>
      <c r="H34" s="23">
        <f t="shared" si="0"/>
        <v>-1215910.93</v>
      </c>
    </row>
    <row r="35" spans="1:8" hidden="1" x14ac:dyDescent="0.3">
      <c r="A35" s="19" t="s">
        <v>109</v>
      </c>
      <c r="B35" s="20">
        <v>46023</v>
      </c>
      <c r="C35" s="19" t="s">
        <v>52</v>
      </c>
      <c r="D35" s="19" t="s">
        <v>58</v>
      </c>
      <c r="E35" s="19" t="s">
        <v>127</v>
      </c>
      <c r="F35" s="21">
        <v>0</v>
      </c>
      <c r="G35" s="21">
        <v>31519</v>
      </c>
      <c r="H35" s="23">
        <f t="shared" si="0"/>
        <v>-1247429.93</v>
      </c>
    </row>
    <row r="36" spans="1:8" hidden="1" x14ac:dyDescent="0.3">
      <c r="A36" s="19" t="s">
        <v>109</v>
      </c>
      <c r="B36" s="20">
        <v>46023</v>
      </c>
      <c r="C36" s="19" t="s">
        <v>60</v>
      </c>
      <c r="D36" s="19" t="s">
        <v>53</v>
      </c>
      <c r="E36" s="19"/>
      <c r="F36" s="21">
        <v>16500</v>
      </c>
      <c r="G36" s="21">
        <v>0</v>
      </c>
      <c r="H36" s="23">
        <f t="shared" si="0"/>
        <v>-1230929.93</v>
      </c>
    </row>
    <row r="37" spans="1:8" hidden="1" x14ac:dyDescent="0.3">
      <c r="A37" s="19" t="s">
        <v>109</v>
      </c>
      <c r="B37" s="20">
        <v>46023</v>
      </c>
      <c r="C37" s="19" t="s">
        <v>60</v>
      </c>
      <c r="D37" s="19" t="s">
        <v>53</v>
      </c>
      <c r="E37" s="19"/>
      <c r="F37" s="21">
        <v>23400</v>
      </c>
      <c r="G37" s="21">
        <v>0</v>
      </c>
      <c r="H37" s="23">
        <f t="shared" si="0"/>
        <v>-1207529.93</v>
      </c>
    </row>
    <row r="38" spans="1:8" hidden="1" x14ac:dyDescent="0.3">
      <c r="A38" s="19" t="s">
        <v>109</v>
      </c>
      <c r="B38" s="20">
        <v>46023</v>
      </c>
      <c r="C38" s="19" t="s">
        <v>60</v>
      </c>
      <c r="D38" s="19" t="s">
        <v>53</v>
      </c>
      <c r="E38" s="19"/>
      <c r="F38" s="21">
        <v>139700</v>
      </c>
      <c r="G38" s="21">
        <v>0</v>
      </c>
      <c r="H38" s="23">
        <f t="shared" si="0"/>
        <v>-1067829.93</v>
      </c>
    </row>
    <row r="39" spans="1:8" hidden="1" x14ac:dyDescent="0.3">
      <c r="A39" s="19" t="s">
        <v>109</v>
      </c>
      <c r="B39" s="20">
        <v>46023</v>
      </c>
      <c r="C39" s="19" t="s">
        <v>60</v>
      </c>
      <c r="D39" s="19" t="s">
        <v>53</v>
      </c>
      <c r="E39" s="19"/>
      <c r="F39" s="21">
        <v>13600</v>
      </c>
      <c r="G39" s="21">
        <v>0</v>
      </c>
      <c r="H39" s="23">
        <f t="shared" si="0"/>
        <v>-1054229.93</v>
      </c>
    </row>
    <row r="40" spans="1:8" hidden="1" x14ac:dyDescent="0.3">
      <c r="A40" s="19" t="s">
        <v>109</v>
      </c>
      <c r="B40" s="20">
        <v>46023</v>
      </c>
      <c r="C40" s="19" t="s">
        <v>60</v>
      </c>
      <c r="D40" s="19" t="s">
        <v>53</v>
      </c>
      <c r="E40" s="19"/>
      <c r="F40" s="21">
        <v>3600</v>
      </c>
      <c r="G40" s="21">
        <v>0</v>
      </c>
      <c r="H40" s="23">
        <f t="shared" si="0"/>
        <v>-1050629.93</v>
      </c>
    </row>
    <row r="41" spans="1:8" hidden="1" x14ac:dyDescent="0.3">
      <c r="A41" s="19" t="s">
        <v>109</v>
      </c>
      <c r="B41" s="20">
        <v>46023</v>
      </c>
      <c r="C41" s="19" t="s">
        <v>60</v>
      </c>
      <c r="D41" s="19" t="s">
        <v>53</v>
      </c>
      <c r="E41" s="19"/>
      <c r="F41" s="21">
        <v>115170</v>
      </c>
      <c r="G41" s="21">
        <v>0</v>
      </c>
      <c r="H41" s="23">
        <f t="shared" si="0"/>
        <v>-935459.92999999993</v>
      </c>
    </row>
    <row r="42" spans="1:8" hidden="1" x14ac:dyDescent="0.3">
      <c r="A42" s="19" t="s">
        <v>109</v>
      </c>
      <c r="B42" s="20">
        <v>46023</v>
      </c>
      <c r="C42" s="19" t="s">
        <v>60</v>
      </c>
      <c r="D42" s="19" t="s">
        <v>53</v>
      </c>
      <c r="E42" s="19"/>
      <c r="F42" s="21">
        <v>29000</v>
      </c>
      <c r="G42" s="21">
        <v>0</v>
      </c>
      <c r="H42" s="23">
        <f t="shared" si="0"/>
        <v>-906459.92999999993</v>
      </c>
    </row>
    <row r="43" spans="1:8" hidden="1" x14ac:dyDescent="0.3">
      <c r="A43" s="19" t="s">
        <v>109</v>
      </c>
      <c r="B43" s="20">
        <v>46023</v>
      </c>
      <c r="C43" s="19" t="s">
        <v>60</v>
      </c>
      <c r="D43" s="19" t="s">
        <v>53</v>
      </c>
      <c r="E43" s="19"/>
      <c r="F43" s="21">
        <v>8400</v>
      </c>
      <c r="G43" s="21">
        <v>0</v>
      </c>
      <c r="H43" s="23">
        <f t="shared" si="0"/>
        <v>-898059.92999999993</v>
      </c>
    </row>
    <row r="44" spans="1:8" hidden="1" x14ac:dyDescent="0.3">
      <c r="A44" s="19" t="s">
        <v>109</v>
      </c>
      <c r="B44" s="20">
        <v>46023</v>
      </c>
      <c r="C44" s="19" t="s">
        <v>60</v>
      </c>
      <c r="D44" s="19" t="s">
        <v>53</v>
      </c>
      <c r="E44" s="19"/>
      <c r="F44" s="21">
        <v>2600</v>
      </c>
      <c r="G44" s="21">
        <v>0</v>
      </c>
      <c r="H44" s="23">
        <f t="shared" si="0"/>
        <v>-895459.92999999993</v>
      </c>
    </row>
    <row r="45" spans="1:8" hidden="1" x14ac:dyDescent="0.3">
      <c r="A45" s="19" t="s">
        <v>109</v>
      </c>
      <c r="B45" s="20">
        <v>46023</v>
      </c>
      <c r="C45" s="19" t="s">
        <v>60</v>
      </c>
      <c r="D45" s="19" t="s">
        <v>53</v>
      </c>
      <c r="E45" s="19"/>
      <c r="F45" s="21">
        <v>2600</v>
      </c>
      <c r="G45" s="21">
        <v>0</v>
      </c>
      <c r="H45" s="23">
        <f t="shared" si="0"/>
        <v>-892859.92999999993</v>
      </c>
    </row>
    <row r="46" spans="1:8" hidden="1" x14ac:dyDescent="0.3">
      <c r="A46" s="19" t="s">
        <v>109</v>
      </c>
      <c r="B46" s="20">
        <v>46023</v>
      </c>
      <c r="C46" s="19" t="s">
        <v>60</v>
      </c>
      <c r="D46" s="19" t="s">
        <v>53</v>
      </c>
      <c r="E46" s="19"/>
      <c r="F46" s="21">
        <v>24200</v>
      </c>
      <c r="G46" s="21">
        <v>0</v>
      </c>
      <c r="H46" s="23">
        <f t="shared" si="0"/>
        <v>-868659.92999999993</v>
      </c>
    </row>
    <row r="47" spans="1:8" hidden="1" x14ac:dyDescent="0.3">
      <c r="A47" s="19" t="s">
        <v>109</v>
      </c>
      <c r="B47" s="20">
        <v>46023</v>
      </c>
      <c r="C47" s="19" t="s">
        <v>60</v>
      </c>
      <c r="D47" s="19" t="s">
        <v>53</v>
      </c>
      <c r="E47" s="19"/>
      <c r="F47" s="21">
        <v>29000</v>
      </c>
      <c r="G47" s="21">
        <v>0</v>
      </c>
      <c r="H47" s="23">
        <f t="shared" si="0"/>
        <v>-839659.92999999993</v>
      </c>
    </row>
    <row r="48" spans="1:8" hidden="1" x14ac:dyDescent="0.3">
      <c r="A48" s="19" t="s">
        <v>109</v>
      </c>
      <c r="B48" s="20">
        <v>46023</v>
      </c>
      <c r="C48" s="19" t="s">
        <v>60</v>
      </c>
      <c r="D48" s="19" t="s">
        <v>53</v>
      </c>
      <c r="E48" s="19"/>
      <c r="F48" s="21">
        <v>2906</v>
      </c>
      <c r="G48" s="21">
        <v>0</v>
      </c>
      <c r="H48" s="23">
        <f t="shared" si="0"/>
        <v>-836753.92999999993</v>
      </c>
    </row>
    <row r="49" spans="1:8" hidden="1" x14ac:dyDescent="0.3">
      <c r="A49" s="19" t="s">
        <v>109</v>
      </c>
      <c r="B49" s="20">
        <v>46023</v>
      </c>
      <c r="C49" s="19" t="s">
        <v>60</v>
      </c>
      <c r="D49" s="19" t="s">
        <v>53</v>
      </c>
      <c r="E49" s="19"/>
      <c r="F49" s="21">
        <v>12082</v>
      </c>
      <c r="G49" s="21">
        <v>0</v>
      </c>
      <c r="H49" s="23">
        <f t="shared" si="0"/>
        <v>-824671.92999999993</v>
      </c>
    </row>
    <row r="50" spans="1:8" hidden="1" x14ac:dyDescent="0.3">
      <c r="A50" s="19" t="s">
        <v>109</v>
      </c>
      <c r="B50" s="20">
        <v>46023</v>
      </c>
      <c r="C50" s="19" t="s">
        <v>60</v>
      </c>
      <c r="D50" s="19" t="s">
        <v>53</v>
      </c>
      <c r="E50" s="19"/>
      <c r="F50" s="21">
        <v>29000</v>
      </c>
      <c r="G50" s="21">
        <v>0</v>
      </c>
      <c r="H50" s="23">
        <f t="shared" si="0"/>
        <v>-795671.92999999993</v>
      </c>
    </row>
    <row r="51" spans="1:8" hidden="1" x14ac:dyDescent="0.3">
      <c r="A51" s="19" t="s">
        <v>109</v>
      </c>
      <c r="B51" s="20">
        <v>46023</v>
      </c>
      <c r="C51" s="19" t="s">
        <v>60</v>
      </c>
      <c r="D51" s="19" t="s">
        <v>53</v>
      </c>
      <c r="E51" s="19"/>
      <c r="F51" s="21">
        <v>34000</v>
      </c>
      <c r="G51" s="21">
        <v>0</v>
      </c>
      <c r="H51" s="23">
        <f t="shared" si="0"/>
        <v>-761671.92999999993</v>
      </c>
    </row>
    <row r="52" spans="1:8" hidden="1" x14ac:dyDescent="0.3">
      <c r="A52" s="19" t="s">
        <v>109</v>
      </c>
      <c r="B52" s="20">
        <v>46023</v>
      </c>
      <c r="C52" s="19" t="s">
        <v>60</v>
      </c>
      <c r="D52" s="19" t="s">
        <v>53</v>
      </c>
      <c r="E52" s="19"/>
      <c r="F52" s="21">
        <v>20000</v>
      </c>
      <c r="G52" s="21">
        <v>0</v>
      </c>
      <c r="H52" s="23">
        <f t="shared" si="0"/>
        <v>-741671.92999999993</v>
      </c>
    </row>
    <row r="53" spans="1:8" hidden="1" x14ac:dyDescent="0.3">
      <c r="A53" s="19" t="s">
        <v>109</v>
      </c>
      <c r="B53" s="20">
        <v>46023</v>
      </c>
      <c r="C53" s="19" t="s">
        <v>60</v>
      </c>
      <c r="D53" s="19" t="s">
        <v>53</v>
      </c>
      <c r="E53" s="19"/>
      <c r="F53" s="21">
        <v>436931</v>
      </c>
      <c r="G53" s="21">
        <v>0</v>
      </c>
      <c r="H53" s="23">
        <f t="shared" si="0"/>
        <v>-304740.92999999993</v>
      </c>
    </row>
    <row r="54" spans="1:8" hidden="1" x14ac:dyDescent="0.3">
      <c r="A54" s="19" t="s">
        <v>109</v>
      </c>
      <c r="B54" s="20">
        <v>46023</v>
      </c>
      <c r="C54" s="19" t="s">
        <v>60</v>
      </c>
      <c r="D54" s="19" t="s">
        <v>53</v>
      </c>
      <c r="E54" s="19"/>
      <c r="F54" s="21">
        <v>100650</v>
      </c>
      <c r="G54" s="21">
        <v>0</v>
      </c>
      <c r="H54" s="23">
        <f t="shared" si="0"/>
        <v>-204090.92999999993</v>
      </c>
    </row>
    <row r="55" spans="1:8" hidden="1" x14ac:dyDescent="0.3">
      <c r="A55" s="19" t="s">
        <v>109</v>
      </c>
      <c r="B55" s="20">
        <v>46023</v>
      </c>
      <c r="C55" s="19" t="s">
        <v>60</v>
      </c>
      <c r="D55" s="19" t="s">
        <v>53</v>
      </c>
      <c r="E55" s="19"/>
      <c r="F55" s="21">
        <v>45727</v>
      </c>
      <c r="G55" s="21">
        <v>0</v>
      </c>
      <c r="H55" s="23">
        <f t="shared" si="0"/>
        <v>-158363.92999999993</v>
      </c>
    </row>
    <row r="56" spans="1:8" hidden="1" x14ac:dyDescent="0.3">
      <c r="A56" s="19" t="s">
        <v>109</v>
      </c>
      <c r="B56" s="20">
        <v>46023</v>
      </c>
      <c r="C56" s="19" t="s">
        <v>60</v>
      </c>
      <c r="D56" s="19" t="s">
        <v>53</v>
      </c>
      <c r="E56" s="19"/>
      <c r="F56" s="21">
        <v>33605</v>
      </c>
      <c r="G56" s="21">
        <v>0</v>
      </c>
      <c r="H56" s="23">
        <f t="shared" si="0"/>
        <v>-124758.92999999993</v>
      </c>
    </row>
    <row r="57" spans="1:8" hidden="1" x14ac:dyDescent="0.3">
      <c r="A57" s="19" t="s">
        <v>109</v>
      </c>
      <c r="B57" s="20">
        <v>46023</v>
      </c>
      <c r="C57" s="19" t="s">
        <v>60</v>
      </c>
      <c r="D57" s="19" t="s">
        <v>53</v>
      </c>
      <c r="E57" s="19"/>
      <c r="F57" s="21">
        <v>31519</v>
      </c>
      <c r="G57" s="21">
        <v>0</v>
      </c>
      <c r="H57" s="23">
        <f t="shared" si="0"/>
        <v>-93239.929999999935</v>
      </c>
    </row>
    <row r="58" spans="1:8" hidden="1" x14ac:dyDescent="0.3">
      <c r="A58" s="19" t="s">
        <v>109</v>
      </c>
      <c r="B58" s="20">
        <v>46023</v>
      </c>
      <c r="C58" s="19" t="s">
        <v>60</v>
      </c>
      <c r="D58" s="19" t="s">
        <v>53</v>
      </c>
      <c r="E58" s="19"/>
      <c r="F58" s="21">
        <v>33648.879999999997</v>
      </c>
      <c r="G58" s="21">
        <v>0</v>
      </c>
      <c r="H58" s="23">
        <f t="shared" si="0"/>
        <v>-59591.049999999937</v>
      </c>
    </row>
    <row r="59" spans="1:8" hidden="1" x14ac:dyDescent="0.3">
      <c r="A59" s="19" t="s">
        <v>109</v>
      </c>
      <c r="B59" s="20">
        <v>46023</v>
      </c>
      <c r="C59" s="19" t="s">
        <v>60</v>
      </c>
      <c r="D59" s="19" t="s">
        <v>53</v>
      </c>
      <c r="E59" s="19"/>
      <c r="F59" s="21">
        <v>3753.84</v>
      </c>
      <c r="G59" s="21">
        <v>0</v>
      </c>
      <c r="H59" s="23">
        <f t="shared" si="0"/>
        <v>-55837.209999999934</v>
      </c>
    </row>
    <row r="60" spans="1:8" hidden="1" x14ac:dyDescent="0.3">
      <c r="A60" s="19" t="s">
        <v>109</v>
      </c>
      <c r="B60" s="20">
        <v>46023</v>
      </c>
      <c r="C60" s="19" t="s">
        <v>60</v>
      </c>
      <c r="D60" s="19" t="s">
        <v>53</v>
      </c>
      <c r="E60" s="19"/>
      <c r="F60" s="21">
        <v>4857.37</v>
      </c>
      <c r="G60" s="21">
        <v>0</v>
      </c>
      <c r="H60" s="23">
        <f t="shared" si="0"/>
        <v>-50979.839999999931</v>
      </c>
    </row>
    <row r="61" spans="1:8" hidden="1" x14ac:dyDescent="0.3">
      <c r="A61" s="19" t="s">
        <v>109</v>
      </c>
      <c r="B61" s="20">
        <v>46023</v>
      </c>
      <c r="C61" s="19" t="s">
        <v>60</v>
      </c>
      <c r="D61" s="19" t="s">
        <v>53</v>
      </c>
      <c r="E61" s="19"/>
      <c r="F61" s="21">
        <v>4188.0200000000004</v>
      </c>
      <c r="G61" s="21">
        <v>0</v>
      </c>
      <c r="H61" s="23">
        <f t="shared" si="0"/>
        <v>-46791.819999999934</v>
      </c>
    </row>
    <row r="62" spans="1:8" hidden="1" x14ac:dyDescent="0.3">
      <c r="A62" s="19" t="s">
        <v>109</v>
      </c>
      <c r="B62" s="20">
        <v>46023</v>
      </c>
      <c r="C62" s="19" t="s">
        <v>60</v>
      </c>
      <c r="D62" s="19" t="s">
        <v>53</v>
      </c>
      <c r="E62" s="19"/>
      <c r="F62" s="21">
        <v>6829.27</v>
      </c>
      <c r="G62" s="21">
        <v>0</v>
      </c>
      <c r="H62" s="23">
        <f t="shared" si="0"/>
        <v>-39962.54999999993</v>
      </c>
    </row>
    <row r="63" spans="1:8" hidden="1" x14ac:dyDescent="0.3">
      <c r="A63" s="19" t="s">
        <v>109</v>
      </c>
      <c r="B63" s="20">
        <v>46023</v>
      </c>
      <c r="C63" s="19" t="s">
        <v>60</v>
      </c>
      <c r="D63" s="19" t="s">
        <v>53</v>
      </c>
      <c r="E63" s="19"/>
      <c r="F63" s="21">
        <v>5282.51</v>
      </c>
      <c r="G63" s="21">
        <v>0</v>
      </c>
      <c r="H63" s="23">
        <f t="shared" si="0"/>
        <v>-34680.039999999928</v>
      </c>
    </row>
    <row r="64" spans="1:8" hidden="1" x14ac:dyDescent="0.3">
      <c r="A64" s="19" t="s">
        <v>109</v>
      </c>
      <c r="B64" s="20">
        <v>46023</v>
      </c>
      <c r="C64" s="19" t="s">
        <v>60</v>
      </c>
      <c r="D64" s="19" t="s">
        <v>53</v>
      </c>
      <c r="E64" s="19"/>
      <c r="F64" s="21">
        <v>7290.59</v>
      </c>
      <c r="G64" s="21">
        <v>0</v>
      </c>
      <c r="H64" s="23">
        <f t="shared" si="0"/>
        <v>-27389.449999999928</v>
      </c>
    </row>
    <row r="65" spans="1:15" hidden="1" x14ac:dyDescent="0.3">
      <c r="A65" s="19" t="s">
        <v>109</v>
      </c>
      <c r="B65" s="20">
        <v>46023</v>
      </c>
      <c r="C65" s="19" t="s">
        <v>60</v>
      </c>
      <c r="D65" s="19" t="s">
        <v>53</v>
      </c>
      <c r="E65" s="19"/>
      <c r="F65" s="21">
        <v>5635.28</v>
      </c>
      <c r="G65" s="21">
        <v>0</v>
      </c>
      <c r="H65" s="23">
        <f t="shared" si="0"/>
        <v>-21754.169999999929</v>
      </c>
    </row>
    <row r="66" spans="1:15" hidden="1" x14ac:dyDescent="0.3">
      <c r="A66" s="19" t="s">
        <v>109</v>
      </c>
      <c r="B66" s="20">
        <v>46023</v>
      </c>
      <c r="C66" s="19" t="s">
        <v>60</v>
      </c>
      <c r="D66" s="19" t="s">
        <v>53</v>
      </c>
      <c r="E66" s="19"/>
      <c r="F66" s="21">
        <v>4359.88</v>
      </c>
      <c r="G66" s="21">
        <v>0</v>
      </c>
      <c r="H66" s="23">
        <f t="shared" si="0"/>
        <v>-17394.289999999928</v>
      </c>
    </row>
    <row r="67" spans="1:15" hidden="1" x14ac:dyDescent="0.3">
      <c r="A67" s="19" t="s">
        <v>109</v>
      </c>
      <c r="B67" s="20">
        <v>46023</v>
      </c>
      <c r="C67" s="19" t="s">
        <v>60</v>
      </c>
      <c r="D67" s="19" t="s">
        <v>53</v>
      </c>
      <c r="E67" s="19"/>
      <c r="F67" s="21">
        <v>3545.79</v>
      </c>
      <c r="G67" s="21">
        <v>0</v>
      </c>
      <c r="H67" s="23">
        <f t="shared" si="0"/>
        <v>-13848.499999999927</v>
      </c>
    </row>
    <row r="68" spans="1:15" hidden="1" x14ac:dyDescent="0.3">
      <c r="A68" s="19" t="s">
        <v>109</v>
      </c>
      <c r="B68" s="20">
        <v>46023</v>
      </c>
      <c r="C68" s="19" t="s">
        <v>60</v>
      </c>
      <c r="D68" s="19" t="s">
        <v>53</v>
      </c>
      <c r="E68" s="19"/>
      <c r="F68" s="21">
        <v>8963.99</v>
      </c>
      <c r="G68" s="21">
        <v>0</v>
      </c>
      <c r="H68" s="23">
        <f t="shared" ref="H68:H77" si="1">H67+F68-G68</f>
        <v>-4884.5099999999275</v>
      </c>
    </row>
    <row r="69" spans="1:15" hidden="1" x14ac:dyDescent="0.3">
      <c r="A69" s="19" t="s">
        <v>109</v>
      </c>
      <c r="B69" s="20">
        <v>46023</v>
      </c>
      <c r="C69" s="19" t="s">
        <v>60</v>
      </c>
      <c r="D69" s="19" t="s">
        <v>53</v>
      </c>
      <c r="E69" s="19"/>
      <c r="F69" s="21">
        <v>4884.51</v>
      </c>
      <c r="G69" s="21">
        <v>0</v>
      </c>
      <c r="H69" s="23">
        <f t="shared" si="1"/>
        <v>7.2759576141834259E-11</v>
      </c>
    </row>
    <row r="70" spans="1:15" x14ac:dyDescent="0.3">
      <c r="A70" s="19" t="s">
        <v>109</v>
      </c>
      <c r="B70" s="20">
        <v>46036</v>
      </c>
      <c r="C70" s="19" t="s">
        <v>54</v>
      </c>
      <c r="D70" s="19" t="s">
        <v>138</v>
      </c>
      <c r="E70" s="19" t="s">
        <v>139</v>
      </c>
      <c r="F70" s="21">
        <v>752789</v>
      </c>
      <c r="G70" s="21"/>
      <c r="H70" s="23">
        <f t="shared" si="1"/>
        <v>752789.00000000012</v>
      </c>
    </row>
    <row r="71" spans="1:15" x14ac:dyDescent="0.3">
      <c r="A71" s="19" t="s">
        <v>109</v>
      </c>
      <c r="B71" s="20">
        <v>46036</v>
      </c>
      <c r="C71" s="19" t="s">
        <v>52</v>
      </c>
      <c r="D71" s="19" t="s">
        <v>57</v>
      </c>
      <c r="E71" s="19"/>
      <c r="F71" s="21"/>
      <c r="G71" s="21">
        <v>820.48</v>
      </c>
      <c r="H71" s="23">
        <f t="shared" si="1"/>
        <v>751968.52000000014</v>
      </c>
    </row>
    <row r="72" spans="1:15" x14ac:dyDescent="0.3">
      <c r="A72" s="19" t="s">
        <v>109</v>
      </c>
      <c r="B72" s="20">
        <v>46042</v>
      </c>
      <c r="C72" s="19" t="s">
        <v>52</v>
      </c>
      <c r="D72" s="19" t="s">
        <v>53</v>
      </c>
      <c r="E72" s="19"/>
      <c r="F72" s="21">
        <v>0</v>
      </c>
      <c r="G72" s="21">
        <v>4963</v>
      </c>
      <c r="H72" s="23">
        <f t="shared" si="1"/>
        <v>747005.52000000014</v>
      </c>
    </row>
    <row r="73" spans="1:15" x14ac:dyDescent="0.3">
      <c r="A73" s="19" t="s">
        <v>109</v>
      </c>
      <c r="B73" s="20">
        <v>46042</v>
      </c>
      <c r="C73" s="19" t="s">
        <v>52</v>
      </c>
      <c r="D73" s="19" t="s">
        <v>53</v>
      </c>
      <c r="E73" s="19"/>
      <c r="F73" s="21">
        <v>0</v>
      </c>
      <c r="G73" s="21">
        <v>26290</v>
      </c>
      <c r="H73" s="23">
        <f t="shared" si="1"/>
        <v>720715.52000000014</v>
      </c>
    </row>
    <row r="74" spans="1:15" x14ac:dyDescent="0.3">
      <c r="A74" s="19" t="s">
        <v>109</v>
      </c>
      <c r="B74" s="20">
        <v>46045</v>
      </c>
      <c r="C74" s="19" t="s">
        <v>52</v>
      </c>
      <c r="D74" s="19" t="s">
        <v>53</v>
      </c>
      <c r="E74" s="19"/>
      <c r="F74" s="21">
        <v>0</v>
      </c>
      <c r="G74" s="21">
        <v>14898</v>
      </c>
      <c r="H74" s="23">
        <f t="shared" si="1"/>
        <v>705817.52000000014</v>
      </c>
    </row>
    <row r="75" spans="1:15" x14ac:dyDescent="0.3">
      <c r="A75" s="19" t="s">
        <v>109</v>
      </c>
      <c r="B75" s="20">
        <v>46050</v>
      </c>
      <c r="C75" s="19" t="s">
        <v>52</v>
      </c>
      <c r="D75" s="19" t="s">
        <v>57</v>
      </c>
      <c r="E75" s="19"/>
      <c r="F75" s="21">
        <v>0</v>
      </c>
      <c r="G75" s="21">
        <v>62</v>
      </c>
      <c r="H75" s="23">
        <f t="shared" si="1"/>
        <v>705755.52000000014</v>
      </c>
    </row>
    <row r="76" spans="1:15" x14ac:dyDescent="0.3">
      <c r="A76" s="19" t="s">
        <v>109</v>
      </c>
      <c r="B76" s="20">
        <v>46050</v>
      </c>
      <c r="C76" s="19" t="s">
        <v>52</v>
      </c>
      <c r="D76" s="19" t="s">
        <v>57</v>
      </c>
      <c r="E76" s="19"/>
      <c r="F76" s="21">
        <v>0</v>
      </c>
      <c r="G76" s="21">
        <v>3971</v>
      </c>
      <c r="H76" s="23">
        <f t="shared" si="1"/>
        <v>701784.52000000014</v>
      </c>
      <c r="N76" s="29">
        <f>1349829-699447</f>
        <v>650382</v>
      </c>
    </row>
    <row r="77" spans="1:15" s="30" customFormat="1" x14ac:dyDescent="0.3">
      <c r="A77" s="26" t="s">
        <v>109</v>
      </c>
      <c r="B77" s="27">
        <v>46050</v>
      </c>
      <c r="C77" s="26" t="s">
        <v>52</v>
      </c>
      <c r="D77" s="26" t="s">
        <v>57</v>
      </c>
      <c r="E77" s="26"/>
      <c r="F77" s="31">
        <v>0</v>
      </c>
      <c r="G77" s="31">
        <v>2338</v>
      </c>
      <c r="H77" s="29">
        <f t="shared" si="1"/>
        <v>699446.52000000014</v>
      </c>
      <c r="O77" s="29">
        <v>1349829</v>
      </c>
    </row>
    <row r="78" spans="1:15" x14ac:dyDescent="0.3">
      <c r="A78" s="19" t="s">
        <v>109</v>
      </c>
      <c r="B78" s="20">
        <v>46065</v>
      </c>
      <c r="C78" s="19" t="s">
        <v>54</v>
      </c>
      <c r="D78" s="19" t="s">
        <v>138</v>
      </c>
      <c r="E78" s="19" t="s">
        <v>248</v>
      </c>
      <c r="F78" s="25">
        <v>146634</v>
      </c>
      <c r="G78" s="25">
        <v>0</v>
      </c>
      <c r="H78" s="25">
        <f t="shared" ref="H78:H131" si="2">((H77 + F78) - G78)</f>
        <v>846080.52000000014</v>
      </c>
    </row>
    <row r="79" spans="1:15" x14ac:dyDescent="0.3">
      <c r="A79" s="19" t="s">
        <v>109</v>
      </c>
      <c r="B79" s="20">
        <v>46069</v>
      </c>
      <c r="C79" s="19" t="s">
        <v>52</v>
      </c>
      <c r="D79" s="19" t="s">
        <v>53</v>
      </c>
      <c r="E79" s="19"/>
      <c r="F79" s="25">
        <v>0</v>
      </c>
      <c r="G79" s="25">
        <v>10334.92</v>
      </c>
      <c r="H79" s="25">
        <f t="shared" si="2"/>
        <v>835745.60000000009</v>
      </c>
    </row>
    <row r="80" spans="1:15" x14ac:dyDescent="0.3">
      <c r="A80" s="19" t="s">
        <v>109</v>
      </c>
      <c r="B80" s="20">
        <v>46069</v>
      </c>
      <c r="C80" s="19" t="s">
        <v>52</v>
      </c>
      <c r="D80" s="19" t="s">
        <v>53</v>
      </c>
      <c r="E80" s="19"/>
      <c r="F80" s="25">
        <v>0</v>
      </c>
      <c r="G80" s="25">
        <v>10334.92</v>
      </c>
      <c r="H80" s="25">
        <f t="shared" si="2"/>
        <v>825410.68</v>
      </c>
    </row>
    <row r="81" spans="1:8" x14ac:dyDescent="0.3">
      <c r="A81" s="19" t="s">
        <v>109</v>
      </c>
      <c r="B81" s="20">
        <v>46070</v>
      </c>
      <c r="C81" s="19" t="s">
        <v>52</v>
      </c>
      <c r="D81" s="19" t="s">
        <v>57</v>
      </c>
      <c r="E81" s="19"/>
      <c r="F81" s="25">
        <v>0</v>
      </c>
      <c r="G81" s="25">
        <v>265</v>
      </c>
      <c r="H81" s="25">
        <f t="shared" si="2"/>
        <v>825145.68</v>
      </c>
    </row>
    <row r="82" spans="1:8" x14ac:dyDescent="0.3">
      <c r="A82" s="19" t="s">
        <v>109</v>
      </c>
      <c r="B82" s="20">
        <v>46070</v>
      </c>
      <c r="C82" s="19" t="s">
        <v>52</v>
      </c>
      <c r="D82" s="19" t="s">
        <v>57</v>
      </c>
      <c r="E82" s="19"/>
      <c r="F82" s="25">
        <v>0</v>
      </c>
      <c r="G82" s="25">
        <v>265</v>
      </c>
      <c r="H82" s="25">
        <f t="shared" si="2"/>
        <v>824880.68</v>
      </c>
    </row>
    <row r="83" spans="1:8" x14ac:dyDescent="0.3">
      <c r="A83" s="19" t="s">
        <v>109</v>
      </c>
      <c r="B83" s="20">
        <v>46076</v>
      </c>
      <c r="C83" s="19" t="s">
        <v>52</v>
      </c>
      <c r="D83" s="19" t="s">
        <v>53</v>
      </c>
      <c r="E83" s="19"/>
      <c r="F83" s="25">
        <v>0</v>
      </c>
      <c r="G83" s="25">
        <v>30420</v>
      </c>
      <c r="H83" s="25">
        <f t="shared" si="2"/>
        <v>794460.68</v>
      </c>
    </row>
    <row r="84" spans="1:8" x14ac:dyDescent="0.3">
      <c r="A84" s="19" t="s">
        <v>109</v>
      </c>
      <c r="B84" s="20">
        <v>46076</v>
      </c>
      <c r="C84" s="19" t="s">
        <v>52</v>
      </c>
      <c r="D84" s="19" t="s">
        <v>53</v>
      </c>
      <c r="E84" s="19"/>
      <c r="F84" s="25">
        <v>0</v>
      </c>
      <c r="G84" s="25">
        <v>230845.22</v>
      </c>
      <c r="H84" s="25">
        <f t="shared" si="2"/>
        <v>563615.46000000008</v>
      </c>
    </row>
    <row r="85" spans="1:8" x14ac:dyDescent="0.3">
      <c r="A85" s="19" t="s">
        <v>109</v>
      </c>
      <c r="B85" s="20">
        <v>46076</v>
      </c>
      <c r="C85" s="19" t="s">
        <v>52</v>
      </c>
      <c r="D85" s="19" t="s">
        <v>53</v>
      </c>
      <c r="E85" s="19"/>
      <c r="F85" s="25">
        <v>0</v>
      </c>
      <c r="G85" s="25">
        <v>5585.74</v>
      </c>
      <c r="H85" s="25">
        <f t="shared" si="2"/>
        <v>558029.72000000009</v>
      </c>
    </row>
    <row r="86" spans="1:8" x14ac:dyDescent="0.3">
      <c r="A86" s="19" t="s">
        <v>109</v>
      </c>
      <c r="B86" s="20">
        <v>46076</v>
      </c>
      <c r="C86" s="19" t="s">
        <v>52</v>
      </c>
      <c r="D86" s="19" t="s">
        <v>53</v>
      </c>
      <c r="E86" s="19"/>
      <c r="F86" s="25">
        <v>0</v>
      </c>
      <c r="G86" s="25">
        <v>4792.76</v>
      </c>
      <c r="H86" s="25">
        <f t="shared" si="2"/>
        <v>553236.96000000008</v>
      </c>
    </row>
    <row r="87" spans="1:8" x14ac:dyDescent="0.3">
      <c r="A87" s="19" t="s">
        <v>109</v>
      </c>
      <c r="B87" s="20">
        <v>46076</v>
      </c>
      <c r="C87" s="19" t="s">
        <v>52</v>
      </c>
      <c r="D87" s="19" t="s">
        <v>53</v>
      </c>
      <c r="E87" s="19"/>
      <c r="F87" s="25">
        <v>0</v>
      </c>
      <c r="G87" s="25">
        <v>6195.73</v>
      </c>
      <c r="H87" s="25">
        <f t="shared" si="2"/>
        <v>547041.2300000001</v>
      </c>
    </row>
    <row r="88" spans="1:8" x14ac:dyDescent="0.3">
      <c r="A88" s="19" t="s">
        <v>109</v>
      </c>
      <c r="B88" s="20">
        <v>46077</v>
      </c>
      <c r="C88" s="19" t="s">
        <v>52</v>
      </c>
      <c r="D88" s="19" t="s">
        <v>57</v>
      </c>
      <c r="E88" s="19"/>
      <c r="F88" s="25">
        <v>0</v>
      </c>
      <c r="G88" s="25">
        <v>142</v>
      </c>
      <c r="H88" s="25">
        <f t="shared" si="2"/>
        <v>546899.2300000001</v>
      </c>
    </row>
    <row r="89" spans="1:8" x14ac:dyDescent="0.3">
      <c r="A89" s="19" t="s">
        <v>109</v>
      </c>
      <c r="B89" s="20">
        <v>46077</v>
      </c>
      <c r="C89" s="19" t="s">
        <v>52</v>
      </c>
      <c r="D89" s="19" t="s">
        <v>57</v>
      </c>
      <c r="E89" s="19"/>
      <c r="F89" s="25">
        <v>0</v>
      </c>
      <c r="G89" s="25">
        <v>124</v>
      </c>
      <c r="H89" s="25">
        <f t="shared" si="2"/>
        <v>546775.2300000001</v>
      </c>
    </row>
    <row r="90" spans="1:8" x14ac:dyDescent="0.3">
      <c r="A90" s="19" t="s">
        <v>109</v>
      </c>
      <c r="B90" s="20">
        <v>46077</v>
      </c>
      <c r="C90" s="19" t="s">
        <v>52</v>
      </c>
      <c r="D90" s="19" t="s">
        <v>57</v>
      </c>
      <c r="E90" s="19"/>
      <c r="F90" s="25">
        <v>0</v>
      </c>
      <c r="G90" s="25">
        <v>5859</v>
      </c>
      <c r="H90" s="25">
        <f t="shared" si="2"/>
        <v>540916.2300000001</v>
      </c>
    </row>
    <row r="91" spans="1:8" x14ac:dyDescent="0.3">
      <c r="A91" s="19" t="s">
        <v>109</v>
      </c>
      <c r="B91" s="20">
        <v>46077</v>
      </c>
      <c r="C91" s="19" t="s">
        <v>52</v>
      </c>
      <c r="D91" s="19" t="s">
        <v>57</v>
      </c>
      <c r="E91" s="19"/>
      <c r="F91" s="25">
        <v>0</v>
      </c>
      <c r="G91" s="25">
        <v>159</v>
      </c>
      <c r="H91" s="25">
        <f t="shared" si="2"/>
        <v>540757.2300000001</v>
      </c>
    </row>
    <row r="92" spans="1:8" x14ac:dyDescent="0.3">
      <c r="A92" s="19" t="s">
        <v>109</v>
      </c>
      <c r="B92" s="20">
        <v>46077</v>
      </c>
      <c r="C92" s="19" t="s">
        <v>52</v>
      </c>
      <c r="D92" s="19" t="s">
        <v>53</v>
      </c>
      <c r="E92" s="19"/>
      <c r="F92" s="25">
        <v>0</v>
      </c>
      <c r="G92" s="25">
        <v>6239.3</v>
      </c>
      <c r="H92" s="25">
        <f t="shared" si="2"/>
        <v>534517.93000000005</v>
      </c>
    </row>
    <row r="93" spans="1:8" x14ac:dyDescent="0.3">
      <c r="A93" s="19" t="s">
        <v>109</v>
      </c>
      <c r="B93" s="20">
        <v>46077</v>
      </c>
      <c r="C93" s="19" t="s">
        <v>52</v>
      </c>
      <c r="D93" s="19" t="s">
        <v>53</v>
      </c>
      <c r="E93" s="19"/>
      <c r="F93" s="25">
        <v>0</v>
      </c>
      <c r="G93" s="25">
        <v>5638.02</v>
      </c>
      <c r="H93" s="25">
        <f t="shared" si="2"/>
        <v>528879.91</v>
      </c>
    </row>
    <row r="94" spans="1:8" x14ac:dyDescent="0.3">
      <c r="A94" s="19" t="s">
        <v>109</v>
      </c>
      <c r="B94" s="20">
        <v>46077</v>
      </c>
      <c r="C94" s="19" t="s">
        <v>52</v>
      </c>
      <c r="D94" s="19" t="s">
        <v>53</v>
      </c>
      <c r="E94" s="19"/>
      <c r="F94" s="25">
        <v>0</v>
      </c>
      <c r="G94" s="25">
        <v>6918.99</v>
      </c>
      <c r="H94" s="25">
        <f t="shared" si="2"/>
        <v>521960.92000000004</v>
      </c>
    </row>
    <row r="95" spans="1:8" x14ac:dyDescent="0.3">
      <c r="A95" s="19" t="s">
        <v>109</v>
      </c>
      <c r="B95" s="20">
        <v>46077</v>
      </c>
      <c r="C95" s="19" t="s">
        <v>52</v>
      </c>
      <c r="D95" s="19" t="s">
        <v>53</v>
      </c>
      <c r="E95" s="19"/>
      <c r="F95" s="25">
        <v>0</v>
      </c>
      <c r="G95" s="25">
        <v>14221.41</v>
      </c>
      <c r="H95" s="25">
        <f t="shared" si="2"/>
        <v>507739.51000000007</v>
      </c>
    </row>
    <row r="96" spans="1:8" x14ac:dyDescent="0.3">
      <c r="A96" s="19" t="s">
        <v>109</v>
      </c>
      <c r="B96" s="20">
        <v>46077</v>
      </c>
      <c r="C96" s="19" t="s">
        <v>52</v>
      </c>
      <c r="D96" s="19" t="s">
        <v>53</v>
      </c>
      <c r="E96" s="19"/>
      <c r="F96" s="25">
        <v>0</v>
      </c>
      <c r="G96" s="25">
        <v>110198.51</v>
      </c>
      <c r="H96" s="25">
        <f t="shared" si="2"/>
        <v>397541.00000000006</v>
      </c>
    </row>
    <row r="97" spans="1:15" x14ac:dyDescent="0.3">
      <c r="A97" s="19" t="s">
        <v>109</v>
      </c>
      <c r="B97" s="20">
        <v>46078</v>
      </c>
      <c r="C97" s="19" t="s">
        <v>52</v>
      </c>
      <c r="D97" s="19" t="s">
        <v>57</v>
      </c>
      <c r="E97" s="19"/>
      <c r="F97" s="25">
        <v>0</v>
      </c>
      <c r="G97" s="25">
        <v>3977</v>
      </c>
      <c r="H97" s="25">
        <f t="shared" si="2"/>
        <v>393564.00000000006</v>
      </c>
    </row>
    <row r="98" spans="1:15" x14ac:dyDescent="0.3">
      <c r="A98" s="19" t="s">
        <v>109</v>
      </c>
      <c r="B98" s="20">
        <v>46078</v>
      </c>
      <c r="C98" s="19" t="s">
        <v>52</v>
      </c>
      <c r="D98" s="19" t="s">
        <v>57</v>
      </c>
      <c r="E98" s="19"/>
      <c r="F98" s="25">
        <v>0</v>
      </c>
      <c r="G98" s="25">
        <v>142</v>
      </c>
      <c r="H98" s="25">
        <f t="shared" si="2"/>
        <v>393422.00000000006</v>
      </c>
    </row>
    <row r="99" spans="1:15" x14ac:dyDescent="0.3">
      <c r="A99" s="19" t="s">
        <v>109</v>
      </c>
      <c r="B99" s="20">
        <v>46078</v>
      </c>
      <c r="C99" s="19" t="s">
        <v>52</v>
      </c>
      <c r="D99" s="19" t="s">
        <v>57</v>
      </c>
      <c r="E99" s="19"/>
      <c r="F99" s="25">
        <v>0</v>
      </c>
      <c r="G99" s="25">
        <v>159</v>
      </c>
      <c r="H99" s="25">
        <f t="shared" si="2"/>
        <v>393263.00000000006</v>
      </c>
    </row>
    <row r="100" spans="1:15" x14ac:dyDescent="0.3">
      <c r="A100" s="19" t="s">
        <v>109</v>
      </c>
      <c r="B100" s="20">
        <v>46078</v>
      </c>
      <c r="C100" s="19" t="s">
        <v>52</v>
      </c>
      <c r="D100" s="19" t="s">
        <v>57</v>
      </c>
      <c r="E100" s="19"/>
      <c r="F100" s="25">
        <v>0</v>
      </c>
      <c r="G100" s="25">
        <v>177</v>
      </c>
      <c r="H100" s="25">
        <f t="shared" si="2"/>
        <v>393086.00000000006</v>
      </c>
    </row>
    <row r="101" spans="1:15" x14ac:dyDescent="0.3">
      <c r="A101" s="19" t="s">
        <v>109</v>
      </c>
      <c r="B101" s="20">
        <v>46078</v>
      </c>
      <c r="C101" s="19" t="s">
        <v>52</v>
      </c>
      <c r="D101" s="19" t="s">
        <v>57</v>
      </c>
      <c r="E101" s="19"/>
      <c r="F101" s="25">
        <v>0</v>
      </c>
      <c r="G101" s="25">
        <v>2797</v>
      </c>
      <c r="H101" s="25">
        <f t="shared" si="2"/>
        <v>390289.00000000006</v>
      </c>
      <c r="N101" s="44">
        <f>O102+389926</f>
        <v>846079</v>
      </c>
    </row>
    <row r="102" spans="1:15" x14ac:dyDescent="0.3">
      <c r="A102" s="26" t="s">
        <v>109</v>
      </c>
      <c r="B102" s="27">
        <v>46078</v>
      </c>
      <c r="C102" s="26" t="s">
        <v>52</v>
      </c>
      <c r="D102" s="26" t="s">
        <v>57</v>
      </c>
      <c r="E102" s="26"/>
      <c r="F102" s="28">
        <v>0</v>
      </c>
      <c r="G102" s="28">
        <v>363</v>
      </c>
      <c r="H102" s="28">
        <f t="shared" si="2"/>
        <v>389926.00000000006</v>
      </c>
      <c r="O102" s="29">
        <v>456153</v>
      </c>
    </row>
    <row r="103" spans="1:15" x14ac:dyDescent="0.3">
      <c r="A103" s="19" t="s">
        <v>109</v>
      </c>
      <c r="B103" s="20">
        <v>46082</v>
      </c>
      <c r="C103" s="19" t="s">
        <v>52</v>
      </c>
      <c r="D103" s="19" t="s">
        <v>53</v>
      </c>
      <c r="E103" s="19"/>
      <c r="F103" s="25">
        <v>0</v>
      </c>
      <c r="G103" s="25">
        <v>29000</v>
      </c>
      <c r="H103" s="25">
        <f t="shared" si="2"/>
        <v>360926.00000000006</v>
      </c>
    </row>
    <row r="104" spans="1:15" x14ac:dyDescent="0.3">
      <c r="A104" s="19" t="s">
        <v>109</v>
      </c>
      <c r="B104" s="20">
        <v>46082</v>
      </c>
      <c r="C104" s="19" t="s">
        <v>52</v>
      </c>
      <c r="D104" s="19" t="s">
        <v>57</v>
      </c>
      <c r="E104" s="19"/>
      <c r="F104" s="25">
        <v>0</v>
      </c>
      <c r="G104" s="25">
        <v>496</v>
      </c>
      <c r="H104" s="25">
        <f t="shared" si="2"/>
        <v>360430.00000000006</v>
      </c>
    </row>
    <row r="105" spans="1:15" x14ac:dyDescent="0.3">
      <c r="A105" s="19" t="s">
        <v>109</v>
      </c>
      <c r="B105" s="20">
        <v>46082</v>
      </c>
      <c r="C105" s="19" t="s">
        <v>52</v>
      </c>
      <c r="D105" s="19" t="s">
        <v>57</v>
      </c>
      <c r="E105" s="19"/>
      <c r="F105" s="25">
        <v>0</v>
      </c>
      <c r="G105" s="25">
        <v>626</v>
      </c>
      <c r="H105" s="25">
        <f t="shared" si="2"/>
        <v>359804.00000000006</v>
      </c>
    </row>
    <row r="106" spans="1:15" x14ac:dyDescent="0.3">
      <c r="A106" s="19" t="s">
        <v>109</v>
      </c>
      <c r="B106" s="20">
        <v>46082</v>
      </c>
      <c r="C106" s="19" t="s">
        <v>52</v>
      </c>
      <c r="D106" s="19" t="s">
        <v>57</v>
      </c>
      <c r="E106" s="19"/>
      <c r="F106" s="25">
        <v>0</v>
      </c>
      <c r="G106" s="25">
        <v>402</v>
      </c>
      <c r="H106" s="25">
        <f t="shared" si="2"/>
        <v>359402.00000000006</v>
      </c>
    </row>
    <row r="107" spans="1:15" x14ac:dyDescent="0.3">
      <c r="A107" s="19" t="s">
        <v>109</v>
      </c>
      <c r="B107" s="20">
        <v>46082</v>
      </c>
      <c r="C107" s="19" t="s">
        <v>52</v>
      </c>
      <c r="D107" s="19" t="s">
        <v>57</v>
      </c>
      <c r="E107" s="19"/>
      <c r="F107" s="25">
        <v>0</v>
      </c>
      <c r="G107" s="25">
        <v>159</v>
      </c>
      <c r="H107" s="25">
        <f t="shared" si="2"/>
        <v>359243.00000000006</v>
      </c>
    </row>
    <row r="108" spans="1:15" x14ac:dyDescent="0.3">
      <c r="A108" s="19" t="s">
        <v>109</v>
      </c>
      <c r="B108" s="20">
        <v>46082</v>
      </c>
      <c r="C108" s="19" t="s">
        <v>52</v>
      </c>
      <c r="D108" s="19" t="s">
        <v>57</v>
      </c>
      <c r="E108" s="19"/>
      <c r="F108" s="25">
        <v>0</v>
      </c>
      <c r="G108" s="25">
        <v>3104</v>
      </c>
      <c r="H108" s="25">
        <f t="shared" si="2"/>
        <v>356139.00000000006</v>
      </c>
    </row>
    <row r="109" spans="1:15" x14ac:dyDescent="0.3">
      <c r="A109" s="19" t="s">
        <v>109</v>
      </c>
      <c r="B109" s="20">
        <v>46082</v>
      </c>
      <c r="C109" s="19" t="s">
        <v>52</v>
      </c>
      <c r="D109" s="19" t="s">
        <v>57</v>
      </c>
      <c r="E109" s="19"/>
      <c r="F109" s="25">
        <v>0</v>
      </c>
      <c r="G109" s="25">
        <v>832</v>
      </c>
      <c r="H109" s="25">
        <f t="shared" si="2"/>
        <v>355307.00000000006</v>
      </c>
    </row>
    <row r="110" spans="1:15" x14ac:dyDescent="0.3">
      <c r="A110" s="19" t="s">
        <v>109</v>
      </c>
      <c r="B110" s="20">
        <v>46082</v>
      </c>
      <c r="C110" s="19" t="s">
        <v>52</v>
      </c>
      <c r="D110" s="19" t="s">
        <v>53</v>
      </c>
      <c r="E110" s="19"/>
      <c r="F110" s="25">
        <v>0</v>
      </c>
      <c r="G110" s="25">
        <v>15535.11</v>
      </c>
      <c r="H110" s="25">
        <f t="shared" si="2"/>
        <v>339771.89000000007</v>
      </c>
    </row>
    <row r="111" spans="1:15" x14ac:dyDescent="0.3">
      <c r="A111" s="19" t="s">
        <v>109</v>
      </c>
      <c r="B111" s="20">
        <v>46082</v>
      </c>
      <c r="C111" s="19" t="s">
        <v>52</v>
      </c>
      <c r="D111" s="19" t="s">
        <v>53</v>
      </c>
      <c r="E111" s="19"/>
      <c r="F111" s="25">
        <v>0</v>
      </c>
      <c r="G111" s="25">
        <v>6351.12</v>
      </c>
      <c r="H111" s="25">
        <f t="shared" si="2"/>
        <v>333420.77000000008</v>
      </c>
    </row>
    <row r="112" spans="1:15" x14ac:dyDescent="0.3">
      <c r="A112" s="19" t="s">
        <v>109</v>
      </c>
      <c r="B112" s="20">
        <v>46082</v>
      </c>
      <c r="C112" s="19" t="s">
        <v>52</v>
      </c>
      <c r="D112" s="19" t="s">
        <v>53</v>
      </c>
      <c r="E112" s="19"/>
      <c r="F112" s="25">
        <v>0</v>
      </c>
      <c r="G112" s="25">
        <v>24664.27</v>
      </c>
      <c r="H112" s="25">
        <f t="shared" si="2"/>
        <v>308756.50000000006</v>
      </c>
    </row>
    <row r="113" spans="1:8" x14ac:dyDescent="0.3">
      <c r="A113" s="19" t="s">
        <v>109</v>
      </c>
      <c r="B113" s="20">
        <v>46082</v>
      </c>
      <c r="C113" s="19" t="s">
        <v>52</v>
      </c>
      <c r="D113" s="19" t="s">
        <v>53</v>
      </c>
      <c r="E113" s="19"/>
      <c r="F113" s="25">
        <v>0</v>
      </c>
      <c r="G113" s="25">
        <v>121438.87</v>
      </c>
      <c r="H113" s="25">
        <f t="shared" si="2"/>
        <v>187317.63000000006</v>
      </c>
    </row>
    <row r="114" spans="1:8" x14ac:dyDescent="0.3">
      <c r="A114" s="19" t="s">
        <v>109</v>
      </c>
      <c r="B114" s="20">
        <v>46082</v>
      </c>
      <c r="C114" s="19" t="s">
        <v>52</v>
      </c>
      <c r="D114" s="19" t="s">
        <v>53</v>
      </c>
      <c r="E114" s="19"/>
      <c r="F114" s="25">
        <v>0</v>
      </c>
      <c r="G114" s="25">
        <v>32669.42</v>
      </c>
      <c r="H114" s="25">
        <f t="shared" si="2"/>
        <v>154648.21000000008</v>
      </c>
    </row>
    <row r="115" spans="1:8" x14ac:dyDescent="0.3">
      <c r="A115" s="19" t="s">
        <v>109</v>
      </c>
      <c r="B115" s="20">
        <v>46082</v>
      </c>
      <c r="C115" s="19" t="s">
        <v>52</v>
      </c>
      <c r="D115" s="19" t="s">
        <v>53</v>
      </c>
      <c r="E115" s="19"/>
      <c r="F115" s="25">
        <v>0</v>
      </c>
      <c r="G115" s="25">
        <v>19428.03</v>
      </c>
      <c r="H115" s="25">
        <f t="shared" si="2"/>
        <v>135220.18000000008</v>
      </c>
    </row>
    <row r="116" spans="1:8" x14ac:dyDescent="0.3">
      <c r="A116" s="19" t="s">
        <v>109</v>
      </c>
      <c r="B116" s="20">
        <v>46091</v>
      </c>
      <c r="C116" s="19" t="s">
        <v>52</v>
      </c>
      <c r="D116" s="19" t="s">
        <v>53</v>
      </c>
      <c r="E116" s="19"/>
      <c r="F116" s="25">
        <v>0</v>
      </c>
      <c r="G116" s="25">
        <v>57442</v>
      </c>
      <c r="H116" s="25">
        <f t="shared" si="2"/>
        <v>77778.18000000008</v>
      </c>
    </row>
    <row r="117" spans="1:8" x14ac:dyDescent="0.3">
      <c r="A117" s="19" t="s">
        <v>109</v>
      </c>
      <c r="B117" s="20">
        <v>46093</v>
      </c>
      <c r="C117" s="19" t="s">
        <v>54</v>
      </c>
      <c r="D117" s="19" t="s">
        <v>138</v>
      </c>
      <c r="E117" s="19" t="s">
        <v>249</v>
      </c>
      <c r="F117" s="25">
        <v>44849</v>
      </c>
      <c r="G117" s="25">
        <v>0</v>
      </c>
      <c r="H117" s="25">
        <f t="shared" si="2"/>
        <v>122627.18000000008</v>
      </c>
    </row>
    <row r="118" spans="1:8" x14ac:dyDescent="0.3">
      <c r="A118" s="19" t="s">
        <v>109</v>
      </c>
      <c r="B118" s="20">
        <v>46093</v>
      </c>
      <c r="C118" s="19" t="s">
        <v>52</v>
      </c>
      <c r="D118" s="19" t="s">
        <v>53</v>
      </c>
      <c r="E118" s="19"/>
      <c r="F118" s="25">
        <v>0</v>
      </c>
      <c r="G118" s="25">
        <v>10098</v>
      </c>
      <c r="H118" s="25">
        <f t="shared" si="2"/>
        <v>112529.18000000008</v>
      </c>
    </row>
    <row r="119" spans="1:8" x14ac:dyDescent="0.3">
      <c r="A119" s="19" t="s">
        <v>109</v>
      </c>
      <c r="B119" s="20">
        <v>46093</v>
      </c>
      <c r="C119" s="19" t="s">
        <v>52</v>
      </c>
      <c r="D119" s="19" t="s">
        <v>57</v>
      </c>
      <c r="E119" s="19"/>
      <c r="F119" s="25">
        <v>0</v>
      </c>
      <c r="G119" s="25">
        <v>27654.48</v>
      </c>
      <c r="H119" s="25">
        <f t="shared" si="2"/>
        <v>84874.700000000084</v>
      </c>
    </row>
    <row r="120" spans="1:8" x14ac:dyDescent="0.3">
      <c r="A120" s="19" t="s">
        <v>109</v>
      </c>
      <c r="B120" s="20">
        <v>46093</v>
      </c>
      <c r="C120" s="19" t="s">
        <v>52</v>
      </c>
      <c r="D120" s="19" t="s">
        <v>53</v>
      </c>
      <c r="E120" s="19"/>
      <c r="F120" s="25">
        <v>0</v>
      </c>
      <c r="G120" s="25">
        <v>26950</v>
      </c>
      <c r="H120" s="25">
        <f t="shared" si="2"/>
        <v>57924.700000000084</v>
      </c>
    </row>
    <row r="121" spans="1:8" x14ac:dyDescent="0.3">
      <c r="A121" s="19" t="s">
        <v>109</v>
      </c>
      <c r="B121" s="20">
        <v>46100</v>
      </c>
      <c r="C121" s="19" t="s">
        <v>52</v>
      </c>
      <c r="D121" s="19" t="s">
        <v>53</v>
      </c>
      <c r="E121" s="19"/>
      <c r="F121" s="25">
        <v>0</v>
      </c>
      <c r="G121" s="25">
        <v>49980</v>
      </c>
      <c r="H121" s="25">
        <f t="shared" si="2"/>
        <v>7944.7000000000844</v>
      </c>
    </row>
    <row r="122" spans="1:8" x14ac:dyDescent="0.3">
      <c r="A122" s="19" t="s">
        <v>109</v>
      </c>
      <c r="B122" s="20">
        <v>46100</v>
      </c>
      <c r="C122" s="19" t="s">
        <v>52</v>
      </c>
      <c r="D122" s="19" t="s">
        <v>53</v>
      </c>
      <c r="E122" s="19"/>
      <c r="F122" s="25">
        <v>0</v>
      </c>
      <c r="G122" s="25">
        <v>7970</v>
      </c>
      <c r="H122" s="25">
        <f t="shared" si="2"/>
        <v>-25.299999999915599</v>
      </c>
    </row>
    <row r="123" spans="1:8" x14ac:dyDescent="0.3">
      <c r="A123" s="19" t="s">
        <v>109</v>
      </c>
      <c r="B123" s="20">
        <v>46100</v>
      </c>
      <c r="C123" s="19" t="s">
        <v>52</v>
      </c>
      <c r="D123" s="19" t="s">
        <v>53</v>
      </c>
      <c r="E123" s="19"/>
      <c r="F123" s="25">
        <v>0</v>
      </c>
      <c r="G123" s="25">
        <v>14700</v>
      </c>
      <c r="H123" s="25">
        <f t="shared" si="2"/>
        <v>-14725.299999999916</v>
      </c>
    </row>
    <row r="124" spans="1:8" x14ac:dyDescent="0.3">
      <c r="A124" s="19" t="s">
        <v>109</v>
      </c>
      <c r="B124" s="20">
        <v>46100</v>
      </c>
      <c r="C124" s="19" t="s">
        <v>52</v>
      </c>
      <c r="D124" s="19" t="s">
        <v>53</v>
      </c>
      <c r="E124" s="19"/>
      <c r="F124" s="25">
        <v>0</v>
      </c>
      <c r="G124" s="25">
        <v>9780</v>
      </c>
      <c r="H124" s="25">
        <f t="shared" si="2"/>
        <v>-24505.299999999916</v>
      </c>
    </row>
    <row r="125" spans="1:8" x14ac:dyDescent="0.3">
      <c r="A125" s="19" t="s">
        <v>109</v>
      </c>
      <c r="B125" s="20">
        <v>46100</v>
      </c>
      <c r="C125" s="19" t="s">
        <v>52</v>
      </c>
      <c r="D125" s="19" t="s">
        <v>53</v>
      </c>
      <c r="E125" s="19"/>
      <c r="F125" s="25">
        <v>0</v>
      </c>
      <c r="G125" s="25">
        <v>25000</v>
      </c>
      <c r="H125" s="25">
        <f t="shared" si="2"/>
        <v>-49505.299999999916</v>
      </c>
    </row>
    <row r="126" spans="1:8" x14ac:dyDescent="0.3">
      <c r="A126" s="19" t="s">
        <v>109</v>
      </c>
      <c r="B126" s="20">
        <v>46101</v>
      </c>
      <c r="C126" s="19" t="s">
        <v>52</v>
      </c>
      <c r="D126" s="19" t="s">
        <v>53</v>
      </c>
      <c r="E126" s="19"/>
      <c r="F126" s="25">
        <v>0</v>
      </c>
      <c r="G126" s="25">
        <v>29000</v>
      </c>
      <c r="H126" s="25">
        <f t="shared" si="2"/>
        <v>-78505.299999999916</v>
      </c>
    </row>
    <row r="127" spans="1:8" x14ac:dyDescent="0.3">
      <c r="A127" s="19" t="s">
        <v>109</v>
      </c>
      <c r="B127" s="20">
        <v>46101</v>
      </c>
      <c r="C127" s="19" t="s">
        <v>52</v>
      </c>
      <c r="D127" s="19" t="s">
        <v>53</v>
      </c>
      <c r="E127" s="19"/>
      <c r="F127" s="25">
        <v>0</v>
      </c>
      <c r="G127" s="25">
        <v>27346</v>
      </c>
      <c r="H127" s="25">
        <f t="shared" si="2"/>
        <v>-105851.29999999992</v>
      </c>
    </row>
    <row r="128" spans="1:8" x14ac:dyDescent="0.3">
      <c r="A128" s="19" t="s">
        <v>109</v>
      </c>
      <c r="B128" s="20">
        <v>46101</v>
      </c>
      <c r="C128" s="19" t="s">
        <v>52</v>
      </c>
      <c r="D128" s="19" t="s">
        <v>53</v>
      </c>
      <c r="E128" s="19"/>
      <c r="F128" s="25">
        <v>0</v>
      </c>
      <c r="G128" s="25">
        <v>25000</v>
      </c>
      <c r="H128" s="25">
        <f t="shared" si="2"/>
        <v>-130851.29999999992</v>
      </c>
    </row>
    <row r="129" spans="1:15" x14ac:dyDescent="0.3">
      <c r="A129" s="19" t="s">
        <v>109</v>
      </c>
      <c r="B129" s="20">
        <v>46107</v>
      </c>
      <c r="C129" s="19" t="s">
        <v>52</v>
      </c>
      <c r="D129" s="19" t="s">
        <v>57</v>
      </c>
      <c r="E129" s="19"/>
      <c r="F129" s="25">
        <v>0</v>
      </c>
      <c r="G129" s="25">
        <v>296</v>
      </c>
      <c r="H129" s="25">
        <f t="shared" si="2"/>
        <v>-131147.29999999993</v>
      </c>
    </row>
    <row r="130" spans="1:15" x14ac:dyDescent="0.3">
      <c r="A130" s="19" t="s">
        <v>109</v>
      </c>
      <c r="B130" s="20">
        <v>46107</v>
      </c>
      <c r="C130" s="19" t="s">
        <v>52</v>
      </c>
      <c r="D130" s="19" t="s">
        <v>57</v>
      </c>
      <c r="E130" s="19"/>
      <c r="F130" s="25">
        <v>0</v>
      </c>
      <c r="G130" s="25">
        <v>3984</v>
      </c>
      <c r="H130" s="25">
        <f t="shared" si="2"/>
        <v>-135131.29999999993</v>
      </c>
      <c r="N130" s="44">
        <f>O131-149068</f>
        <v>846081</v>
      </c>
    </row>
    <row r="131" spans="1:15" x14ac:dyDescent="0.3">
      <c r="A131" s="26" t="s">
        <v>109</v>
      </c>
      <c r="B131" s="27">
        <v>46107</v>
      </c>
      <c r="C131" s="26" t="s">
        <v>52</v>
      </c>
      <c r="D131" s="26" t="s">
        <v>57</v>
      </c>
      <c r="E131" s="26"/>
      <c r="F131" s="28">
        <v>0</v>
      </c>
      <c r="G131" s="28">
        <v>13937</v>
      </c>
      <c r="H131" s="28">
        <f t="shared" si="2"/>
        <v>-149068.29999999993</v>
      </c>
      <c r="O131" s="29">
        <v>995149</v>
      </c>
    </row>
  </sheetData>
  <pageMargins left="0.7" right="0.7" top="0.75" bottom="0.75" header="0.3" footer="0.3"/>
  <headerFooter>
    <oddFooter>&amp;C_x000D_&amp;1#&amp;"Aptos"&amp;9&amp;K000000 Calificación: Publico, apto para su distribución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0E1B2-C6D6-4A77-8712-1622A5FDC087}">
  <dimension ref="A1:M10"/>
  <sheetViews>
    <sheetView workbookViewId="0">
      <selection activeCell="F14" sqref="F14"/>
    </sheetView>
  </sheetViews>
  <sheetFormatPr baseColWidth="10" defaultRowHeight="14" x14ac:dyDescent="0.3"/>
  <cols>
    <col min="11" max="11" width="11.19921875" style="23"/>
    <col min="12" max="12" width="12.5" bestFit="1" customWidth="1"/>
  </cols>
  <sheetData>
    <row r="1" spans="1:13" ht="14.55" thickBot="1" x14ac:dyDescent="0.35">
      <c r="A1">
        <v>9</v>
      </c>
      <c r="B1" s="36" t="s">
        <v>146</v>
      </c>
      <c r="C1" s="38">
        <v>165718</v>
      </c>
      <c r="D1" s="37"/>
      <c r="K1" s="23">
        <v>-1603016</v>
      </c>
      <c r="L1" s="2">
        <f>+'9KA'!H1+'11SC'!H1+'12FM'!H1+'13CW'!H1+'14CM'!I1+'15JM'!H1+'54MP'!H1</f>
        <v>-3753242</v>
      </c>
      <c r="M1" t="s">
        <v>147</v>
      </c>
    </row>
    <row r="2" spans="1:13" ht="14.55" thickBot="1" x14ac:dyDescent="0.35">
      <c r="A2">
        <v>11</v>
      </c>
      <c r="B2" s="36" t="s">
        <v>146</v>
      </c>
      <c r="C2" s="38">
        <v>33722</v>
      </c>
      <c r="D2" s="37"/>
      <c r="K2" s="23">
        <v>-132730</v>
      </c>
      <c r="L2" s="23">
        <f>+'9KA'!I14+'11SC'!I14+'12FM'!I13+'13CW'!I20+'14CM'!J10+'54MP'!I13</f>
        <v>-1046537.7383999999</v>
      </c>
      <c r="M2" t="s">
        <v>148</v>
      </c>
    </row>
    <row r="3" spans="1:13" ht="14.55" thickBot="1" x14ac:dyDescent="0.35">
      <c r="A3">
        <v>12</v>
      </c>
      <c r="B3" s="36" t="s">
        <v>146</v>
      </c>
      <c r="C3" s="38"/>
      <c r="D3" s="37"/>
      <c r="K3" s="23">
        <v>-183788.416</v>
      </c>
    </row>
    <row r="4" spans="1:13" ht="14.55" thickBot="1" x14ac:dyDescent="0.35">
      <c r="A4">
        <v>13</v>
      </c>
      <c r="B4" s="36" t="s">
        <v>146</v>
      </c>
      <c r="C4" s="38">
        <v>260435</v>
      </c>
      <c r="D4" s="37"/>
      <c r="K4" s="23">
        <v>-2580387</v>
      </c>
    </row>
    <row r="5" spans="1:13" ht="14.55" thickBot="1" x14ac:dyDescent="0.35">
      <c r="A5">
        <v>14</v>
      </c>
      <c r="B5" s="36"/>
      <c r="C5" s="38"/>
      <c r="D5" s="37"/>
      <c r="K5" s="23">
        <v>-86888</v>
      </c>
    </row>
    <row r="6" spans="1:13" ht="14.55" thickBot="1" x14ac:dyDescent="0.35">
      <c r="A6">
        <v>15</v>
      </c>
      <c r="B6" s="36" t="s">
        <v>146</v>
      </c>
      <c r="C6" s="38"/>
      <c r="D6" s="37">
        <f>1349829-1277867</f>
        <v>71962</v>
      </c>
      <c r="K6" s="23">
        <v>-1277867</v>
      </c>
    </row>
    <row r="7" spans="1:13" ht="14.55" thickBot="1" x14ac:dyDescent="0.35">
      <c r="A7">
        <v>54</v>
      </c>
      <c r="B7" s="36" t="s">
        <v>146</v>
      </c>
      <c r="C7" s="38"/>
      <c r="D7" s="37"/>
      <c r="K7" s="23">
        <v>-146634</v>
      </c>
    </row>
    <row r="8" spans="1:13" ht="14.55" thickBot="1" x14ac:dyDescent="0.35">
      <c r="A8" t="s">
        <v>149</v>
      </c>
      <c r="B8" s="36" t="s">
        <v>146</v>
      </c>
      <c r="C8" s="38">
        <v>217461</v>
      </c>
      <c r="D8" s="37"/>
      <c r="K8" s="23">
        <v>-217461</v>
      </c>
    </row>
    <row r="9" spans="1:13" x14ac:dyDescent="0.3">
      <c r="C9" s="23">
        <f>SUM(C1:C8)</f>
        <v>677336</v>
      </c>
      <c r="D9" s="23">
        <f>SUM(D1:D7)</f>
        <v>71962</v>
      </c>
      <c r="K9" s="39">
        <f>SUM(K1:K8)</f>
        <v>-6228771.4160000002</v>
      </c>
    </row>
    <row r="10" spans="1:13" x14ac:dyDescent="0.3">
      <c r="C10" s="40" t="s">
        <v>150</v>
      </c>
      <c r="D10" s="41">
        <f>C9-D9</f>
        <v>605374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4B9B28F-C588-4C95-917D-E99D139F4C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a8ec313-c772-4af8-8363-8ff52de2e6b8"/>
    <ds:schemaRef ds:uri="6a7ff2fa-cd4c-4111-a6ab-75351164d8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34F24AC-ACEC-4392-A4D4-D79B40CD0F90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a7ff2fa-cd4c-4111-a6ab-75351164d87f"/>
    <ds:schemaRef ds:uri="fa8ec313-c772-4af8-8363-8ff52de2e6b8"/>
  </ds:schemaRefs>
</ds:datastoreItem>
</file>

<file path=customXml/itemProps3.xml><?xml version="1.0" encoding="utf-8"?>
<ds:datastoreItem xmlns:ds="http://schemas.openxmlformats.org/officeDocument/2006/customXml" ds:itemID="{FECAE232-35AD-4364-A542-E934083238B9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9KA</vt:lpstr>
      <vt:lpstr>9X</vt:lpstr>
      <vt:lpstr>11SC</vt:lpstr>
      <vt:lpstr>11X</vt:lpstr>
      <vt:lpstr>12FM</vt:lpstr>
      <vt:lpstr>12X</vt:lpstr>
      <vt:lpstr>13CW</vt:lpstr>
      <vt:lpstr>13X</vt:lpstr>
      <vt:lpstr>14CM</vt:lpstr>
      <vt:lpstr>14X</vt:lpstr>
      <vt:lpstr>15JM</vt:lpstr>
      <vt:lpstr>15X</vt:lpstr>
      <vt:lpstr>54MP</vt:lpstr>
      <vt:lpstr>54X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Cabrera</dc:creator>
  <cp:lastModifiedBy>Carolina Cabrera</cp:lastModifiedBy>
  <dcterms:created xsi:type="dcterms:W3CDTF">2026-02-10T19:53:10Z</dcterms:created>
  <dcterms:modified xsi:type="dcterms:W3CDTF">2026-04-25T02:20:35Z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  <property fmtid="{D5CDD505-2E9C-101B-9397-08002B2CF9AE}" pid="3" name="MediaServiceImageTags">
    <vt:lpwstr/>
  </property>
</Properties>
</file>